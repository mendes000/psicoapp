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9c37f603e2c5754/Programação/Python/aplicativo_psicologia/"/>
    </mc:Choice>
  </mc:AlternateContent>
  <xr:revisionPtr revIDLastSave="421" documentId="11_9371D32C67CD09861397BA7C70758B6596B3C70C" xr6:coauthVersionLast="47" xr6:coauthVersionMax="47" xr10:uidLastSave="{45B932E8-B840-4566-8EE5-E8C4A224DEE0}"/>
  <bookViews>
    <workbookView xWindow="-108" yWindow="-108" windowWidth="23256" windowHeight="12456" activeTab="3" xr2:uid="{00000000-000D-0000-FFFF-FFFF00000000}"/>
  </bookViews>
  <sheets>
    <sheet name="Fluxo de Caixa" sheetId="1" r:id="rId1"/>
    <sheet name="Entradas" sheetId="2" r:id="rId2"/>
    <sheet name="Despesas" sheetId="3" r:id="rId3"/>
    <sheet name="Informações" sheetId="4" r:id="rId4"/>
    <sheet name="Gráficos 22" sheetId="5" r:id="rId5"/>
    <sheet name="Gráficos 23" sheetId="6" r:id="rId6"/>
    <sheet name="Aniversariantes do Mês" sheetId="7" r:id="rId7"/>
  </sheets>
  <definedNames>
    <definedName name="_xlnm._FilterDatabase" localSheetId="2" hidden="1">Despesas!$C$2:$F$1224</definedName>
    <definedName name="_xlnm._FilterDatabase" localSheetId="1" hidden="1">Entradas!$B$2:$EF$995</definedName>
    <definedName name="_xlnm._FilterDatabase" localSheetId="3" hidden="1">Informações!$C$2:$T$1008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5" i="2" l="1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B196" i="4"/>
  <c r="A196" i="4"/>
  <c r="B195" i="4"/>
  <c r="A195" i="4"/>
  <c r="B194" i="4"/>
  <c r="A194" i="4"/>
  <c r="I193" i="4"/>
  <c r="H193" i="4"/>
  <c r="B193" i="4"/>
  <c r="A193" i="4"/>
  <c r="I192" i="4"/>
  <c r="H192" i="4"/>
  <c r="B192" i="4"/>
  <c r="A192" i="4"/>
  <c r="I191" i="4"/>
  <c r="H191" i="4"/>
  <c r="B191" i="4"/>
  <c r="A191" i="4"/>
  <c r="I190" i="4"/>
  <c r="H190" i="4"/>
  <c r="B190" i="4"/>
  <c r="A190" i="4"/>
  <c r="I189" i="4"/>
  <c r="H189" i="4"/>
  <c r="B189" i="4"/>
  <c r="A189" i="4"/>
  <c r="I188" i="4"/>
  <c r="H188" i="4"/>
  <c r="B188" i="4"/>
  <c r="A188" i="4"/>
  <c r="I187" i="4"/>
  <c r="H187" i="4"/>
  <c r="B187" i="4"/>
  <c r="A187" i="4"/>
  <c r="I186" i="4"/>
  <c r="H186" i="4"/>
  <c r="B186" i="4"/>
  <c r="A186" i="4"/>
  <c r="I185" i="4"/>
  <c r="H185" i="4"/>
  <c r="B185" i="4"/>
  <c r="A185" i="4"/>
  <c r="I184" i="4"/>
  <c r="H184" i="4"/>
  <c r="B184" i="4"/>
  <c r="A184" i="4"/>
  <c r="I183" i="4"/>
  <c r="H183" i="4"/>
  <c r="B183" i="4"/>
  <c r="A183" i="4"/>
  <c r="I182" i="4"/>
  <c r="H182" i="4"/>
  <c r="B182" i="4"/>
  <c r="A182" i="4"/>
  <c r="I181" i="4"/>
  <c r="H181" i="4"/>
  <c r="B181" i="4"/>
  <c r="A181" i="4"/>
  <c r="I180" i="4"/>
  <c r="H180" i="4"/>
  <c r="B180" i="4"/>
  <c r="A180" i="4"/>
  <c r="I179" i="4"/>
  <c r="H179" i="4"/>
  <c r="B179" i="4"/>
  <c r="A179" i="4"/>
  <c r="I178" i="4"/>
  <c r="H178" i="4"/>
  <c r="B178" i="4"/>
  <c r="A178" i="4"/>
  <c r="I177" i="4"/>
  <c r="H177" i="4"/>
  <c r="B177" i="4"/>
  <c r="A177" i="4"/>
  <c r="I176" i="4"/>
  <c r="H176" i="4"/>
  <c r="B176" i="4"/>
  <c r="A176" i="4"/>
  <c r="I175" i="4"/>
  <c r="H175" i="4"/>
  <c r="B175" i="4"/>
  <c r="A175" i="4"/>
  <c r="I174" i="4"/>
  <c r="H174" i="4"/>
  <c r="B174" i="4"/>
  <c r="A174" i="4"/>
  <c r="I173" i="4"/>
  <c r="H173" i="4"/>
  <c r="B173" i="4"/>
  <c r="A173" i="4"/>
  <c r="I172" i="4"/>
  <c r="H172" i="4"/>
  <c r="B172" i="4"/>
  <c r="A172" i="4"/>
  <c r="I171" i="4"/>
  <c r="H171" i="4"/>
  <c r="B171" i="4"/>
  <c r="A171" i="4"/>
  <c r="I170" i="4"/>
  <c r="H170" i="4"/>
  <c r="B170" i="4"/>
  <c r="A170" i="4"/>
  <c r="I169" i="4"/>
  <c r="H169" i="4"/>
  <c r="B169" i="4"/>
  <c r="A169" i="4"/>
  <c r="I168" i="4"/>
  <c r="H168" i="4"/>
  <c r="B168" i="4"/>
  <c r="A168" i="4"/>
  <c r="I167" i="4"/>
  <c r="H167" i="4"/>
  <c r="B167" i="4"/>
  <c r="A167" i="4"/>
  <c r="I166" i="4"/>
  <c r="H166" i="4"/>
  <c r="B166" i="4"/>
  <c r="A166" i="4"/>
  <c r="I165" i="4"/>
  <c r="H165" i="4"/>
  <c r="B165" i="4"/>
  <c r="A165" i="4"/>
  <c r="I164" i="4"/>
  <c r="H164" i="4"/>
  <c r="B164" i="4"/>
  <c r="A164" i="4"/>
  <c r="I163" i="4"/>
  <c r="H163" i="4"/>
  <c r="B163" i="4"/>
  <c r="A163" i="4"/>
  <c r="I162" i="4"/>
  <c r="H162" i="4"/>
  <c r="B162" i="4"/>
  <c r="A162" i="4"/>
  <c r="I161" i="4"/>
  <c r="H161" i="4"/>
  <c r="B161" i="4"/>
  <c r="A161" i="4"/>
  <c r="I160" i="4"/>
  <c r="H160" i="4"/>
  <c r="B160" i="4"/>
  <c r="A160" i="4"/>
  <c r="I159" i="4"/>
  <c r="H159" i="4"/>
  <c r="B159" i="4"/>
  <c r="A159" i="4"/>
  <c r="I158" i="4"/>
  <c r="H158" i="4"/>
  <c r="B158" i="4"/>
  <c r="A158" i="4"/>
  <c r="I157" i="4"/>
  <c r="H157" i="4"/>
  <c r="B157" i="4"/>
  <c r="A157" i="4"/>
  <c r="I156" i="4"/>
  <c r="H156" i="4"/>
  <c r="B156" i="4"/>
  <c r="A156" i="4"/>
  <c r="I155" i="4"/>
  <c r="H155" i="4"/>
  <c r="B155" i="4"/>
  <c r="A155" i="4"/>
  <c r="I154" i="4"/>
  <c r="H154" i="4"/>
  <c r="B154" i="4"/>
  <c r="A154" i="4"/>
  <c r="I153" i="4"/>
  <c r="H153" i="4"/>
  <c r="B153" i="4"/>
  <c r="A153" i="4"/>
  <c r="I152" i="4"/>
  <c r="H152" i="4"/>
  <c r="B152" i="4"/>
  <c r="A152" i="4"/>
  <c r="I151" i="4"/>
  <c r="H151" i="4"/>
  <c r="B151" i="4"/>
  <c r="A151" i="4"/>
  <c r="I150" i="4"/>
  <c r="H150" i="4"/>
  <c r="B150" i="4"/>
  <c r="A150" i="4"/>
  <c r="I149" i="4"/>
  <c r="H149" i="4"/>
  <c r="B149" i="4"/>
  <c r="A149" i="4"/>
  <c r="I148" i="4"/>
  <c r="H148" i="4"/>
  <c r="B148" i="4"/>
  <c r="A148" i="4"/>
  <c r="I147" i="4"/>
  <c r="H147" i="4"/>
  <c r="B147" i="4"/>
  <c r="A147" i="4"/>
  <c r="I146" i="4"/>
  <c r="H146" i="4"/>
  <c r="B146" i="4"/>
  <c r="A146" i="4"/>
  <c r="I145" i="4"/>
  <c r="H145" i="4"/>
  <c r="B145" i="4"/>
  <c r="A145" i="4"/>
  <c r="I144" i="4"/>
  <c r="H144" i="4"/>
  <c r="B144" i="4"/>
  <c r="A144" i="4"/>
  <c r="I143" i="4"/>
  <c r="H143" i="4"/>
  <c r="B143" i="4"/>
  <c r="A143" i="4"/>
  <c r="I142" i="4"/>
  <c r="H142" i="4"/>
  <c r="B142" i="4"/>
  <c r="A142" i="4"/>
  <c r="I141" i="4"/>
  <c r="H141" i="4"/>
  <c r="B141" i="4"/>
  <c r="A141" i="4"/>
  <c r="I140" i="4"/>
  <c r="H140" i="4"/>
  <c r="F140" i="4"/>
  <c r="B140" i="4" s="1"/>
  <c r="A140" i="4"/>
  <c r="I139" i="4"/>
  <c r="H139" i="4"/>
  <c r="F139" i="4"/>
  <c r="B139" i="4" s="1"/>
  <c r="A139" i="4"/>
  <c r="I138" i="4"/>
  <c r="H138" i="4"/>
  <c r="F138" i="4"/>
  <c r="B138" i="4" s="1"/>
  <c r="A138" i="4"/>
  <c r="I137" i="4"/>
  <c r="H137" i="4"/>
  <c r="F137" i="4"/>
  <c r="B137" i="4" s="1"/>
  <c r="A137" i="4"/>
  <c r="I136" i="4"/>
  <c r="H136" i="4"/>
  <c r="F136" i="4"/>
  <c r="B136" i="4" s="1"/>
  <c r="A136" i="4"/>
  <c r="I135" i="4"/>
  <c r="H135" i="4"/>
  <c r="F135" i="4"/>
  <c r="B135" i="4" s="1"/>
  <c r="A135" i="4"/>
  <c r="I134" i="4"/>
  <c r="H134" i="4"/>
  <c r="F134" i="4"/>
  <c r="B134" i="4" s="1"/>
  <c r="A134" i="4"/>
  <c r="I133" i="4"/>
  <c r="H133" i="4"/>
  <c r="F133" i="4"/>
  <c r="B133" i="4" s="1"/>
  <c r="A133" i="4"/>
  <c r="I132" i="4"/>
  <c r="H132" i="4"/>
  <c r="F132" i="4"/>
  <c r="B132" i="4" s="1"/>
  <c r="A132" i="4"/>
  <c r="I131" i="4"/>
  <c r="H131" i="4"/>
  <c r="F131" i="4"/>
  <c r="B131" i="4" s="1"/>
  <c r="A131" i="4"/>
  <c r="I130" i="4"/>
  <c r="H130" i="4"/>
  <c r="F130" i="4"/>
  <c r="B130" i="4" s="1"/>
  <c r="A130" i="4"/>
  <c r="I129" i="4"/>
  <c r="H129" i="4"/>
  <c r="F129" i="4"/>
  <c r="B129" i="4" s="1"/>
  <c r="A129" i="4"/>
  <c r="I128" i="4"/>
  <c r="H128" i="4"/>
  <c r="F128" i="4"/>
  <c r="B128" i="4" s="1"/>
  <c r="A128" i="4"/>
  <c r="I127" i="4"/>
  <c r="H127" i="4"/>
  <c r="F127" i="4"/>
  <c r="B127" i="4" s="1"/>
  <c r="A127" i="4"/>
  <c r="I126" i="4"/>
  <c r="H126" i="4"/>
  <c r="F126" i="4"/>
  <c r="B126" i="4" s="1"/>
  <c r="A126" i="4"/>
  <c r="I125" i="4"/>
  <c r="H125" i="4"/>
  <c r="F125" i="4"/>
  <c r="B125" i="4" s="1"/>
  <c r="A125" i="4"/>
  <c r="I124" i="4"/>
  <c r="H124" i="4"/>
  <c r="F124" i="4"/>
  <c r="B124" i="4" s="1"/>
  <c r="A124" i="4"/>
  <c r="I123" i="4"/>
  <c r="H123" i="4"/>
  <c r="F123" i="4"/>
  <c r="B123" i="4" s="1"/>
  <c r="A123" i="4"/>
  <c r="I122" i="4"/>
  <c r="H122" i="4"/>
  <c r="F122" i="4"/>
  <c r="B122" i="4" s="1"/>
  <c r="A122" i="4"/>
  <c r="I121" i="4"/>
  <c r="H121" i="4"/>
  <c r="F121" i="4"/>
  <c r="B121" i="4" s="1"/>
  <c r="A121" i="4"/>
  <c r="I120" i="4"/>
  <c r="H120" i="4"/>
  <c r="F120" i="4"/>
  <c r="B120" i="4" s="1"/>
  <c r="A120" i="4"/>
  <c r="I119" i="4"/>
  <c r="H119" i="4"/>
  <c r="F119" i="4"/>
  <c r="B119" i="4" s="1"/>
  <c r="A119" i="4"/>
  <c r="I118" i="4"/>
  <c r="H118" i="4"/>
  <c r="F118" i="4"/>
  <c r="B118" i="4" s="1"/>
  <c r="A118" i="4"/>
  <c r="I117" i="4"/>
  <c r="H117" i="4"/>
  <c r="F117" i="4"/>
  <c r="B117" i="4" s="1"/>
  <c r="A117" i="4"/>
  <c r="I116" i="4"/>
  <c r="H116" i="4"/>
  <c r="F116" i="4"/>
  <c r="B116" i="4" s="1"/>
  <c r="A116" i="4"/>
  <c r="I115" i="4"/>
  <c r="H115" i="4"/>
  <c r="F115" i="4"/>
  <c r="B115" i="4" s="1"/>
  <c r="A115" i="4"/>
  <c r="I114" i="4"/>
  <c r="H114" i="4"/>
  <c r="F114" i="4"/>
  <c r="B114" i="4" s="1"/>
  <c r="A114" i="4"/>
  <c r="I113" i="4"/>
  <c r="H113" i="4"/>
  <c r="F113" i="4"/>
  <c r="B113" i="4" s="1"/>
  <c r="A113" i="4"/>
  <c r="I112" i="4"/>
  <c r="H112" i="4"/>
  <c r="F112" i="4"/>
  <c r="B112" i="4" s="1"/>
  <c r="A112" i="4"/>
  <c r="I111" i="4"/>
  <c r="H111" i="4"/>
  <c r="F111" i="4"/>
  <c r="B111" i="4" s="1"/>
  <c r="A111" i="4"/>
  <c r="H110" i="4"/>
  <c r="I110" i="4" s="1"/>
  <c r="F110" i="4"/>
  <c r="B110" i="4" s="1"/>
  <c r="A110" i="4"/>
  <c r="H109" i="4"/>
  <c r="I109" i="4" s="1"/>
  <c r="F109" i="4"/>
  <c r="B109" i="4" s="1"/>
  <c r="A109" i="4"/>
  <c r="H108" i="4"/>
  <c r="I108" i="4" s="1"/>
  <c r="F108" i="4"/>
  <c r="B108" i="4" s="1"/>
  <c r="A108" i="4"/>
  <c r="H107" i="4"/>
  <c r="I107" i="4" s="1"/>
  <c r="F107" i="4"/>
  <c r="B107" i="4" s="1"/>
  <c r="A107" i="4"/>
  <c r="H106" i="4"/>
  <c r="I106" i="4" s="1"/>
  <c r="F106" i="4"/>
  <c r="B106" i="4" s="1"/>
  <c r="A106" i="4"/>
  <c r="H105" i="4"/>
  <c r="I105" i="4" s="1"/>
  <c r="F105" i="4"/>
  <c r="B105" i="4" s="1"/>
  <c r="A105" i="4"/>
  <c r="H104" i="4"/>
  <c r="I104" i="4" s="1"/>
  <c r="F104" i="4"/>
  <c r="B104" i="4" s="1"/>
  <c r="A104" i="4"/>
  <c r="H103" i="4"/>
  <c r="I103" i="4" s="1"/>
  <c r="F103" i="4"/>
  <c r="B103" i="4" s="1"/>
  <c r="A103" i="4"/>
  <c r="H102" i="4"/>
  <c r="I102" i="4" s="1"/>
  <c r="F102" i="4"/>
  <c r="B102" i="4" s="1"/>
  <c r="A102" i="4"/>
  <c r="H101" i="4"/>
  <c r="I101" i="4" s="1"/>
  <c r="F101" i="4"/>
  <c r="B101" i="4" s="1"/>
  <c r="A101" i="4"/>
  <c r="H100" i="4"/>
  <c r="I100" i="4" s="1"/>
  <c r="F100" i="4"/>
  <c r="B100" i="4" s="1"/>
  <c r="A100" i="4"/>
  <c r="H99" i="4"/>
  <c r="I99" i="4" s="1"/>
  <c r="F99" i="4"/>
  <c r="B99" i="4" s="1"/>
  <c r="A99" i="4"/>
  <c r="H98" i="4"/>
  <c r="I98" i="4" s="1"/>
  <c r="F98" i="4"/>
  <c r="B98" i="4" s="1"/>
  <c r="A98" i="4"/>
  <c r="H97" i="4"/>
  <c r="I97" i="4" s="1"/>
  <c r="F97" i="4"/>
  <c r="B97" i="4" s="1"/>
  <c r="A97" i="4"/>
  <c r="H96" i="4"/>
  <c r="I96" i="4" s="1"/>
  <c r="F96" i="4"/>
  <c r="B96" i="4" s="1"/>
  <c r="A96" i="4"/>
  <c r="H95" i="4"/>
  <c r="I95" i="4" s="1"/>
  <c r="F95" i="4"/>
  <c r="B95" i="4" s="1"/>
  <c r="A95" i="4"/>
  <c r="H94" i="4"/>
  <c r="I94" i="4" s="1"/>
  <c r="F94" i="4"/>
  <c r="B94" i="4" s="1"/>
  <c r="A94" i="4"/>
  <c r="H93" i="4"/>
  <c r="I93" i="4" s="1"/>
  <c r="F93" i="4"/>
  <c r="B93" i="4" s="1"/>
  <c r="A93" i="4"/>
  <c r="H92" i="4"/>
  <c r="I92" i="4" s="1"/>
  <c r="F92" i="4"/>
  <c r="B92" i="4" s="1"/>
  <c r="A92" i="4"/>
  <c r="H91" i="4"/>
  <c r="I91" i="4" s="1"/>
  <c r="F91" i="4"/>
  <c r="B91" i="4" s="1"/>
  <c r="A91" i="4"/>
  <c r="H90" i="4"/>
  <c r="I90" i="4" s="1"/>
  <c r="F90" i="4"/>
  <c r="B90" i="4" s="1"/>
  <c r="A90" i="4"/>
  <c r="H89" i="4"/>
  <c r="I89" i="4" s="1"/>
  <c r="F89" i="4"/>
  <c r="B89" i="4" s="1"/>
  <c r="A89" i="4"/>
  <c r="H88" i="4"/>
  <c r="I88" i="4" s="1"/>
  <c r="F88" i="4"/>
  <c r="B88" i="4" s="1"/>
  <c r="A88" i="4"/>
  <c r="H87" i="4"/>
  <c r="I87" i="4" s="1"/>
  <c r="F87" i="4"/>
  <c r="B87" i="4" s="1"/>
  <c r="A87" i="4"/>
  <c r="H86" i="4"/>
  <c r="I86" i="4" s="1"/>
  <c r="F86" i="4"/>
  <c r="B86" i="4" s="1"/>
  <c r="A86" i="4"/>
  <c r="H85" i="4"/>
  <c r="I85" i="4" s="1"/>
  <c r="F85" i="4"/>
  <c r="B85" i="4" s="1"/>
  <c r="A85" i="4"/>
  <c r="H84" i="4"/>
  <c r="I84" i="4" s="1"/>
  <c r="F84" i="4"/>
  <c r="B84" i="4" s="1"/>
  <c r="A84" i="4"/>
  <c r="H83" i="4"/>
  <c r="I83" i="4" s="1"/>
  <c r="F83" i="4"/>
  <c r="B83" i="4" s="1"/>
  <c r="A83" i="4"/>
  <c r="H82" i="4"/>
  <c r="I82" i="4" s="1"/>
  <c r="F82" i="4"/>
  <c r="B82" i="4" s="1"/>
  <c r="A82" i="4"/>
  <c r="H81" i="4"/>
  <c r="I81" i="4" s="1"/>
  <c r="F81" i="4"/>
  <c r="B81" i="4" s="1"/>
  <c r="A81" i="4"/>
  <c r="H80" i="4"/>
  <c r="I80" i="4" s="1"/>
  <c r="F80" i="4"/>
  <c r="B80" i="4" s="1"/>
  <c r="A80" i="4"/>
  <c r="H79" i="4"/>
  <c r="I79" i="4" s="1"/>
  <c r="F79" i="4"/>
  <c r="B79" i="4" s="1"/>
  <c r="A79" i="4"/>
  <c r="H78" i="4"/>
  <c r="I78" i="4" s="1"/>
  <c r="F78" i="4"/>
  <c r="B78" i="4" s="1"/>
  <c r="A78" i="4"/>
  <c r="H77" i="4"/>
  <c r="I77" i="4" s="1"/>
  <c r="F77" i="4"/>
  <c r="B77" i="4" s="1"/>
  <c r="A77" i="4"/>
  <c r="H76" i="4"/>
  <c r="I76" i="4" s="1"/>
  <c r="F76" i="4"/>
  <c r="A76" i="4"/>
  <c r="H75" i="4"/>
  <c r="I75" i="4" s="1"/>
  <c r="F75" i="4"/>
  <c r="B75" i="4" s="1"/>
  <c r="A75" i="4"/>
  <c r="H74" i="4"/>
  <c r="I74" i="4" s="1"/>
  <c r="F74" i="4"/>
  <c r="B74" i="4" s="1"/>
  <c r="A74" i="4"/>
  <c r="H73" i="4"/>
  <c r="I73" i="4" s="1"/>
  <c r="F73" i="4"/>
  <c r="B73" i="4" s="1"/>
  <c r="A73" i="4"/>
  <c r="H72" i="4"/>
  <c r="I72" i="4" s="1"/>
  <c r="F72" i="4"/>
  <c r="B72" i="4" s="1"/>
  <c r="A72" i="4"/>
  <c r="H71" i="4"/>
  <c r="I71" i="4" s="1"/>
  <c r="F71" i="4"/>
  <c r="B71" i="4" s="1"/>
  <c r="A71" i="4"/>
  <c r="H70" i="4"/>
  <c r="I70" i="4" s="1"/>
  <c r="F70" i="4"/>
  <c r="B70" i="4" s="1"/>
  <c r="A70" i="4"/>
  <c r="H69" i="4"/>
  <c r="I69" i="4" s="1"/>
  <c r="F69" i="4"/>
  <c r="B69" i="4" s="1"/>
  <c r="A69" i="4"/>
  <c r="H68" i="4"/>
  <c r="I68" i="4" s="1"/>
  <c r="F68" i="4"/>
  <c r="B68" i="4" s="1"/>
  <c r="A68" i="4"/>
  <c r="H67" i="4"/>
  <c r="I67" i="4" s="1"/>
  <c r="F67" i="4"/>
  <c r="A67" i="4"/>
  <c r="H66" i="4"/>
  <c r="I66" i="4" s="1"/>
  <c r="F66" i="4"/>
  <c r="A66" i="4"/>
  <c r="H65" i="4"/>
  <c r="I65" i="4" s="1"/>
  <c r="F65" i="4"/>
  <c r="B65" i="4" s="1"/>
  <c r="A65" i="4"/>
  <c r="H64" i="4"/>
  <c r="I64" i="4" s="1"/>
  <c r="F64" i="4"/>
  <c r="A64" i="4"/>
  <c r="H63" i="4"/>
  <c r="I63" i="4" s="1"/>
  <c r="F63" i="4"/>
  <c r="A63" i="4"/>
  <c r="H62" i="4"/>
  <c r="I62" i="4" s="1"/>
  <c r="F62" i="4"/>
  <c r="B62" i="4" s="1"/>
  <c r="A62" i="4"/>
  <c r="H61" i="4"/>
  <c r="I61" i="4" s="1"/>
  <c r="F61" i="4"/>
  <c r="A61" i="4"/>
  <c r="H60" i="4"/>
  <c r="I60" i="4" s="1"/>
  <c r="F60" i="4"/>
  <c r="B60" i="4" s="1"/>
  <c r="A60" i="4"/>
  <c r="H59" i="4"/>
  <c r="I59" i="4" s="1"/>
  <c r="F59" i="4"/>
  <c r="A59" i="4"/>
  <c r="H58" i="4"/>
  <c r="I58" i="4" s="1"/>
  <c r="F58" i="4"/>
  <c r="B58" i="4" s="1"/>
  <c r="A58" i="4"/>
  <c r="H57" i="4"/>
  <c r="I57" i="4" s="1"/>
  <c r="F57" i="4"/>
  <c r="A57" i="4"/>
  <c r="H56" i="4"/>
  <c r="I56" i="4" s="1"/>
  <c r="F56" i="4"/>
  <c r="A56" i="4"/>
  <c r="H55" i="4"/>
  <c r="I55" i="4" s="1"/>
  <c r="F55" i="4"/>
  <c r="A55" i="4"/>
  <c r="H54" i="4"/>
  <c r="I54" i="4" s="1"/>
  <c r="F54" i="4"/>
  <c r="B54" i="4" s="1"/>
  <c r="A54" i="4"/>
  <c r="H53" i="4"/>
  <c r="I53" i="4" s="1"/>
  <c r="F53" i="4"/>
  <c r="B53" i="4" s="1"/>
  <c r="A53" i="4"/>
  <c r="H52" i="4"/>
  <c r="I52" i="4" s="1"/>
  <c r="F52" i="4"/>
  <c r="B52" i="4" s="1"/>
  <c r="A52" i="4"/>
  <c r="H51" i="4"/>
  <c r="I51" i="4" s="1"/>
  <c r="F51" i="4"/>
  <c r="B51" i="4" s="1"/>
  <c r="A51" i="4"/>
  <c r="H50" i="4"/>
  <c r="I50" i="4" s="1"/>
  <c r="F50" i="4"/>
  <c r="B50" i="4" s="1"/>
  <c r="A50" i="4"/>
  <c r="H49" i="4"/>
  <c r="I49" i="4" s="1"/>
  <c r="F49" i="4"/>
  <c r="A49" i="4"/>
  <c r="H48" i="4"/>
  <c r="I48" i="4" s="1"/>
  <c r="F48" i="4"/>
  <c r="B48" i="4" s="1"/>
  <c r="A48" i="4"/>
  <c r="H47" i="4"/>
  <c r="I47" i="4" s="1"/>
  <c r="F47" i="4"/>
  <c r="A47" i="4"/>
  <c r="H46" i="4"/>
  <c r="I46" i="4" s="1"/>
  <c r="F46" i="4"/>
  <c r="B46" i="4" s="1"/>
  <c r="A46" i="4"/>
  <c r="H45" i="4"/>
  <c r="I45" i="4" s="1"/>
  <c r="F45" i="4"/>
  <c r="B45" i="4" s="1"/>
  <c r="A45" i="4"/>
  <c r="H44" i="4"/>
  <c r="I44" i="4" s="1"/>
  <c r="F44" i="4"/>
  <c r="B44" i="4" s="1"/>
  <c r="A44" i="4"/>
  <c r="H43" i="4"/>
  <c r="I43" i="4" s="1"/>
  <c r="F43" i="4"/>
  <c r="B43" i="4" s="1"/>
  <c r="A43" i="4"/>
  <c r="H42" i="4"/>
  <c r="I42" i="4" s="1"/>
  <c r="F42" i="4"/>
  <c r="A42" i="4"/>
  <c r="H41" i="4"/>
  <c r="I41" i="4" s="1"/>
  <c r="F41" i="4"/>
  <c r="B41" i="4" s="1"/>
  <c r="A41" i="4"/>
  <c r="H40" i="4"/>
  <c r="I40" i="4" s="1"/>
  <c r="F40" i="4"/>
  <c r="B40" i="4" s="1"/>
  <c r="A40" i="4"/>
  <c r="H39" i="4"/>
  <c r="I39" i="4" s="1"/>
  <c r="F39" i="4"/>
  <c r="B39" i="4" s="1"/>
  <c r="A39" i="4"/>
  <c r="H38" i="4"/>
  <c r="I38" i="4" s="1"/>
  <c r="F38" i="4"/>
  <c r="B38" i="4" s="1"/>
  <c r="A38" i="4"/>
  <c r="H37" i="4"/>
  <c r="I37" i="4" s="1"/>
  <c r="F37" i="4"/>
  <c r="B37" i="4" s="1"/>
  <c r="A37" i="4"/>
  <c r="H36" i="4"/>
  <c r="I36" i="4" s="1"/>
  <c r="A36" i="4"/>
  <c r="H35" i="4"/>
  <c r="I35" i="4" s="1"/>
  <c r="F35" i="4"/>
  <c r="A35" i="4"/>
  <c r="H34" i="4"/>
  <c r="I34" i="4" s="1"/>
  <c r="F34" i="4"/>
  <c r="B34" i="4" s="1"/>
  <c r="A34" i="4"/>
  <c r="H33" i="4"/>
  <c r="I33" i="4" s="1"/>
  <c r="H32" i="4"/>
  <c r="I32" i="4" s="1"/>
  <c r="F32" i="4"/>
  <c r="B32" i="4" s="1"/>
  <c r="A32" i="4"/>
  <c r="H31" i="4"/>
  <c r="I31" i="4" s="1"/>
  <c r="F31" i="4"/>
  <c r="A31" i="4"/>
  <c r="H30" i="4"/>
  <c r="I30" i="4" s="1"/>
  <c r="F30" i="4"/>
  <c r="B30" i="4" s="1"/>
  <c r="A30" i="4"/>
  <c r="H29" i="4"/>
  <c r="I29" i="4" s="1"/>
  <c r="F29" i="4"/>
  <c r="A29" i="4"/>
  <c r="H28" i="4"/>
  <c r="I28" i="4" s="1"/>
  <c r="F28" i="4"/>
  <c r="B28" i="4" s="1"/>
  <c r="A28" i="4"/>
  <c r="H27" i="4"/>
  <c r="I27" i="4" s="1"/>
  <c r="F27" i="4"/>
  <c r="B27" i="4" s="1"/>
  <c r="A27" i="4"/>
  <c r="H26" i="4"/>
  <c r="I26" i="4" s="1"/>
  <c r="F26" i="4"/>
  <c r="B26" i="4" s="1"/>
  <c r="A26" i="4"/>
  <c r="H25" i="4"/>
  <c r="I25" i="4" s="1"/>
  <c r="F25" i="4"/>
  <c r="B25" i="4" s="1"/>
  <c r="A25" i="4"/>
  <c r="H24" i="4"/>
  <c r="I24" i="4" s="1"/>
  <c r="F24" i="4"/>
  <c r="B24" i="4" s="1"/>
  <c r="A24" i="4"/>
  <c r="H23" i="4"/>
  <c r="I23" i="4" s="1"/>
  <c r="F23" i="4"/>
  <c r="B23" i="4" s="1"/>
  <c r="A23" i="4"/>
  <c r="H22" i="4"/>
  <c r="I22" i="4" s="1"/>
  <c r="A22" i="4"/>
  <c r="H21" i="4"/>
  <c r="I21" i="4" s="1"/>
  <c r="F21" i="4"/>
  <c r="B21" i="4" s="1"/>
  <c r="A21" i="4"/>
  <c r="H20" i="4"/>
  <c r="I20" i="4" s="1"/>
  <c r="F20" i="4"/>
  <c r="B20" i="4" s="1"/>
  <c r="A20" i="4"/>
  <c r="H19" i="4"/>
  <c r="I19" i="4" s="1"/>
  <c r="F19" i="4"/>
  <c r="B19" i="4" s="1"/>
  <c r="A19" i="4"/>
  <c r="H18" i="4"/>
  <c r="I18" i="4" s="1"/>
  <c r="F18" i="4"/>
  <c r="B18" i="4" s="1"/>
  <c r="A18" i="4"/>
  <c r="H17" i="4"/>
  <c r="I17" i="4" s="1"/>
  <c r="F17" i="4"/>
  <c r="B17" i="4" s="1"/>
  <c r="A17" i="4"/>
  <c r="H16" i="4"/>
  <c r="I16" i="4" s="1"/>
  <c r="A16" i="4"/>
  <c r="H15" i="4"/>
  <c r="I15" i="4" s="1"/>
  <c r="B15" i="4"/>
  <c r="A15" i="4"/>
  <c r="H14" i="4"/>
  <c r="I14" i="4" s="1"/>
  <c r="F14" i="4"/>
  <c r="B14" i="4" s="1"/>
  <c r="A14" i="4"/>
  <c r="H13" i="4"/>
  <c r="I13" i="4" s="1"/>
  <c r="F13" i="4"/>
  <c r="B13" i="4" s="1"/>
  <c r="A13" i="4"/>
  <c r="H12" i="4"/>
  <c r="I12" i="4" s="1"/>
  <c r="A12" i="4"/>
  <c r="H11" i="4"/>
  <c r="I11" i="4" s="1"/>
  <c r="F11" i="4"/>
  <c r="B11" i="4" s="1"/>
  <c r="A11" i="4"/>
  <c r="H10" i="4"/>
  <c r="I10" i="4" s="1"/>
  <c r="F10" i="4"/>
  <c r="B10" i="4" s="1"/>
  <c r="A10" i="4"/>
  <c r="H9" i="4"/>
  <c r="I9" i="4" s="1"/>
  <c r="F9" i="4"/>
  <c r="A9" i="4"/>
  <c r="H8" i="4"/>
  <c r="I8" i="4" s="1"/>
  <c r="F8" i="4"/>
  <c r="B8" i="4" s="1"/>
  <c r="A8" i="4"/>
  <c r="H7" i="4"/>
  <c r="I7" i="4" s="1"/>
  <c r="F7" i="4"/>
  <c r="B7" i="4" s="1"/>
  <c r="A7" i="4"/>
  <c r="H6" i="4"/>
  <c r="I6" i="4" s="1"/>
  <c r="F6" i="4"/>
  <c r="B6" i="4" s="1"/>
  <c r="A6" i="4"/>
  <c r="H5" i="4"/>
  <c r="I5" i="4" s="1"/>
  <c r="F5" i="4"/>
  <c r="B5" i="4" s="1"/>
  <c r="A5" i="4"/>
  <c r="H4" i="4"/>
  <c r="I4" i="4" s="1"/>
  <c r="F4" i="4"/>
  <c r="A4" i="4"/>
  <c r="H3" i="4"/>
  <c r="I3" i="4" s="1"/>
  <c r="F3" i="4"/>
  <c r="B3" i="4" s="1"/>
  <c r="A3" i="4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C876" i="3"/>
  <c r="B876" i="3"/>
  <c r="C875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C816" i="3"/>
  <c r="B816" i="3"/>
  <c r="B815" i="3"/>
  <c r="B814" i="3"/>
  <c r="B813" i="3"/>
  <c r="C812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C798" i="3"/>
  <c r="B798" i="3"/>
  <c r="C797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C781" i="3"/>
  <c r="B781" i="3"/>
  <c r="B780" i="3"/>
  <c r="C779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C763" i="3"/>
  <c r="B763" i="3"/>
  <c r="B762" i="3"/>
  <c r="B761" i="3"/>
  <c r="C760" i="3"/>
  <c r="B760" i="3"/>
  <c r="B759" i="3"/>
  <c r="B758" i="3"/>
  <c r="B757" i="3"/>
  <c r="B756" i="3"/>
  <c r="B755" i="3"/>
  <c r="B754" i="3"/>
  <c r="B753" i="3"/>
  <c r="B752" i="3"/>
  <c r="B751" i="3"/>
  <c r="C750" i="3"/>
  <c r="B750" i="3"/>
  <c r="B749" i="3"/>
  <c r="B748" i="3"/>
  <c r="C747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C730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C712" i="3"/>
  <c r="B712" i="3"/>
  <c r="B711" i="3"/>
  <c r="B710" i="3"/>
  <c r="B709" i="3"/>
  <c r="B708" i="3"/>
  <c r="B707" i="3"/>
  <c r="B706" i="3"/>
  <c r="B705" i="3"/>
  <c r="B704" i="3"/>
  <c r="B703" i="3"/>
  <c r="C702" i="3"/>
  <c r="B702" i="3"/>
  <c r="B701" i="3"/>
  <c r="B700" i="3"/>
  <c r="C699" i="3"/>
  <c r="B699" i="3"/>
  <c r="B698" i="3"/>
  <c r="B697" i="3"/>
  <c r="B696" i="3"/>
  <c r="B695" i="3"/>
  <c r="B694" i="3"/>
  <c r="B693" i="3"/>
  <c r="C692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C678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C632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C549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C529" i="3"/>
  <c r="B529" i="3"/>
  <c r="B528" i="3"/>
  <c r="B527" i="3"/>
  <c r="B526" i="3"/>
  <c r="C525" i="3"/>
  <c r="B525" i="3"/>
  <c r="C524" i="3"/>
  <c r="B524" i="3"/>
  <c r="B523" i="3"/>
  <c r="B522" i="3"/>
  <c r="B521" i="3"/>
  <c r="B520" i="3"/>
  <c r="C519" i="3"/>
  <c r="B519" i="3"/>
  <c r="B518" i="3"/>
  <c r="B517" i="3"/>
  <c r="C516" i="3"/>
  <c r="B516" i="3"/>
  <c r="C515" i="3"/>
  <c r="B515" i="3"/>
  <c r="B514" i="3"/>
  <c r="B513" i="3"/>
  <c r="C512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C499" i="3"/>
  <c r="B499" i="3"/>
  <c r="B498" i="3"/>
  <c r="C497" i="3"/>
  <c r="B497" i="3"/>
  <c r="C496" i="3"/>
  <c r="B496" i="3"/>
  <c r="B495" i="3"/>
  <c r="C494" i="3"/>
  <c r="B494" i="3"/>
  <c r="B493" i="3"/>
  <c r="B492" i="3"/>
  <c r="B491" i="3"/>
  <c r="B490" i="3"/>
  <c r="B489" i="3"/>
  <c r="B488" i="3"/>
  <c r="C487" i="3"/>
  <c r="B487" i="3"/>
  <c r="C486" i="3"/>
  <c r="B486" i="3"/>
  <c r="B485" i="3"/>
  <c r="B484" i="3"/>
  <c r="B483" i="3"/>
  <c r="B482" i="3"/>
  <c r="B481" i="3"/>
  <c r="B480" i="3"/>
  <c r="B479" i="3"/>
  <c r="C478" i="3"/>
  <c r="B478" i="3"/>
  <c r="B477" i="3"/>
  <c r="B476" i="3"/>
  <c r="B475" i="3"/>
  <c r="B474" i="3"/>
  <c r="B473" i="3"/>
  <c r="B472" i="3"/>
  <c r="C471" i="3"/>
  <c r="B471" i="3"/>
  <c r="B470" i="3"/>
  <c r="B469" i="3"/>
  <c r="B468" i="3"/>
  <c r="B467" i="3"/>
  <c r="B466" i="3"/>
  <c r="B465" i="3"/>
  <c r="C464" i="3"/>
  <c r="B464" i="3"/>
  <c r="B463" i="3"/>
  <c r="B462" i="3"/>
  <c r="B461" i="3"/>
  <c r="B460" i="3"/>
  <c r="C459" i="3"/>
  <c r="B459" i="3"/>
  <c r="C458" i="3"/>
  <c r="B458" i="3"/>
  <c r="C457" i="3"/>
  <c r="B457" i="3"/>
  <c r="B456" i="3"/>
  <c r="B455" i="3"/>
  <c r="B454" i="3"/>
  <c r="B453" i="3"/>
  <c r="B452" i="3"/>
  <c r="B451" i="3"/>
  <c r="B450" i="3"/>
  <c r="B449" i="3"/>
  <c r="B448" i="3"/>
  <c r="B447" i="3"/>
  <c r="C446" i="3"/>
  <c r="B446" i="3"/>
  <c r="B445" i="3"/>
  <c r="C444" i="3"/>
  <c r="B444" i="3"/>
  <c r="B443" i="3"/>
  <c r="B442" i="3"/>
  <c r="B441" i="3"/>
  <c r="B440" i="3"/>
  <c r="B439" i="3"/>
  <c r="B438" i="3"/>
  <c r="B437" i="3"/>
  <c r="B436" i="3"/>
  <c r="B435" i="3"/>
  <c r="C434" i="3"/>
  <c r="B434" i="3"/>
  <c r="C433" i="3"/>
  <c r="B433" i="3"/>
  <c r="B432" i="3"/>
  <c r="C431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C223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C202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C126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G63" i="1" s="1"/>
  <c r="B8" i="3"/>
  <c r="B7" i="3"/>
  <c r="B6" i="3"/>
  <c r="B5" i="3"/>
  <c r="B4" i="3"/>
  <c r="B3" i="3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3" i="2"/>
  <c r="EE1" i="2"/>
  <c r="EC1" i="2"/>
  <c r="EB1" i="2"/>
  <c r="EA1" i="2"/>
  <c r="DZ1" i="2"/>
  <c r="DY1" i="2"/>
  <c r="DX1" i="2"/>
  <c r="DW1" i="2"/>
  <c r="DV1" i="2"/>
  <c r="DU1" i="2"/>
  <c r="DT1" i="2"/>
  <c r="DS1" i="2"/>
  <c r="DR1" i="2"/>
  <c r="DQ1" i="2"/>
  <c r="DP1" i="2"/>
  <c r="DO1" i="2"/>
  <c r="DN1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H63" i="1"/>
  <c r="F62" i="1"/>
  <c r="N60" i="1"/>
  <c r="M60" i="1"/>
  <c r="L59" i="1"/>
  <c r="K59" i="1"/>
  <c r="J58" i="1"/>
  <c r="I58" i="1"/>
  <c r="H57" i="1"/>
  <c r="G57" i="1"/>
  <c r="F56" i="1"/>
  <c r="O55" i="1"/>
  <c r="N54" i="1"/>
  <c r="M54" i="1"/>
  <c r="L53" i="1"/>
  <c r="K53" i="1"/>
  <c r="J52" i="1"/>
  <c r="I52" i="1"/>
  <c r="O51" i="1"/>
  <c r="I47" i="1"/>
  <c r="H47" i="1"/>
  <c r="H46" i="1"/>
  <c r="G46" i="1"/>
  <c r="F45" i="1"/>
  <c r="O44" i="1"/>
  <c r="N43" i="1"/>
  <c r="M43" i="1"/>
  <c r="L42" i="1"/>
  <c r="K42" i="1"/>
  <c r="J41" i="1"/>
  <c r="I41" i="1"/>
  <c r="H40" i="1"/>
  <c r="G40" i="1"/>
  <c r="F39" i="1"/>
  <c r="O38" i="1"/>
  <c r="N37" i="1"/>
  <c r="M37" i="1"/>
  <c r="L36" i="1"/>
  <c r="K36" i="1"/>
  <c r="P35" i="1"/>
  <c r="P51" i="1" s="1"/>
  <c r="J35" i="1"/>
  <c r="J51" i="1" s="1"/>
  <c r="F35" i="1"/>
  <c r="F51" i="1" s="1"/>
  <c r="N31" i="1"/>
  <c r="M31" i="1"/>
  <c r="L30" i="1"/>
  <c r="K30" i="1"/>
  <c r="K29" i="1"/>
  <c r="J29" i="1"/>
  <c r="J28" i="1"/>
  <c r="I28" i="1"/>
  <c r="H27" i="1"/>
  <c r="G27" i="1"/>
  <c r="F26" i="1"/>
  <c r="O25" i="1"/>
  <c r="N24" i="1"/>
  <c r="M24" i="1"/>
  <c r="L23" i="1"/>
  <c r="K23" i="1"/>
  <c r="I22" i="1"/>
  <c r="H22" i="1"/>
  <c r="G21" i="1"/>
  <c r="F21" i="1"/>
  <c r="O19" i="1"/>
  <c r="N19" i="1"/>
  <c r="N35" i="1" s="1"/>
  <c r="N51" i="1" s="1"/>
  <c r="M19" i="1"/>
  <c r="M35" i="1" s="1"/>
  <c r="M51" i="1" s="1"/>
  <c r="L19" i="1"/>
  <c r="L35" i="1" s="1"/>
  <c r="L51" i="1" s="1"/>
  <c r="K19" i="1"/>
  <c r="K35" i="1" s="1"/>
  <c r="K51" i="1" s="1"/>
  <c r="J19" i="1"/>
  <c r="I19" i="1"/>
  <c r="I35" i="1" s="1"/>
  <c r="I51" i="1" s="1"/>
  <c r="H19" i="1"/>
  <c r="H35" i="1" s="1"/>
  <c r="H51" i="1" s="1"/>
  <c r="G19" i="1"/>
  <c r="G35" i="1" s="1"/>
  <c r="G51" i="1" s="1"/>
  <c r="F19" i="1"/>
  <c r="E19" i="1"/>
  <c r="E35" i="1" s="1"/>
  <c r="E51" i="1" s="1"/>
  <c r="D19" i="1"/>
  <c r="D35" i="1" s="1"/>
  <c r="D51" i="1" s="1"/>
  <c r="O15" i="1"/>
  <c r="N15" i="1"/>
  <c r="M14" i="1"/>
  <c r="L14" i="1"/>
  <c r="K13" i="1"/>
  <c r="J13" i="1"/>
  <c r="I12" i="1"/>
  <c r="H12" i="1"/>
  <c r="H11" i="1"/>
  <c r="G11" i="1"/>
  <c r="G10" i="1"/>
  <c r="F10" i="1"/>
  <c r="O9" i="1"/>
  <c r="L9" i="1"/>
  <c r="O8" i="1"/>
  <c r="N8" i="1"/>
  <c r="M8" i="1"/>
  <c r="J8" i="1"/>
  <c r="M7" i="1"/>
  <c r="L7" i="1"/>
  <c r="K7" i="1"/>
  <c r="J7" i="1"/>
  <c r="H7" i="1"/>
  <c r="F7" i="1"/>
  <c r="O6" i="1"/>
  <c r="K6" i="1"/>
  <c r="J6" i="1"/>
  <c r="I6" i="1"/>
  <c r="H6" i="1"/>
  <c r="F6" i="1"/>
  <c r="O5" i="1"/>
  <c r="N5" i="1"/>
  <c r="M5" i="1"/>
  <c r="I5" i="1"/>
  <c r="H5" i="1"/>
  <c r="G5" i="1"/>
  <c r="F5" i="1"/>
  <c r="O4" i="1"/>
  <c r="N4" i="1"/>
  <c r="M4" i="1"/>
  <c r="L4" i="1"/>
  <c r="K4" i="1"/>
  <c r="G4" i="1"/>
  <c r="F4" i="1"/>
  <c r="L6" i="1" l="1"/>
  <c r="N14" i="1"/>
  <c r="F20" i="1"/>
  <c r="H21" i="1"/>
  <c r="J22" i="1"/>
  <c r="M23" i="1"/>
  <c r="O24" i="1"/>
  <c r="G26" i="1"/>
  <c r="I27" i="1"/>
  <c r="K28" i="1"/>
  <c r="L29" i="1"/>
  <c r="M30" i="1"/>
  <c r="O31" i="1"/>
  <c r="M36" i="1"/>
  <c r="O37" i="1"/>
  <c r="G39" i="1"/>
  <c r="I40" i="1"/>
  <c r="K41" i="1"/>
  <c r="M42" i="1"/>
  <c r="O43" i="1"/>
  <c r="G45" i="1"/>
  <c r="I46" i="1"/>
  <c r="J47" i="1"/>
  <c r="K52" i="1"/>
  <c r="M53" i="1"/>
  <c r="O54" i="1"/>
  <c r="G56" i="1"/>
  <c r="I57" i="1"/>
  <c r="K58" i="1"/>
  <c r="M59" i="1"/>
  <c r="O60" i="1"/>
  <c r="G62" i="1"/>
  <c r="E62" i="1" s="1"/>
  <c r="I63" i="1"/>
  <c r="J5" i="1"/>
  <c r="F9" i="1"/>
  <c r="I11" i="1"/>
  <c r="L13" i="1"/>
  <c r="K5" i="1"/>
  <c r="G9" i="1"/>
  <c r="I10" i="1"/>
  <c r="K12" i="1"/>
  <c r="M13" i="1"/>
  <c r="O14" i="1"/>
  <c r="G20" i="1"/>
  <c r="I21" i="1"/>
  <c r="E21" i="1" s="1"/>
  <c r="K22" i="1"/>
  <c r="N23" i="1"/>
  <c r="F25" i="1"/>
  <c r="H26" i="1"/>
  <c r="J27" i="1"/>
  <c r="L28" i="1"/>
  <c r="M29" i="1"/>
  <c r="N30" i="1"/>
  <c r="N36" i="1"/>
  <c r="F38" i="1"/>
  <c r="H39" i="1"/>
  <c r="J40" i="1"/>
  <c r="L41" i="1"/>
  <c r="N42" i="1"/>
  <c r="F44" i="1"/>
  <c r="H45" i="1"/>
  <c r="J46" i="1"/>
  <c r="K47" i="1"/>
  <c r="L52" i="1"/>
  <c r="N53" i="1"/>
  <c r="F55" i="1"/>
  <c r="H56" i="1"/>
  <c r="E56" i="1" s="1"/>
  <c r="J57" i="1"/>
  <c r="L58" i="1"/>
  <c r="N59" i="1"/>
  <c r="F61" i="1"/>
  <c r="H62" i="1"/>
  <c r="J63" i="1"/>
  <c r="H4" i="1"/>
  <c r="N7" i="1"/>
  <c r="H10" i="1"/>
  <c r="E10" i="1" s="1"/>
  <c r="J12" i="1"/>
  <c r="I4" i="1"/>
  <c r="M6" i="1"/>
  <c r="O7" i="1"/>
  <c r="J11" i="1"/>
  <c r="J4" i="1"/>
  <c r="L5" i="1"/>
  <c r="N6" i="1"/>
  <c r="F8" i="1"/>
  <c r="H9" i="1"/>
  <c r="J10" i="1"/>
  <c r="K11" i="1"/>
  <c r="L12" i="1"/>
  <c r="N13" i="1"/>
  <c r="N16" i="1" s="1"/>
  <c r="F15" i="1"/>
  <c r="H20" i="1"/>
  <c r="J21" i="1"/>
  <c r="L22" i="1"/>
  <c r="O23" i="1"/>
  <c r="G25" i="1"/>
  <c r="I26" i="1"/>
  <c r="K27" i="1"/>
  <c r="M28" i="1"/>
  <c r="N29" i="1"/>
  <c r="O30" i="1"/>
  <c r="O36" i="1"/>
  <c r="O48" i="1" s="1"/>
  <c r="G38" i="1"/>
  <c r="I39" i="1"/>
  <c r="K40" i="1"/>
  <c r="K48" i="1" s="1"/>
  <c r="M41" i="1"/>
  <c r="O42" i="1"/>
  <c r="G44" i="1"/>
  <c r="I45" i="1"/>
  <c r="K46" i="1"/>
  <c r="L47" i="1"/>
  <c r="M52" i="1"/>
  <c r="O53" i="1"/>
  <c r="G55" i="1"/>
  <c r="I56" i="1"/>
  <c r="K57" i="1"/>
  <c r="M58" i="1"/>
  <c r="O59" i="1"/>
  <c r="G61" i="1"/>
  <c r="I62" i="1"/>
  <c r="K63" i="1"/>
  <c r="G8" i="1"/>
  <c r="I9" i="1"/>
  <c r="K10" i="1"/>
  <c r="L11" i="1"/>
  <c r="L16" i="1" s="1"/>
  <c r="M12" i="1"/>
  <c r="O13" i="1"/>
  <c r="G15" i="1"/>
  <c r="I20" i="1"/>
  <c r="K21" i="1"/>
  <c r="M22" i="1"/>
  <c r="F24" i="1"/>
  <c r="H25" i="1"/>
  <c r="J26" i="1"/>
  <c r="L27" i="1"/>
  <c r="N28" i="1"/>
  <c r="O29" i="1"/>
  <c r="F31" i="1"/>
  <c r="F37" i="1"/>
  <c r="E37" i="1" s="1"/>
  <c r="H38" i="1"/>
  <c r="E38" i="1" s="1"/>
  <c r="J39" i="1"/>
  <c r="L40" i="1"/>
  <c r="N41" i="1"/>
  <c r="F43" i="1"/>
  <c r="H44" i="1"/>
  <c r="J45" i="1"/>
  <c r="L46" i="1"/>
  <c r="M47" i="1"/>
  <c r="N52" i="1"/>
  <c r="F54" i="1"/>
  <c r="H55" i="1"/>
  <c r="J56" i="1"/>
  <c r="L57" i="1"/>
  <c r="N58" i="1"/>
  <c r="F60" i="1"/>
  <c r="H61" i="1"/>
  <c r="J62" i="1"/>
  <c r="L63" i="1"/>
  <c r="H8" i="1"/>
  <c r="J9" i="1"/>
  <c r="L10" i="1"/>
  <c r="M11" i="1"/>
  <c r="N12" i="1"/>
  <c r="F14" i="1"/>
  <c r="H15" i="1"/>
  <c r="J20" i="1"/>
  <c r="L21" i="1"/>
  <c r="N22" i="1"/>
  <c r="G24" i="1"/>
  <c r="I25" i="1"/>
  <c r="K26" i="1"/>
  <c r="M27" i="1"/>
  <c r="O28" i="1"/>
  <c r="G31" i="1"/>
  <c r="G37" i="1"/>
  <c r="I38" i="1"/>
  <c r="K39" i="1"/>
  <c r="M40" i="1"/>
  <c r="O41" i="1"/>
  <c r="G43" i="1"/>
  <c r="I44" i="1"/>
  <c r="K45" i="1"/>
  <c r="M46" i="1"/>
  <c r="N47" i="1"/>
  <c r="O52" i="1"/>
  <c r="G54" i="1"/>
  <c r="I55" i="1"/>
  <c r="K56" i="1"/>
  <c r="M57" i="1"/>
  <c r="O58" i="1"/>
  <c r="G60" i="1"/>
  <c r="I61" i="1"/>
  <c r="K62" i="1"/>
  <c r="M63" i="1"/>
  <c r="M16" i="1"/>
  <c r="G7" i="1"/>
  <c r="E7" i="1" s="1"/>
  <c r="I8" i="1"/>
  <c r="K9" i="1"/>
  <c r="M10" i="1"/>
  <c r="N11" i="1"/>
  <c r="O12" i="1"/>
  <c r="G14" i="1"/>
  <c r="I15" i="1"/>
  <c r="K20" i="1"/>
  <c r="K32" i="1" s="1"/>
  <c r="M21" i="1"/>
  <c r="O22" i="1"/>
  <c r="H24" i="1"/>
  <c r="J25" i="1"/>
  <c r="L26" i="1"/>
  <c r="N27" i="1"/>
  <c r="F30" i="1"/>
  <c r="H31" i="1"/>
  <c r="F36" i="1"/>
  <c r="H37" i="1"/>
  <c r="J38" i="1"/>
  <c r="L39" i="1"/>
  <c r="N40" i="1"/>
  <c r="F42" i="1"/>
  <c r="H43" i="1"/>
  <c r="J44" i="1"/>
  <c r="L45" i="1"/>
  <c r="N46" i="1"/>
  <c r="O47" i="1"/>
  <c r="F53" i="1"/>
  <c r="H54" i="1"/>
  <c r="J55" i="1"/>
  <c r="L56" i="1"/>
  <c r="N57" i="1"/>
  <c r="F59" i="1"/>
  <c r="H60" i="1"/>
  <c r="J61" i="1"/>
  <c r="L62" i="1"/>
  <c r="N63" i="1"/>
  <c r="N10" i="1"/>
  <c r="O11" i="1"/>
  <c r="F13" i="1"/>
  <c r="H14" i="1"/>
  <c r="J15" i="1"/>
  <c r="L20" i="1"/>
  <c r="N21" i="1"/>
  <c r="G23" i="1"/>
  <c r="E23" i="1" s="1"/>
  <c r="I24" i="1"/>
  <c r="K25" i="1"/>
  <c r="M26" i="1"/>
  <c r="O27" i="1"/>
  <c r="F29" i="1"/>
  <c r="G30" i="1"/>
  <c r="I31" i="1"/>
  <c r="G36" i="1"/>
  <c r="G48" i="1" s="1"/>
  <c r="I37" i="1"/>
  <c r="K38" i="1"/>
  <c r="M39" i="1"/>
  <c r="O40" i="1"/>
  <c r="G42" i="1"/>
  <c r="I43" i="1"/>
  <c r="K44" i="1"/>
  <c r="M45" i="1"/>
  <c r="O46" i="1"/>
  <c r="G53" i="1"/>
  <c r="I54" i="1"/>
  <c r="K55" i="1"/>
  <c r="M56" i="1"/>
  <c r="O57" i="1"/>
  <c r="G59" i="1"/>
  <c r="E59" i="1" s="1"/>
  <c r="I60" i="1"/>
  <c r="K61" i="1"/>
  <c r="M62" i="1"/>
  <c r="O63" i="1"/>
  <c r="G6" i="1"/>
  <c r="E6" i="1" s="1"/>
  <c r="I7" i="1"/>
  <c r="K8" i="1"/>
  <c r="K16" i="1" s="1"/>
  <c r="M9" i="1"/>
  <c r="O10" i="1"/>
  <c r="O16" i="1" s="1"/>
  <c r="G13" i="1"/>
  <c r="I14" i="1"/>
  <c r="K15" i="1"/>
  <c r="M20" i="1"/>
  <c r="O21" i="1"/>
  <c r="H23" i="1"/>
  <c r="J24" i="1"/>
  <c r="L25" i="1"/>
  <c r="N26" i="1"/>
  <c r="F28" i="1"/>
  <c r="G29" i="1"/>
  <c r="H30" i="1"/>
  <c r="J31" i="1"/>
  <c r="H36" i="1"/>
  <c r="H48" i="1" s="1"/>
  <c r="J37" i="1"/>
  <c r="L38" i="1"/>
  <c r="N39" i="1"/>
  <c r="F41" i="1"/>
  <c r="H42" i="1"/>
  <c r="J43" i="1"/>
  <c r="L44" i="1"/>
  <c r="N45" i="1"/>
  <c r="F52" i="1"/>
  <c r="F64" i="1" s="1"/>
  <c r="H53" i="1"/>
  <c r="J54" i="1"/>
  <c r="L55" i="1"/>
  <c r="N56" i="1"/>
  <c r="F58" i="1"/>
  <c r="H59" i="1"/>
  <c r="J60" i="1"/>
  <c r="L61" i="1"/>
  <c r="N62" i="1"/>
  <c r="E5" i="1"/>
  <c r="L8" i="1"/>
  <c r="N9" i="1"/>
  <c r="F12" i="1"/>
  <c r="E12" i="1" s="1"/>
  <c r="H13" i="1"/>
  <c r="J14" i="1"/>
  <c r="L15" i="1"/>
  <c r="N20" i="1"/>
  <c r="F22" i="1"/>
  <c r="I23" i="1"/>
  <c r="K24" i="1"/>
  <c r="M25" i="1"/>
  <c r="O26" i="1"/>
  <c r="G28" i="1"/>
  <c r="H29" i="1"/>
  <c r="I30" i="1"/>
  <c r="K31" i="1"/>
  <c r="I36" i="1"/>
  <c r="K37" i="1"/>
  <c r="M38" i="1"/>
  <c r="O39" i="1"/>
  <c r="G41" i="1"/>
  <c r="I42" i="1"/>
  <c r="K43" i="1"/>
  <c r="M44" i="1"/>
  <c r="O45" i="1"/>
  <c r="F47" i="1"/>
  <c r="G52" i="1"/>
  <c r="G64" i="1" s="1"/>
  <c r="I53" i="1"/>
  <c r="I64" i="1" s="1"/>
  <c r="K54" i="1"/>
  <c r="M55" i="1"/>
  <c r="O56" i="1"/>
  <c r="G58" i="1"/>
  <c r="I59" i="1"/>
  <c r="K60" i="1"/>
  <c r="M61" i="1"/>
  <c r="O62" i="1"/>
  <c r="F11" i="1"/>
  <c r="F16" i="1" s="1"/>
  <c r="G12" i="1"/>
  <c r="I13" i="1"/>
  <c r="K14" i="1"/>
  <c r="M15" i="1"/>
  <c r="O20" i="1"/>
  <c r="G22" i="1"/>
  <c r="J23" i="1"/>
  <c r="L24" i="1"/>
  <c r="N25" i="1"/>
  <c r="F27" i="1"/>
  <c r="H28" i="1"/>
  <c r="I29" i="1"/>
  <c r="J30" i="1"/>
  <c r="L31" i="1"/>
  <c r="J36" i="1"/>
  <c r="J48" i="1" s="1"/>
  <c r="L37" i="1"/>
  <c r="L48" i="1" s="1"/>
  <c r="N38" i="1"/>
  <c r="F40" i="1"/>
  <c r="H41" i="1"/>
  <c r="J42" i="1"/>
  <c r="L43" i="1"/>
  <c r="N44" i="1"/>
  <c r="F46" i="1"/>
  <c r="E46" i="1" s="1"/>
  <c r="G47" i="1"/>
  <c r="H52" i="1"/>
  <c r="H64" i="1" s="1"/>
  <c r="J53" i="1"/>
  <c r="J64" i="1" s="1"/>
  <c r="L54" i="1"/>
  <c r="N55" i="1"/>
  <c r="F57" i="1"/>
  <c r="H58" i="1"/>
  <c r="J59" i="1"/>
  <c r="L60" i="1"/>
  <c r="N61" i="1"/>
  <c r="F63" i="1"/>
  <c r="O61" i="1"/>
  <c r="D43" i="1"/>
  <c r="D22" i="1"/>
  <c r="D4" i="1"/>
  <c r="P4" i="1" s="1"/>
  <c r="D5" i="1"/>
  <c r="D21" i="1"/>
  <c r="D63" i="1"/>
  <c r="D61" i="1"/>
  <c r="D23" i="1"/>
  <c r="D44" i="1"/>
  <c r="D62" i="1"/>
  <c r="D20" i="1"/>
  <c r="D41" i="1"/>
  <c r="D59" i="1"/>
  <c r="C1" i="2"/>
  <c r="D15" i="1"/>
  <c r="D40" i="1"/>
  <c r="D58" i="1"/>
  <c r="D60" i="1"/>
  <c r="D14" i="1"/>
  <c r="D29" i="1"/>
  <c r="D30" i="1"/>
  <c r="D31" i="1"/>
  <c r="D39" i="1"/>
  <c r="D57" i="1"/>
  <c r="D12" i="1"/>
  <c r="D28" i="1"/>
  <c r="D56" i="1"/>
  <c r="D11" i="1"/>
  <c r="D13" i="1"/>
  <c r="D38" i="1"/>
  <c r="D10" i="1"/>
  <c r="D27" i="1"/>
  <c r="D37" i="1"/>
  <c r="D55" i="1"/>
  <c r="D42" i="1"/>
  <c r="D26" i="1"/>
  <c r="D36" i="1"/>
  <c r="D54" i="1"/>
  <c r="D9" i="1"/>
  <c r="D8" i="1"/>
  <c r="D25" i="1"/>
  <c r="D47" i="1"/>
  <c r="D53" i="1"/>
  <c r="D7" i="1"/>
  <c r="D46" i="1"/>
  <c r="D52" i="1"/>
  <c r="D24" i="1"/>
  <c r="D6" i="1"/>
  <c r="D45" i="1"/>
  <c r="E4" i="1"/>
  <c r="K18" i="1" l="1"/>
  <c r="N2" i="1"/>
  <c r="P6" i="1"/>
  <c r="P26" i="1"/>
  <c r="P57" i="1"/>
  <c r="P41" i="1"/>
  <c r="E52" i="1"/>
  <c r="P42" i="1"/>
  <c r="M64" i="1"/>
  <c r="G32" i="1"/>
  <c r="E26" i="1"/>
  <c r="E28" i="1"/>
  <c r="P28" i="1" s="1"/>
  <c r="E45" i="1"/>
  <c r="E29" i="1"/>
  <c r="P29" i="1" s="1"/>
  <c r="E36" i="1"/>
  <c r="E48" i="1" s="1"/>
  <c r="J32" i="1"/>
  <c r="E8" i="1"/>
  <c r="E16" i="1" s="1"/>
  <c r="E22" i="1"/>
  <c r="P22" i="1" s="1"/>
  <c r="E24" i="1"/>
  <c r="P24" i="1" s="1"/>
  <c r="G16" i="1"/>
  <c r="E44" i="1"/>
  <c r="H16" i="1"/>
  <c r="O2" i="1" s="1"/>
  <c r="N48" i="1"/>
  <c r="E41" i="1"/>
  <c r="I16" i="1"/>
  <c r="E27" i="1"/>
  <c r="F48" i="1"/>
  <c r="L34" i="1" s="1"/>
  <c r="E40" i="1"/>
  <c r="P40" i="1" s="1"/>
  <c r="E30" i="1"/>
  <c r="P30" i="1" s="1"/>
  <c r="E13" i="1"/>
  <c r="P13" i="1" s="1"/>
  <c r="E20" i="1"/>
  <c r="E32" i="1" s="1"/>
  <c r="P62" i="1"/>
  <c r="E53" i="1"/>
  <c r="P53" i="1" s="1"/>
  <c r="P46" i="1"/>
  <c r="P37" i="1"/>
  <c r="P44" i="1"/>
  <c r="N32" i="1"/>
  <c r="N18" i="1" s="1"/>
  <c r="P47" i="1"/>
  <c r="P38" i="1"/>
  <c r="P60" i="1"/>
  <c r="O32" i="1"/>
  <c r="E43" i="1"/>
  <c r="E60" i="1"/>
  <c r="L64" i="1"/>
  <c r="E39" i="1"/>
  <c r="P39" i="1" s="1"/>
  <c r="P56" i="1"/>
  <c r="P15" i="1"/>
  <c r="E63" i="1"/>
  <c r="P63" i="1" s="1"/>
  <c r="P7" i="1"/>
  <c r="P27" i="1"/>
  <c r="P23" i="1"/>
  <c r="P10" i="1"/>
  <c r="P14" i="1"/>
  <c r="E57" i="1"/>
  <c r="P58" i="1"/>
  <c r="P21" i="1"/>
  <c r="I48" i="1"/>
  <c r="G34" i="1" s="1"/>
  <c r="E58" i="1"/>
  <c r="M32" i="1"/>
  <c r="F32" i="1"/>
  <c r="E55" i="1"/>
  <c r="P55" i="1" s="1"/>
  <c r="N64" i="1"/>
  <c r="P11" i="1"/>
  <c r="P5" i="1"/>
  <c r="O64" i="1"/>
  <c r="J16" i="1"/>
  <c r="J2" i="1" s="1"/>
  <c r="M48" i="1"/>
  <c r="M34" i="1" s="1"/>
  <c r="E14" i="1"/>
  <c r="E47" i="1"/>
  <c r="L32" i="1"/>
  <c r="E42" i="1"/>
  <c r="H32" i="1"/>
  <c r="E25" i="1"/>
  <c r="P25" i="1" s="1"/>
  <c r="K64" i="1"/>
  <c r="P45" i="1"/>
  <c r="P36" i="1"/>
  <c r="P12" i="1"/>
  <c r="P59" i="1"/>
  <c r="P43" i="1"/>
  <c r="E11" i="1"/>
  <c r="I32" i="1"/>
  <c r="E54" i="1"/>
  <c r="P54" i="1" s="1"/>
  <c r="E31" i="1"/>
  <c r="P31" i="1" s="1"/>
  <c r="E15" i="1"/>
  <c r="E61" i="1"/>
  <c r="P61" i="1" s="1"/>
  <c r="E9" i="1"/>
  <c r="P9" i="1" s="1"/>
  <c r="D48" i="1"/>
  <c r="D32" i="1"/>
  <c r="D16" i="1"/>
  <c r="D64" i="1"/>
  <c r="P20" i="1"/>
  <c r="P48" i="1" l="1"/>
  <c r="K34" i="1"/>
  <c r="H18" i="1"/>
  <c r="I2" i="1"/>
  <c r="I34" i="1"/>
  <c r="L2" i="1"/>
  <c r="N34" i="1"/>
  <c r="E64" i="1"/>
  <c r="K2" i="1"/>
  <c r="O34" i="1"/>
  <c r="F34" i="1"/>
  <c r="P8" i="1"/>
  <c r="P16" i="1" s="1"/>
  <c r="I18" i="1"/>
  <c r="J34" i="1"/>
  <c r="H2" i="1"/>
  <c r="P32" i="1"/>
  <c r="J18" i="1"/>
  <c r="L18" i="1"/>
  <c r="F18" i="1"/>
  <c r="G18" i="1"/>
  <c r="H34" i="1"/>
  <c r="M18" i="1"/>
  <c r="O18" i="1"/>
  <c r="M2" i="1"/>
  <c r="P52" i="1"/>
  <c r="P64" i="1" s="1"/>
  <c r="G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F32" authorId="0" shapeId="0" xr:uid="{00000000-0006-0000-0100-000001000000}">
      <text>
        <r>
          <rPr>
            <sz val="10"/>
            <color rgb="FF000000"/>
            <rFont val="Arial"/>
            <scheme val="minor"/>
          </rPr>
          <t>falta emitir nota</t>
        </r>
      </text>
    </comment>
    <comment ref="AF39" authorId="0" shapeId="0" xr:uid="{00000000-0006-0000-0100-000002000000}">
      <text>
        <r>
          <rPr>
            <sz val="10"/>
            <color rgb="FF000000"/>
            <rFont val="Arial"/>
            <scheme val="minor"/>
          </rPr>
          <t>em dia até dia 07/06</t>
        </r>
      </text>
    </comment>
    <comment ref="CF40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falta emitir nota </t>
        </r>
      </text>
    </comment>
    <comment ref="DN56" authorId="0" shapeId="0" xr:uid="{00000000-0006-0000-0100-000004000000}">
      <text>
        <r>
          <rPr>
            <sz val="10"/>
            <color rgb="FF000000"/>
            <rFont val="Arial"/>
            <scheme val="minor"/>
          </rPr>
          <t>pag adiantado 4 sessões</t>
        </r>
      </text>
    </comment>
  </commentList>
</comments>
</file>

<file path=xl/sharedStrings.xml><?xml version="1.0" encoding="utf-8"?>
<sst xmlns="http://schemas.openxmlformats.org/spreadsheetml/2006/main" count="4043" uniqueCount="1435">
  <si>
    <t>Recebimentos</t>
  </si>
  <si>
    <t>Despesas</t>
  </si>
  <si>
    <t>Transporte</t>
  </si>
  <si>
    <t>Materiais</t>
  </si>
  <si>
    <t>Educação</t>
  </si>
  <si>
    <t>Marketing</t>
  </si>
  <si>
    <t>Empresa/CRP</t>
  </si>
  <si>
    <t>Aluguel</t>
  </si>
  <si>
    <t>Supervisão</t>
  </si>
  <si>
    <t>Escritório</t>
  </si>
  <si>
    <t xml:space="preserve">Reforma </t>
  </si>
  <si>
    <t>Total</t>
  </si>
  <si>
    <t>2022/1</t>
  </si>
  <si>
    <t>janeiro</t>
  </si>
  <si>
    <t>2022/2</t>
  </si>
  <si>
    <t>fevereiro</t>
  </si>
  <si>
    <t>2022/3</t>
  </si>
  <si>
    <t>março</t>
  </si>
  <si>
    <t>2022/4</t>
  </si>
  <si>
    <t>abril</t>
  </si>
  <si>
    <t>2022/5</t>
  </si>
  <si>
    <t>maio</t>
  </si>
  <si>
    <t>2022/6</t>
  </si>
  <si>
    <t>junho</t>
  </si>
  <si>
    <t>2022/7</t>
  </si>
  <si>
    <t>julho</t>
  </si>
  <si>
    <t>2022/8</t>
  </si>
  <si>
    <t>agosto</t>
  </si>
  <si>
    <t>2022/9</t>
  </si>
  <si>
    <t>setembro</t>
  </si>
  <si>
    <t>2022/10</t>
  </si>
  <si>
    <t>outubro</t>
  </si>
  <si>
    <t>2022/11</t>
  </si>
  <si>
    <t>novembro</t>
  </si>
  <si>
    <t>2022/12</t>
  </si>
  <si>
    <t>dezembro</t>
  </si>
  <si>
    <t>Fluxo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</si>
  <si>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</si>
  <si>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</si>
  <si>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</si>
  <si>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</si>
  <si>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</si>
  <si>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</si>
  <si>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</si>
  <si>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</si>
  <si>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</si>
  <si>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</si>
  <si>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</si>
  <si>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</si>
  <si>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</si>
  <si>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</si>
  <si>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</si>
  <si>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</si>
  <si>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</si>
  <si>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</si>
  <si>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</si>
  <si>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</si>
  <si>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</si>
  <si>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</si>
  <si>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</si>
  <si>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</si>
  <si>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</si>
  <si>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</si>
  <si>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</si>
  <si>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</si>
  <si>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</si>
  <si>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</si>
  <si>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</si>
  <si>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</si>
  <si>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</si>
  <si>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</si>
  <si>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</si>
  <si>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</si>
  <si>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Recebido No Dia</t>
  </si>
  <si>
    <t>Data</t>
  </si>
  <si>
    <t>Flávio</t>
  </si>
  <si>
    <t>João</t>
  </si>
  <si>
    <t>Mariane</t>
  </si>
  <si>
    <t>Mariana Menezes</t>
  </si>
  <si>
    <t>Isaac</t>
  </si>
  <si>
    <t xml:space="preserve">Thyara (Wallyson) </t>
  </si>
  <si>
    <t>Daniel Berg</t>
  </si>
  <si>
    <t>Paulo Luz</t>
  </si>
  <si>
    <t>Gustavo</t>
  </si>
  <si>
    <t>Thales</t>
  </si>
  <si>
    <t>Andre Junio</t>
  </si>
  <si>
    <t>Matheus Av Neuro</t>
  </si>
  <si>
    <t>Polliani</t>
  </si>
  <si>
    <t>Vctor Morato</t>
  </si>
  <si>
    <t>Estelita</t>
  </si>
  <si>
    <t>Maria Aparecida</t>
  </si>
  <si>
    <t>Pedro 
Av neuro</t>
  </si>
  <si>
    <t xml:space="preserve">Davi Lucas </t>
  </si>
  <si>
    <t xml:space="preserve">Thaís Couto </t>
  </si>
  <si>
    <t>José W.
Av Neuro</t>
  </si>
  <si>
    <t>Carlos Augusto</t>
  </si>
  <si>
    <t>Italo  
vactomia</t>
  </si>
  <si>
    <t>Aredson</t>
  </si>
  <si>
    <t>Beatriz
 Av neuro</t>
  </si>
  <si>
    <t>Diogo Alberto AV. Neuro</t>
  </si>
  <si>
    <t>Bruno</t>
  </si>
  <si>
    <t>Jefferson</t>
  </si>
  <si>
    <t>Caio</t>
  </si>
  <si>
    <t>Ivone</t>
  </si>
  <si>
    <t>Juscelia</t>
  </si>
  <si>
    <t>Luana Godinho</t>
  </si>
  <si>
    <t>Elisa</t>
  </si>
  <si>
    <t>Yuri</t>
  </si>
  <si>
    <t>Luiz Felipe
Av neuro</t>
  </si>
  <si>
    <t>Tatiane</t>
  </si>
  <si>
    <t>Aurélio</t>
  </si>
  <si>
    <t>Arthur
Av. Neuro</t>
  </si>
  <si>
    <t>Ana Paula</t>
  </si>
  <si>
    <t>Stela</t>
  </si>
  <si>
    <t>Ayke</t>
  </si>
  <si>
    <t>Vitória</t>
  </si>
  <si>
    <t>Neivander</t>
  </si>
  <si>
    <t xml:space="preserve">Jaqueline </t>
  </si>
  <si>
    <t>Mateus 
Av neuro</t>
  </si>
  <si>
    <t>Vinicius Garcês</t>
  </si>
  <si>
    <t>Alerte</t>
  </si>
  <si>
    <t>Fabiano</t>
  </si>
  <si>
    <t>FACULDADE</t>
  </si>
  <si>
    <t>Jhessica</t>
  </si>
  <si>
    <t>Eurico</t>
  </si>
  <si>
    <t>Suyara
Av neuro</t>
  </si>
  <si>
    <t xml:space="preserve">Terezinha Maria </t>
  </si>
  <si>
    <t>Nayara de Souza</t>
  </si>
  <si>
    <t>Ana Carolina Caio</t>
  </si>
  <si>
    <t>Paula Amorim</t>
  </si>
  <si>
    <t xml:space="preserve">Anna Flávia </t>
  </si>
  <si>
    <t>Thais av</t>
  </si>
  <si>
    <t xml:space="preserve">Jordana </t>
  </si>
  <si>
    <t>Flaviany</t>
  </si>
  <si>
    <t>Jarbas</t>
  </si>
  <si>
    <t>Arthur Apolo
Av. neuro</t>
  </si>
  <si>
    <t>Joseane</t>
  </si>
  <si>
    <t>Marcelo Cardoso</t>
  </si>
  <si>
    <t>Paulo H. Pinheiro</t>
  </si>
  <si>
    <t xml:space="preserve">Luisa Leal Gomes </t>
  </si>
  <si>
    <t>Miriane</t>
  </si>
  <si>
    <t>Amanda</t>
  </si>
  <si>
    <t xml:space="preserve">Larissa Silva </t>
  </si>
  <si>
    <t>Paulo Pinho</t>
  </si>
  <si>
    <t>Estefânia</t>
  </si>
  <si>
    <t>Rosimere</t>
  </si>
  <si>
    <t xml:space="preserve">João Guilherme </t>
  </si>
  <si>
    <t xml:space="preserve">Renata Dias </t>
  </si>
  <si>
    <t>Júlia Olegario</t>
  </si>
  <si>
    <t xml:space="preserve">João Luiz </t>
  </si>
  <si>
    <t>Leandro</t>
  </si>
  <si>
    <t>Constância</t>
  </si>
  <si>
    <t>Lucimeire</t>
  </si>
  <si>
    <t xml:space="preserve">Ricardo </t>
  </si>
  <si>
    <t>Renata Ribeiro</t>
  </si>
  <si>
    <t>Cleide</t>
  </si>
  <si>
    <t>Renata Gonçalves</t>
  </si>
  <si>
    <t xml:space="preserve">Alexandra </t>
  </si>
  <si>
    <t>Élida</t>
  </si>
  <si>
    <t>Valcy</t>
  </si>
  <si>
    <t>Júlia</t>
  </si>
  <si>
    <t>Luanna (mãe de Marianna)</t>
  </si>
  <si>
    <t>Gabriel</t>
  </si>
  <si>
    <t>Alinne</t>
  </si>
  <si>
    <t>Alexandre</t>
  </si>
  <si>
    <t>Nátalia</t>
  </si>
  <si>
    <t>Wesley</t>
  </si>
  <si>
    <t>Marianna</t>
  </si>
  <si>
    <t>Ludmilla</t>
  </si>
  <si>
    <t>Luana</t>
  </si>
  <si>
    <t>Allyson</t>
  </si>
  <si>
    <t>Gercina</t>
  </si>
  <si>
    <t>Caio Dornelas
Av neuro</t>
  </si>
  <si>
    <t>Silvana</t>
  </si>
  <si>
    <t>Luiza</t>
  </si>
  <si>
    <t>Lenira                 Av neuro</t>
  </si>
  <si>
    <t xml:space="preserve">Núbia </t>
  </si>
  <si>
    <t>Renata                      Av neuro</t>
  </si>
  <si>
    <t>Cleidlene</t>
  </si>
  <si>
    <t>Witian</t>
  </si>
  <si>
    <t>Nathalia</t>
  </si>
  <si>
    <t>Vitória 
Av neuro</t>
  </si>
  <si>
    <t>Mayara</t>
  </si>
  <si>
    <t>Ávila (mae Rosana)</t>
  </si>
  <si>
    <t>Ana Laura (Pacoquinha)</t>
  </si>
  <si>
    <t>Nilda</t>
  </si>
  <si>
    <t xml:space="preserve">Tatiana </t>
  </si>
  <si>
    <t>Heitor (pai Alessandro)</t>
  </si>
  <si>
    <t>Gilbrair</t>
  </si>
  <si>
    <t>Ariadna</t>
  </si>
  <si>
    <t>Ana karolina
Lucimeire</t>
  </si>
  <si>
    <t>Vanessa</t>
  </si>
  <si>
    <t>Isabel</t>
  </si>
  <si>
    <t>Mathilde</t>
  </si>
  <si>
    <t>Yara Kelly</t>
  </si>
  <si>
    <t xml:space="preserve">Victor Queiroz </t>
  </si>
  <si>
    <t xml:space="preserve">Miguel
</t>
  </si>
  <si>
    <t>Hannanh</t>
  </si>
  <si>
    <t>Maria Laura Av Neuro</t>
  </si>
  <si>
    <t>Geovanna</t>
  </si>
  <si>
    <t>Juliana</t>
  </si>
  <si>
    <t>Klaus</t>
  </si>
  <si>
    <t>Murillo</t>
  </si>
  <si>
    <t xml:space="preserve">Marcus </t>
  </si>
  <si>
    <t>Sublocação</t>
  </si>
  <si>
    <t>Não 150</t>
  </si>
  <si>
    <t>2°</t>
  </si>
  <si>
    <t>3°</t>
  </si>
  <si>
    <t>4°</t>
  </si>
  <si>
    <t>1°</t>
  </si>
  <si>
    <t xml:space="preserve">1° </t>
  </si>
  <si>
    <t>1° não</t>
  </si>
  <si>
    <t xml:space="preserve">2° </t>
  </si>
  <si>
    <t>não</t>
  </si>
  <si>
    <t xml:space="preserve">3° </t>
  </si>
  <si>
    <t>1º</t>
  </si>
  <si>
    <t>2º</t>
  </si>
  <si>
    <t>3º</t>
  </si>
  <si>
    <t>4º</t>
  </si>
  <si>
    <t>1 não</t>
  </si>
  <si>
    <t>2 não</t>
  </si>
  <si>
    <t>3 não</t>
  </si>
  <si>
    <t>4 não</t>
  </si>
  <si>
    <t xml:space="preserve">4° não </t>
  </si>
  <si>
    <t xml:space="preserve">4° </t>
  </si>
  <si>
    <t xml:space="preserve">1°  </t>
  </si>
  <si>
    <t xml:space="preserve">2°  </t>
  </si>
  <si>
    <t>ok</t>
  </si>
  <si>
    <t>12 sessoes ok</t>
  </si>
  <si>
    <t>3° faltou</t>
  </si>
  <si>
    <t xml:space="preserve">ok </t>
  </si>
  <si>
    <t>5°</t>
  </si>
  <si>
    <t>6°</t>
  </si>
  <si>
    <t>7°</t>
  </si>
  <si>
    <t xml:space="preserve"> 2°</t>
  </si>
  <si>
    <t>8°</t>
  </si>
  <si>
    <t xml:space="preserve"> 1° </t>
  </si>
  <si>
    <t>4° falta</t>
  </si>
  <si>
    <t>ok falta</t>
  </si>
  <si>
    <t xml:space="preserve"> 1°</t>
  </si>
  <si>
    <t xml:space="preserve">6° </t>
  </si>
  <si>
    <t>2° faltou</t>
  </si>
  <si>
    <t>?</t>
  </si>
  <si>
    <t>5° faltou</t>
  </si>
  <si>
    <t>6° falta</t>
  </si>
  <si>
    <t xml:space="preserve">7° </t>
  </si>
  <si>
    <t>1° faltou</t>
  </si>
  <si>
    <t>2° falta</t>
  </si>
  <si>
    <t xml:space="preserve">5° </t>
  </si>
  <si>
    <t xml:space="preserve">8° </t>
  </si>
  <si>
    <t>7° faltou</t>
  </si>
  <si>
    <t>9°</t>
  </si>
  <si>
    <t>8° faltou</t>
  </si>
  <si>
    <t>9° faltou</t>
  </si>
  <si>
    <t>4° faltou</t>
  </si>
  <si>
    <t>1° ok</t>
  </si>
  <si>
    <t>2°  faltou</t>
  </si>
  <si>
    <t xml:space="preserve">7° faltou </t>
  </si>
  <si>
    <t>5°  faltou</t>
  </si>
  <si>
    <t>8° irmã</t>
  </si>
  <si>
    <t>6° faltou</t>
  </si>
  <si>
    <t>6°  faltou</t>
  </si>
  <si>
    <t xml:space="preserve">4° faltou </t>
  </si>
  <si>
    <t xml:space="preserve">9° faltou </t>
  </si>
  <si>
    <t>9° amigo</t>
  </si>
  <si>
    <t xml:space="preserve">5°  </t>
  </si>
  <si>
    <t>10° mãe</t>
  </si>
  <si>
    <t>1º ok</t>
  </si>
  <si>
    <t xml:space="preserve"> 1º av (2º)</t>
  </si>
  <si>
    <t xml:space="preserve">2º </t>
  </si>
  <si>
    <t>10º</t>
  </si>
  <si>
    <t xml:space="preserve">3º </t>
  </si>
  <si>
    <t>faltou</t>
  </si>
  <si>
    <t>11º</t>
  </si>
  <si>
    <t>faltou essa</t>
  </si>
  <si>
    <t>11º irmã</t>
  </si>
  <si>
    <t xml:space="preserve">1º </t>
  </si>
  <si>
    <t>4º faltou</t>
  </si>
  <si>
    <t>veio o marido</t>
  </si>
  <si>
    <t>5º</t>
  </si>
  <si>
    <t>6º</t>
  </si>
  <si>
    <t>7º</t>
  </si>
  <si>
    <t>12º esposa</t>
  </si>
  <si>
    <t xml:space="preserve">4º </t>
  </si>
  <si>
    <t xml:space="preserve">12º devolutiva </t>
  </si>
  <si>
    <t>1º entr mae</t>
  </si>
  <si>
    <t>parcela 1-3</t>
  </si>
  <si>
    <t xml:space="preserve">2º pais </t>
  </si>
  <si>
    <t>13º devolutiva</t>
  </si>
  <si>
    <t>2º ent(par 1 de2)</t>
  </si>
  <si>
    <t>1º ent</t>
  </si>
  <si>
    <t>2º ent</t>
  </si>
  <si>
    <t>não faltou</t>
  </si>
  <si>
    <t>4º  faltou</t>
  </si>
  <si>
    <t>1º  faltou</t>
  </si>
  <si>
    <t>2º ok</t>
  </si>
  <si>
    <t>8º</t>
  </si>
  <si>
    <t>9º 10º</t>
  </si>
  <si>
    <t>3º faltou</t>
  </si>
  <si>
    <t>1º faltou</t>
  </si>
  <si>
    <t xml:space="preserve">9º  pais </t>
  </si>
  <si>
    <t>2º Kessy</t>
  </si>
  <si>
    <t xml:space="preserve">5º </t>
  </si>
  <si>
    <t>1 /3 parcela</t>
  </si>
  <si>
    <t xml:space="preserve">4º faltou </t>
  </si>
  <si>
    <t>c a mãe</t>
  </si>
  <si>
    <t xml:space="preserve">3º pais </t>
  </si>
  <si>
    <t>2/3 parcela</t>
  </si>
  <si>
    <t>2º faltou</t>
  </si>
  <si>
    <t>1º com os pais</t>
  </si>
  <si>
    <t>9º</t>
  </si>
  <si>
    <t xml:space="preserve">deve 100 reais </t>
  </si>
  <si>
    <t xml:space="preserve">1º não </t>
  </si>
  <si>
    <t xml:space="preserve">não </t>
  </si>
  <si>
    <t>2º não</t>
  </si>
  <si>
    <t>1º não</t>
  </si>
  <si>
    <t>3º não</t>
  </si>
  <si>
    <t>presente</t>
  </si>
  <si>
    <t>Invest.</t>
  </si>
  <si>
    <t>Valor</t>
  </si>
  <si>
    <t>Tipo</t>
  </si>
  <si>
    <t>Observação</t>
  </si>
  <si>
    <t>João (valor mensal simbólico)</t>
  </si>
  <si>
    <t>canva</t>
  </si>
  <si>
    <t>Mariane - 1° parcela de fevereiro da (total mensal de 300 - 50% desconto)</t>
  </si>
  <si>
    <t xml:space="preserve">doctoralia </t>
  </si>
  <si>
    <t>Mariane - 2° parcela de fevereiro (pag atrasado 08/03)</t>
  </si>
  <si>
    <t xml:space="preserve">contador </t>
  </si>
  <si>
    <t>Thales - valor da sessão</t>
  </si>
  <si>
    <t>Luiza - valor da sessão da mãe</t>
  </si>
  <si>
    <t>Elisa (valor mensal com 50% de desconto online, 17/02 a 14/03 - 4 sessões)</t>
  </si>
  <si>
    <t xml:space="preserve">Luiza - valor da sessão </t>
  </si>
  <si>
    <t xml:space="preserve">Doctoralia </t>
  </si>
  <si>
    <t>Luiza - valor da sessão</t>
  </si>
  <si>
    <t>Thales - valor de 2 sessões (uma foi falta)</t>
  </si>
  <si>
    <t xml:space="preserve">livros infantins </t>
  </si>
  <si>
    <t>Thales - valor sessão + multa de falta</t>
  </si>
  <si>
    <t>testes</t>
  </si>
  <si>
    <t>Stella - primeira sessão</t>
  </si>
  <si>
    <t>Mariana Menezes - sessão única</t>
  </si>
  <si>
    <t xml:space="preserve">referente a duas supervisão em dupla </t>
  </si>
  <si>
    <t xml:space="preserve">Stella - duas sessões da semana </t>
  </si>
  <si>
    <t>site</t>
  </si>
  <si>
    <t xml:space="preserve">Caio - duas sessões </t>
  </si>
  <si>
    <t>Stella</t>
  </si>
  <si>
    <t xml:space="preserve">João - valor simbólico do mês </t>
  </si>
  <si>
    <t>Mariana - valor de março</t>
  </si>
  <si>
    <t>doctoralia</t>
  </si>
  <si>
    <t xml:space="preserve">Thales - duas sessões </t>
  </si>
  <si>
    <t xml:space="preserve">Elisa - valor mês </t>
  </si>
  <si>
    <t>uma sessão individual</t>
  </si>
  <si>
    <t>teste</t>
  </si>
  <si>
    <t>edição vídeo</t>
  </si>
  <si>
    <t>domínio do site</t>
  </si>
  <si>
    <t>telefone</t>
  </si>
  <si>
    <t xml:space="preserve">testes nepneuro </t>
  </si>
  <si>
    <t>dois meses de canva</t>
  </si>
  <si>
    <t xml:space="preserve">instragran </t>
  </si>
  <si>
    <t>google</t>
  </si>
  <si>
    <t>identidade visual</t>
  </si>
  <si>
    <t>rede social e tráfico</t>
  </si>
  <si>
    <t>pós neuro</t>
  </si>
  <si>
    <t>google ads</t>
  </si>
  <si>
    <t>rede social e tráfigo</t>
  </si>
  <si>
    <t>contador</t>
  </si>
  <si>
    <t>testes Wasi 1/3</t>
  </si>
  <si>
    <t>tráfigo gestor</t>
  </si>
  <si>
    <t>caixa organizadora</t>
  </si>
  <si>
    <t>artes instragram</t>
  </si>
  <si>
    <t>artes tráfigo google</t>
  </si>
  <si>
    <t>testes Wasi 2/3</t>
  </si>
  <si>
    <t>máquina de cartão</t>
  </si>
  <si>
    <t>vivo</t>
  </si>
  <si>
    <t>Maquiagem</t>
  </si>
  <si>
    <t>Fotos</t>
  </si>
  <si>
    <t>Artes Instagram</t>
  </si>
  <si>
    <t>teste wasi 3/3</t>
  </si>
  <si>
    <t>uber do mês</t>
  </si>
  <si>
    <t>impulsionar instra</t>
  </si>
  <si>
    <t>papelaria</t>
  </si>
  <si>
    <t>testes 1/2</t>
  </si>
  <si>
    <t xml:space="preserve">hospedgem site </t>
  </si>
  <si>
    <t xml:space="preserve">curso instragran </t>
  </si>
  <si>
    <t>Trafego pago</t>
  </si>
  <si>
    <t>impressão laudo</t>
  </si>
  <si>
    <t xml:space="preserve">impulsonar instra </t>
  </si>
  <si>
    <t>teste TDAH pais</t>
  </si>
  <si>
    <t xml:space="preserve">hospedagem site </t>
  </si>
  <si>
    <t>testes 2/2</t>
  </si>
  <si>
    <t>jogo terapêutico</t>
  </si>
  <si>
    <t xml:space="preserve">impressão laudo </t>
  </si>
  <si>
    <t xml:space="preserve">garrafas brinde natal </t>
  </si>
  <si>
    <t>gestor tráfigo</t>
  </si>
  <si>
    <t>instragran tráfigo</t>
  </si>
  <si>
    <t xml:space="preserve">testes </t>
  </si>
  <si>
    <t>garrafas brinde gravação</t>
  </si>
  <si>
    <t>carimbo</t>
  </si>
  <si>
    <t>caução  parte 1/2</t>
  </si>
  <si>
    <t xml:space="preserve">google ads </t>
  </si>
  <si>
    <t>Arquiteta parte 1/2</t>
  </si>
  <si>
    <t>tijolão tintas 1/3</t>
  </si>
  <si>
    <t>pos neuro</t>
  </si>
  <si>
    <t xml:space="preserve">2 ar </t>
  </si>
  <si>
    <t>causão parte 2</t>
  </si>
  <si>
    <t>mais tinta reforma 1/3</t>
  </si>
  <si>
    <t>parede gesso</t>
  </si>
  <si>
    <t xml:space="preserve">CRP anuidade </t>
  </si>
  <si>
    <t>sala nova ref janeiro</t>
  </si>
  <si>
    <t>tijolão tintas 2/3</t>
  </si>
  <si>
    <t>poltronas</t>
  </si>
  <si>
    <t xml:space="preserve">tintas </t>
  </si>
  <si>
    <t>pintor Marney</t>
  </si>
  <si>
    <t>condominio</t>
  </si>
  <si>
    <t>instragran</t>
  </si>
  <si>
    <t>arquiteta</t>
  </si>
  <si>
    <t>cadeiras e metais 1/3</t>
  </si>
  <si>
    <t>tampa vaso</t>
  </si>
  <si>
    <t xml:space="preserve">lixeira </t>
  </si>
  <si>
    <t>suporta papel toalha</t>
  </si>
  <si>
    <t>chapa de madeira</t>
  </si>
  <si>
    <t>moveis planejados 1/5</t>
  </si>
  <si>
    <t xml:space="preserve">instalação ar </t>
  </si>
  <si>
    <t>limpeza pos obra</t>
  </si>
  <si>
    <t>purificador de agua 1/3</t>
  </si>
  <si>
    <t xml:space="preserve">chapa de madeira </t>
  </si>
  <si>
    <t>espelhos e tomadas</t>
  </si>
  <si>
    <t>frigobar</t>
  </si>
  <si>
    <t>mais tinta reforma 2/3</t>
  </si>
  <si>
    <t>marmoraria</t>
  </si>
  <si>
    <t>13,25 e 27/02</t>
  </si>
  <si>
    <t>tijolão tintas 3/3</t>
  </si>
  <si>
    <t>acesso material nepneuro</t>
  </si>
  <si>
    <t xml:space="preserve">pintor </t>
  </si>
  <si>
    <t>internet</t>
  </si>
  <si>
    <t xml:space="preserve">cadeira </t>
  </si>
  <si>
    <t>cadeiras e metais 2/3</t>
  </si>
  <si>
    <t>casa das portas</t>
  </si>
  <si>
    <t>moveis planejados 2/5</t>
  </si>
  <si>
    <t>purificador de agua 2/3</t>
  </si>
  <si>
    <t>instalação isolamento porta</t>
  </si>
  <si>
    <t>mais tinta reforma 3/3</t>
  </si>
  <si>
    <t>plantas artificiais</t>
  </si>
  <si>
    <t xml:space="preserve">placa logo </t>
  </si>
  <si>
    <t>Olfat cheiro ambiente</t>
  </si>
  <si>
    <t>supervisão neuro</t>
  </si>
  <si>
    <t>luz</t>
  </si>
  <si>
    <t xml:space="preserve">IPTU pagamento duplicado </t>
  </si>
  <si>
    <t xml:space="preserve">condominio </t>
  </si>
  <si>
    <t>cadeiras e metais 3/3</t>
  </si>
  <si>
    <t>moveis planejados 3/5</t>
  </si>
  <si>
    <t>purificador de agua 3/3</t>
  </si>
  <si>
    <t>materia limpeza</t>
  </si>
  <si>
    <t>3 plantas costela adão</t>
  </si>
  <si>
    <t>vaso e plantio planta</t>
  </si>
  <si>
    <t>combustivel</t>
  </si>
  <si>
    <t>curso tdah incantato</t>
  </si>
  <si>
    <t>cortina tela solar</t>
  </si>
  <si>
    <t>faxina</t>
  </si>
  <si>
    <t>cafeteira</t>
  </si>
  <si>
    <t>bandeja</t>
  </si>
  <si>
    <t>jogo de xicaras cafe</t>
  </si>
  <si>
    <t>kit lavabo banheiro</t>
  </si>
  <si>
    <t xml:space="preserve">copos </t>
  </si>
  <si>
    <t xml:space="preserve">internet junho </t>
  </si>
  <si>
    <t>diva</t>
  </si>
  <si>
    <t>moveis planejados 4/5</t>
  </si>
  <si>
    <t>artigos higiene</t>
  </si>
  <si>
    <t>duas canecas cafe</t>
  </si>
  <si>
    <t xml:space="preserve">almofadas </t>
  </si>
  <si>
    <t>almofadas kit</t>
  </si>
  <si>
    <t xml:space="preserve">dsm </t>
  </si>
  <si>
    <t>livro e teste</t>
  </si>
  <si>
    <t>doctoralia master class</t>
  </si>
  <si>
    <t>artigos cafe e supor celular</t>
  </si>
  <si>
    <t>mesa de canto</t>
  </si>
  <si>
    <t>contabilidade</t>
  </si>
  <si>
    <t>moveis planejados 5/5</t>
  </si>
  <si>
    <t>lixeira e bambonieres</t>
  </si>
  <si>
    <t xml:space="preserve">juros cartão </t>
  </si>
  <si>
    <t>mesa sala 2</t>
  </si>
  <si>
    <t>rodo, pegador</t>
  </si>
  <si>
    <t>mesinha cetro, nicho sala 2</t>
  </si>
  <si>
    <t>cadeira sala 2</t>
  </si>
  <si>
    <t>veda porta sala 2</t>
  </si>
  <si>
    <t xml:space="preserve">3 supervições </t>
  </si>
  <si>
    <t>decoração plantas</t>
  </si>
  <si>
    <t>quadros</t>
  </si>
  <si>
    <t>copia chaves</t>
  </si>
  <si>
    <t>Ferragista</t>
  </si>
  <si>
    <t>2 sessões grupo</t>
  </si>
  <si>
    <t>3 supervisão grupo</t>
  </si>
  <si>
    <t xml:space="preserve">4 supervisão </t>
  </si>
  <si>
    <t>juros cartão</t>
  </si>
  <si>
    <t>instragram</t>
  </si>
  <si>
    <t>fotos e maquiagem</t>
  </si>
  <si>
    <t>congresso psi ufg</t>
  </si>
  <si>
    <t>vivo mes atrasado</t>
  </si>
  <si>
    <t xml:space="preserve"> Supervição grupo</t>
  </si>
  <si>
    <t xml:space="preserve">  supervição </t>
  </si>
  <si>
    <t>higiene</t>
  </si>
  <si>
    <t>lixeira</t>
  </si>
  <si>
    <t xml:space="preserve">vivo </t>
  </si>
  <si>
    <t>Ju</t>
  </si>
  <si>
    <t xml:space="preserve">produtos limpeza copa,cafe </t>
  </si>
  <si>
    <t xml:space="preserve">Sup Aline </t>
  </si>
  <si>
    <t>juross cartão</t>
  </si>
  <si>
    <t xml:space="preserve">mais espaço icloud </t>
  </si>
  <si>
    <t>instragran anuncio</t>
  </si>
  <si>
    <t xml:space="preserve">livros psicanalise </t>
  </si>
  <si>
    <t xml:space="preserve">papel toalha </t>
  </si>
  <si>
    <t xml:space="preserve">telefone </t>
  </si>
  <si>
    <t xml:space="preserve">lampada e regulador pressão bebedor </t>
  </si>
  <si>
    <t>recep. alcoo gel, papel toalha e faxina</t>
  </si>
  <si>
    <t>neuro</t>
  </si>
  <si>
    <t>decoração natal</t>
  </si>
  <si>
    <t>espaço icloud</t>
  </si>
  <si>
    <t>chocolate e enfeites lembranças</t>
  </si>
  <si>
    <t>Aline</t>
  </si>
  <si>
    <t>aluguel e condominio</t>
  </si>
  <si>
    <t>canecas lembranças</t>
  </si>
  <si>
    <t xml:space="preserve">luz </t>
  </si>
  <si>
    <t>Aline 2, 9, 23</t>
  </si>
  <si>
    <t>Ju 18 25</t>
  </si>
  <si>
    <t>cafe</t>
  </si>
  <si>
    <t xml:space="preserve">juros cartao </t>
  </si>
  <si>
    <t>livro do Heitor</t>
  </si>
  <si>
    <t>curso psicofarmacologia</t>
  </si>
  <si>
    <t>biscoito</t>
  </si>
  <si>
    <t>Ju 1, 9, 15, 23</t>
  </si>
  <si>
    <t xml:space="preserve">placas de identificação </t>
  </si>
  <si>
    <t>cond</t>
  </si>
  <si>
    <t>anuidade CRP</t>
  </si>
  <si>
    <t>mais espaço icloud</t>
  </si>
  <si>
    <t>cartório</t>
  </si>
  <si>
    <t xml:space="preserve">iptu 1° parcela </t>
  </si>
  <si>
    <t>supervisão Aline 22, 27</t>
  </si>
  <si>
    <t>supervisão Aline 6,12, 19,26</t>
  </si>
  <si>
    <t>limpeza e cafe</t>
  </si>
  <si>
    <t>superv Ju 14, 21,28</t>
  </si>
  <si>
    <t>telefone vivo</t>
  </si>
  <si>
    <t>IPTU 2° parcela</t>
  </si>
  <si>
    <t>papel higienico e bolacha</t>
  </si>
  <si>
    <t xml:space="preserve">carteira psi definitiva </t>
  </si>
  <si>
    <t>lenços</t>
  </si>
  <si>
    <t xml:space="preserve">produtos limpeza </t>
  </si>
  <si>
    <t xml:space="preserve">icloud </t>
  </si>
  <si>
    <t>Aline 2, 9</t>
  </si>
  <si>
    <t>Luz</t>
  </si>
  <si>
    <t>Ju 4, 11, 18, 25</t>
  </si>
  <si>
    <t>faxina 4,18, 26</t>
  </si>
  <si>
    <t xml:space="preserve">icloud  espaço </t>
  </si>
  <si>
    <t xml:space="preserve">ar suporte refletor </t>
  </si>
  <si>
    <t>olfati</t>
  </si>
  <si>
    <t>taxa inscr empresa CRP</t>
  </si>
  <si>
    <t>DARF - contabeis</t>
  </si>
  <si>
    <t>ar condicionado</t>
  </si>
  <si>
    <t>iptu 3° parcela</t>
  </si>
  <si>
    <t>cafe e copa</t>
  </si>
  <si>
    <t xml:space="preserve">internet </t>
  </si>
  <si>
    <t>faxina 10</t>
  </si>
  <si>
    <t>cadeiras</t>
  </si>
  <si>
    <t>DAS  contabilidade</t>
  </si>
  <si>
    <t>mercado</t>
  </si>
  <si>
    <t>café</t>
  </si>
  <si>
    <t>Aline 4, 11, 18, 25</t>
  </si>
  <si>
    <t>ju 6, 14,  20</t>
  </si>
  <si>
    <t>darf contabilidade</t>
  </si>
  <si>
    <t>icloud</t>
  </si>
  <si>
    <t xml:space="preserve">lenço </t>
  </si>
  <si>
    <t>triduto simples nacional</t>
  </si>
  <si>
    <t xml:space="preserve">faxina </t>
  </si>
  <si>
    <t>cafe e artigos de limpeza</t>
  </si>
  <si>
    <t>Ju 4,11</t>
  </si>
  <si>
    <t>aline 4 sessões</t>
  </si>
  <si>
    <t>simples nacional contabilidade</t>
  </si>
  <si>
    <t>DARF unificado contalibidade</t>
  </si>
  <si>
    <t xml:space="preserve">presente pacientes </t>
  </si>
  <si>
    <t>4 sessões Aline</t>
  </si>
  <si>
    <t>Darf contab</t>
  </si>
  <si>
    <t>faxina 2,16,30</t>
  </si>
  <si>
    <t>Ju:  1,8,15,22,29</t>
  </si>
  <si>
    <t>simples nacional imposto Contab.</t>
  </si>
  <si>
    <t xml:space="preserve">Aline </t>
  </si>
  <si>
    <t>ju 5,12, 19, 26</t>
  </si>
  <si>
    <t>Condomínio</t>
  </si>
  <si>
    <t>DARF tributos contab</t>
  </si>
  <si>
    <t>Simples nacional contab</t>
  </si>
  <si>
    <t>faxina 13, 27</t>
  </si>
  <si>
    <t>guardanapos</t>
  </si>
  <si>
    <t xml:space="preserve">presentes niver </t>
  </si>
  <si>
    <t>placa silencio</t>
  </si>
  <si>
    <t>ju 3,10,17</t>
  </si>
  <si>
    <t>das simples nacional contab</t>
  </si>
  <si>
    <t>faxina 11, 25</t>
  </si>
  <si>
    <t>produtos cozinha e limpeza</t>
  </si>
  <si>
    <t>macbook</t>
  </si>
  <si>
    <t>capa macbook</t>
  </si>
  <si>
    <t>Aline 4 sessoes</t>
  </si>
  <si>
    <t>ju 7, 21, 28</t>
  </si>
  <si>
    <t>faxina 8, 23</t>
  </si>
  <si>
    <t>decoração de Natal</t>
  </si>
  <si>
    <t>doces/balas</t>
  </si>
  <si>
    <t>simples nacional contab</t>
  </si>
  <si>
    <t>darf contb</t>
  </si>
  <si>
    <t>cafe e saco lixo</t>
  </si>
  <si>
    <t>mouse pad e mouse macbook</t>
  </si>
  <si>
    <t>presentes</t>
  </si>
  <si>
    <t xml:space="preserve">Aline, 2 sessões </t>
  </si>
  <si>
    <t>Ju 05,12</t>
  </si>
  <si>
    <t>doces e velas natal</t>
  </si>
  <si>
    <t>DAS cont</t>
  </si>
  <si>
    <t>DARF cont</t>
  </si>
  <si>
    <t xml:space="preserve">reparos eletricos </t>
  </si>
  <si>
    <t>faxina 03, 17, 31</t>
  </si>
  <si>
    <t>telefone vivo dezembro atrasado</t>
  </si>
  <si>
    <t>reparo e filtro de bebedor</t>
  </si>
  <si>
    <t>licença de office</t>
  </si>
  <si>
    <t>caneta e pilhas</t>
  </si>
  <si>
    <t xml:space="preserve">telefone vivo </t>
  </si>
  <si>
    <t>bebedor 1/2</t>
  </si>
  <si>
    <t>faxina 14 e 28</t>
  </si>
  <si>
    <t>mochila</t>
  </si>
  <si>
    <t xml:space="preserve">contab. - Darf e Das </t>
  </si>
  <si>
    <t>Ju 12, 19, 26</t>
  </si>
  <si>
    <t>iptu</t>
  </si>
  <si>
    <t>doces e bolachas</t>
  </si>
  <si>
    <t>Bebedor 2/2</t>
  </si>
  <si>
    <t>(-100, pois recebi esse valor da venda do antigo bebedor)</t>
  </si>
  <si>
    <t>Contab Darf e Das</t>
  </si>
  <si>
    <t>faxina 10, 24</t>
  </si>
  <si>
    <t xml:space="preserve">canva </t>
  </si>
  <si>
    <t>ju 13, 20, 26</t>
  </si>
  <si>
    <t>vivo telefone</t>
  </si>
  <si>
    <t>pastas</t>
  </si>
  <si>
    <t xml:space="preserve"> sessoes 02,09,16, 23, 30</t>
  </si>
  <si>
    <t>produtos limpeza e copa</t>
  </si>
  <si>
    <t>comtab DAS e DARF</t>
  </si>
  <si>
    <t>bolachas</t>
  </si>
  <si>
    <t>sacos de limpeza</t>
  </si>
  <si>
    <t>prsente niver paciente</t>
  </si>
  <si>
    <t>faxina c uber - 9, 23</t>
  </si>
  <si>
    <t>contab DARF e DAS</t>
  </si>
  <si>
    <t>sessoes 7, 14, 21, 28</t>
  </si>
  <si>
    <t>produtos higiene</t>
  </si>
  <si>
    <t xml:space="preserve">prededor de porta </t>
  </si>
  <si>
    <t>concerto porta de vidro</t>
  </si>
  <si>
    <t>faxina c uber 06,</t>
  </si>
  <si>
    <t>dia 04, 11, 18</t>
  </si>
  <si>
    <t>exaltor de banheiro</t>
  </si>
  <si>
    <t>ziper almofada</t>
  </si>
  <si>
    <t xml:space="preserve">papel de parece p atendimento online </t>
  </si>
  <si>
    <t>papel toalha e outros</t>
  </si>
  <si>
    <t xml:space="preserve">cheiro ambiente </t>
  </si>
  <si>
    <t>doctortalia</t>
  </si>
  <si>
    <t>10/10 ; 24/10</t>
  </si>
  <si>
    <t xml:space="preserve">Combustivel </t>
  </si>
  <si>
    <t>LUZ</t>
  </si>
  <si>
    <t>TELEFONE</t>
  </si>
  <si>
    <t>CONTADOR</t>
  </si>
  <si>
    <t>DARF E DAS</t>
  </si>
  <si>
    <t xml:space="preserve">DOCTORALIA </t>
  </si>
  <si>
    <t>CONDOMINIO</t>
  </si>
  <si>
    <t>INTERNET</t>
  </si>
  <si>
    <t>shift + alt/option + direita</t>
  </si>
  <si>
    <t>comdominio</t>
  </si>
  <si>
    <t>66.90</t>
  </si>
  <si>
    <t>darf e das</t>
  </si>
  <si>
    <t xml:space="preserve">tefone </t>
  </si>
  <si>
    <t>instagran</t>
  </si>
  <si>
    <t>enfeite natal</t>
  </si>
  <si>
    <t>olfati cheiro ambiente</t>
  </si>
  <si>
    <t>lampadas consultorio kessy</t>
  </si>
  <si>
    <t>entrada gravacao video</t>
  </si>
  <si>
    <t>cafes</t>
  </si>
  <si>
    <t>Classe</t>
  </si>
  <si>
    <t>Paciente</t>
  </si>
  <si>
    <t>Tratamento</t>
  </si>
  <si>
    <t>Data de 
Nascimento</t>
  </si>
  <si>
    <t>Idade</t>
  </si>
  <si>
    <t xml:space="preserve">Iniciou </t>
  </si>
  <si>
    <t>Fim</t>
  </si>
  <si>
    <t>Tempo de
Terapia</t>
  </si>
  <si>
    <t>Telefone</t>
  </si>
  <si>
    <t>Profissão</t>
  </si>
  <si>
    <t>Contato de
Emergência</t>
  </si>
  <si>
    <t>Nome</t>
  </si>
  <si>
    <t>E-mail</t>
  </si>
  <si>
    <t>Endereço</t>
  </si>
  <si>
    <t xml:space="preserve">Bairro </t>
  </si>
  <si>
    <t>Cidade</t>
  </si>
  <si>
    <t>CEP</t>
  </si>
  <si>
    <t>Nome do
Pai</t>
  </si>
  <si>
    <t>Nome da
Mãe</t>
  </si>
  <si>
    <t>finalizou</t>
  </si>
  <si>
    <t>CPF</t>
  </si>
  <si>
    <t>Origem</t>
  </si>
  <si>
    <t>Observações</t>
  </si>
  <si>
    <t>João Pedro Cardoso de Oliveira</t>
  </si>
  <si>
    <t>Terapia</t>
  </si>
  <si>
    <t>62 991135413</t>
  </si>
  <si>
    <t xml:space="preserve">estudante </t>
  </si>
  <si>
    <t>63 991135413</t>
  </si>
  <si>
    <t>tia vó Maria</t>
  </si>
  <si>
    <t>rosariooliveira270452@gmail.com</t>
  </si>
  <si>
    <t>Av. Cândido Portinari Qd. 57, Lt. 12</t>
  </si>
  <si>
    <t>St. Gentil Meirelles</t>
  </si>
  <si>
    <t>Goiânia</t>
  </si>
  <si>
    <t>Wander Telis Cardoso</t>
  </si>
  <si>
    <t>Cristina Melo de Oliveira</t>
  </si>
  <si>
    <t xml:space="preserve"> estágio da puc/outro</t>
  </si>
  <si>
    <r>
      <rPr>
        <sz val="10"/>
        <color rgb="FF000000"/>
        <rFont val="Arial"/>
      </rPr>
      <t>valor social do estágio da puc - deficiência intelectual e TDAH</t>
    </r>
  </si>
  <si>
    <t>Adolescente</t>
  </si>
  <si>
    <t>Ioshua de Santana Santos</t>
  </si>
  <si>
    <t>62 981553961</t>
  </si>
  <si>
    <t>63 981553961/ 6299314 0718</t>
  </si>
  <si>
    <t>mãe/pai</t>
  </si>
  <si>
    <t>ioshua.santos@outlook.com</t>
  </si>
  <si>
    <t>Rua Bauru Quadra 25 Lote 02</t>
  </si>
  <si>
    <t>Jd. Novo Mundo</t>
  </si>
  <si>
    <t>74715-070</t>
  </si>
  <si>
    <t>Paulo César Gonçalves Santos</t>
  </si>
  <si>
    <t>Maria Lucilene de Santana</t>
  </si>
  <si>
    <t>estágio da puc/outro</t>
  </si>
  <si>
    <t xml:space="preserve">valor social do estágio da puc </t>
  </si>
  <si>
    <t>Mariane Rezende Magalhães</t>
  </si>
  <si>
    <t>62 999361248</t>
  </si>
  <si>
    <t>engenheiro civil</t>
  </si>
  <si>
    <t>62 999652885</t>
  </si>
  <si>
    <t>mãe Mária</t>
  </si>
  <si>
    <t>marianemaggs@gmail.com</t>
  </si>
  <si>
    <t>Rua das Paineiras, Qd. 67, Lt. 16, casa 2</t>
  </si>
  <si>
    <t>Jardim Mariliza</t>
  </si>
  <si>
    <t>74885-340</t>
  </si>
  <si>
    <t xml:space="preserve">Arlindo Magalhães Filho </t>
  </si>
  <si>
    <t>Márcia Morais Rezende Magalhães</t>
  </si>
  <si>
    <t>Indicação amigo Marcelo</t>
  </si>
  <si>
    <t>valor social</t>
  </si>
  <si>
    <t>Thales Rafael Gomes de Castro</t>
  </si>
  <si>
    <t>62 998158180</t>
  </si>
  <si>
    <t>62 996370517</t>
  </si>
  <si>
    <t>pai José Henrique</t>
  </si>
  <si>
    <t>akiamacastro@gmail.com</t>
  </si>
  <si>
    <t>Rua S4, 20 - Ed. Resi. dos girrassóis, ap 700</t>
  </si>
  <si>
    <t>St. Bela vista</t>
  </si>
  <si>
    <t>José Henrique</t>
  </si>
  <si>
    <t>Elisa Nunes de Castro Borges</t>
  </si>
  <si>
    <t>64 996718220</t>
  </si>
  <si>
    <t>estudante - computação</t>
  </si>
  <si>
    <t>64 996956863</t>
  </si>
  <si>
    <t>mãe Cristiane</t>
  </si>
  <si>
    <t>elisancb096@gmail.com</t>
  </si>
  <si>
    <t>Avenida: Contorno, Quadra: 36, Lote: 21</t>
  </si>
  <si>
    <t>Santa Maria</t>
  </si>
  <si>
    <t>Arizona/GO</t>
  </si>
  <si>
    <t>75280-000</t>
  </si>
  <si>
    <t>Leonardo Nunes de Castro</t>
  </si>
  <si>
    <t>Cristiane Aparecida Borges</t>
  </si>
  <si>
    <t xml:space="preserve"> indicação amiga Livia </t>
  </si>
  <si>
    <t>Stella Leal Souza Furlanetto</t>
  </si>
  <si>
    <t>62 991701318</t>
  </si>
  <si>
    <t>controle de qualidade</t>
  </si>
  <si>
    <t>62 984084481</t>
  </si>
  <si>
    <t>Marido Henrique</t>
  </si>
  <si>
    <t xml:space="preserve">stellalealsouza@hotmail.com </t>
  </si>
  <si>
    <t>Av.T14, 535 - Ed. Borges Landeiro Athenas, ap 2802</t>
  </si>
  <si>
    <t>Setor Bueno</t>
  </si>
  <si>
    <t>74230-130</t>
  </si>
  <si>
    <t>Benedito Felisbino de Souza</t>
  </si>
  <si>
    <t>Lucineide Leal Souza</t>
  </si>
  <si>
    <t>indicação Dayse</t>
  </si>
  <si>
    <t>Adulto</t>
  </si>
  <si>
    <t>Mariana Gonçalves de Menezes</t>
  </si>
  <si>
    <t>Seção Avulsa</t>
  </si>
  <si>
    <t>62 993003429</t>
  </si>
  <si>
    <t xml:space="preserve">personal </t>
  </si>
  <si>
    <t>62 993003566</t>
  </si>
  <si>
    <t>esposa Isadora</t>
  </si>
  <si>
    <t>izadora.zootec@gmail.com</t>
  </si>
  <si>
    <t>Caio Andrade de Souza</t>
  </si>
  <si>
    <t>62 981389186</t>
  </si>
  <si>
    <t>62 983007799</t>
  </si>
  <si>
    <t>irmão Lucas</t>
  </si>
  <si>
    <t>caio.souzaeng@outlook.com</t>
  </si>
  <si>
    <t>Rua T37, 2300 - Ed. DNA Smart Style Bloco G, ap 1401</t>
  </si>
  <si>
    <t>74230-022</t>
  </si>
  <si>
    <t>9535323644</t>
  </si>
  <si>
    <t>indicação de paciente - Mariane</t>
  </si>
  <si>
    <t>62 999757543</t>
  </si>
  <si>
    <t>contadora</t>
  </si>
  <si>
    <t xml:space="preserve">62 984329324 </t>
  </si>
  <si>
    <t>mãe Veracine</t>
  </si>
  <si>
    <t>renata_rib@hotmail.co.</t>
  </si>
  <si>
    <t xml:space="preserve">Rua R17, 335 - Ed. Feel Home Lago das Rosas, ap 1504 </t>
  </si>
  <si>
    <t>Setor Oeste</t>
  </si>
  <si>
    <t>74125-170</t>
  </si>
  <si>
    <t>Elias Araújo Ribeiro +</t>
  </si>
  <si>
    <t>Veranice Machado Mesquita Ribeiro</t>
  </si>
  <si>
    <t>3265415198</t>
  </si>
  <si>
    <t>Isaac Costa da Silva</t>
  </si>
  <si>
    <t>62 991459990</t>
  </si>
  <si>
    <t>Aurélio Rezende Lelis</t>
  </si>
  <si>
    <t>62 985341313</t>
  </si>
  <si>
    <t>empresário - farmácias</t>
  </si>
  <si>
    <t>62 35111459</t>
  </si>
  <si>
    <t>mãe Marilda</t>
  </si>
  <si>
    <t>aureliolelis@hotmail.com</t>
  </si>
  <si>
    <t>Rua Leopoldo de Bulhões, 1310</t>
  </si>
  <si>
    <t>Centro</t>
  </si>
  <si>
    <t>Inhumas/GO</t>
  </si>
  <si>
    <t>75400-568</t>
  </si>
  <si>
    <t xml:space="preserve">Wallyson Guimarães Brito </t>
  </si>
  <si>
    <t>62 982619515</t>
  </si>
  <si>
    <t>mãe Thyara</t>
  </si>
  <si>
    <t>thyaraguimaraes05@gmail.com</t>
  </si>
  <si>
    <t xml:space="preserve">Rua Antônio Dumont Alves, Qd 66,Lt 23 Cs 2 </t>
  </si>
  <si>
    <t>Vila Maria</t>
  </si>
  <si>
    <t>Aparecida de Goiânia/GO</t>
  </si>
  <si>
    <t>74919-395</t>
  </si>
  <si>
    <t xml:space="preserve">Uanderson Alves de Brito </t>
  </si>
  <si>
    <t>Thyara Guimarães Crispinho</t>
  </si>
  <si>
    <t>62 984605723</t>
  </si>
  <si>
    <t>bergdaniel309@gmail.com</t>
  </si>
  <si>
    <t>Paulo Cezar Rodrigues Luz</t>
  </si>
  <si>
    <t>62 9820 5643</t>
  </si>
  <si>
    <t>pcluz62@gmail.com</t>
  </si>
  <si>
    <t>70264190130</t>
  </si>
  <si>
    <t>Andre Junio Bons Olhos Fernandes</t>
  </si>
  <si>
    <t>62 984447421</t>
  </si>
  <si>
    <t>mãe Ana Flávia</t>
  </si>
  <si>
    <t>andrejunior1305@gmail.com</t>
  </si>
  <si>
    <t>Rua Aluísio Alvarenga Qd 36 Lt 20</t>
  </si>
  <si>
    <t>Residencial Santa Fé</t>
  </si>
  <si>
    <t>74356-285</t>
  </si>
  <si>
    <t>José Wictor Rodrigues Moura</t>
  </si>
  <si>
    <t>Avaliação</t>
  </si>
  <si>
    <t>62 991521595</t>
  </si>
  <si>
    <t>desing gráfico</t>
  </si>
  <si>
    <t>64 981327690</t>
  </si>
  <si>
    <t>mãe</t>
  </si>
  <si>
    <t>wictorrodrigueslg@gmail.com</t>
  </si>
  <si>
    <t>70333973135</t>
  </si>
  <si>
    <t>Arthur Augusthus Ferreira Cabral</t>
  </si>
  <si>
    <t>Avaliação/Terapia</t>
  </si>
  <si>
    <t xml:space="preserve">estudante - medicina </t>
  </si>
  <si>
    <t>62 981260166</t>
  </si>
  <si>
    <t>mãe Renata</t>
  </si>
  <si>
    <t xml:space="preserve">Rua T.29, 484, Qd.41,  Lt.08/09 - Ed. Excellence ap 1303 </t>
  </si>
  <si>
    <t>74210-050</t>
  </si>
  <si>
    <t xml:space="preserve">Allyson Ribeiro e Silva Cabral </t>
  </si>
  <si>
    <t xml:space="preserve">Renata Claudia Santos Ferreira Cabral </t>
  </si>
  <si>
    <t>03534079175</t>
  </si>
  <si>
    <t>Jefferson Bevenuto dos Santos</t>
  </si>
  <si>
    <t>62 999657858</t>
  </si>
  <si>
    <t>cantor</t>
  </si>
  <si>
    <t>62 981785672</t>
  </si>
  <si>
    <t>empresário Thiago</t>
  </si>
  <si>
    <t>Terezópolis/GO</t>
  </si>
  <si>
    <t>Bruno Machado de Aguiar</t>
  </si>
  <si>
    <t>Gustavo Henrique Luz Resende</t>
  </si>
  <si>
    <t>62 994245909</t>
  </si>
  <si>
    <t>Jarbas Martins Jesuino Junior</t>
  </si>
  <si>
    <t>62 996344824</t>
  </si>
  <si>
    <t xml:space="preserve">engenheiro agronômo </t>
  </si>
  <si>
    <t>16 993146855</t>
  </si>
  <si>
    <t>pai</t>
  </si>
  <si>
    <t>jarbas.jesuino@corteva.com</t>
  </si>
  <si>
    <t>Rua Bento Peneago, 241</t>
  </si>
  <si>
    <t>Jataí/GO</t>
  </si>
  <si>
    <t>75800-055</t>
  </si>
  <si>
    <t>36907569876</t>
  </si>
  <si>
    <t>indicação supervisora Juliana</t>
  </si>
  <si>
    <t>Ivone Rodrigues de Castro</t>
  </si>
  <si>
    <t>31 997261778</t>
  </si>
  <si>
    <t>11 995165444</t>
  </si>
  <si>
    <t>irmã Magda</t>
  </si>
  <si>
    <t>ivonecastro.gyn@gmail.com</t>
  </si>
  <si>
    <t>Avenida José Batista Gregório, acesso 03, casa 52</t>
  </si>
  <si>
    <t>Conj Resid Terra Nova</t>
  </si>
  <si>
    <t>74477-700</t>
  </si>
  <si>
    <t>Matheus de Paula Carvalho</t>
  </si>
  <si>
    <t>62 985268791</t>
  </si>
  <si>
    <t>empresário - produtos hospitalares</t>
  </si>
  <si>
    <t>Rua Joana Darc, Qd 24 Lt. 06</t>
  </si>
  <si>
    <t>Santo Antônio de Goiás/GO</t>
  </si>
  <si>
    <t>75375-000</t>
  </si>
  <si>
    <t>Eliane Marques de Paula</t>
  </si>
  <si>
    <t>04777044173</t>
  </si>
  <si>
    <t>Diogo Alberto da Silva</t>
  </si>
  <si>
    <t>62 994622755</t>
  </si>
  <si>
    <t>62 981439141</t>
  </si>
  <si>
    <t>esposa Lorena</t>
  </si>
  <si>
    <t>02112768123</t>
  </si>
  <si>
    <t>Beatriz Bezerra Almeida</t>
  </si>
  <si>
    <t>estudante</t>
  </si>
  <si>
    <t>62 981449193 / 62 981236788</t>
  </si>
  <si>
    <t>pai / mãe</t>
  </si>
  <si>
    <t xml:space="preserve">Goiânia </t>
  </si>
  <si>
    <t>Fagner A. Morais de Almeida</t>
  </si>
  <si>
    <t>Marlise de Sousa Bezerra</t>
  </si>
  <si>
    <t>07740251151</t>
  </si>
  <si>
    <t>Thais Couto de Brito</t>
  </si>
  <si>
    <t>62 999420092</t>
  </si>
  <si>
    <t>62 984066256</t>
  </si>
  <si>
    <t>marido Carlos</t>
  </si>
  <si>
    <t>thais.coutodebrito@gmail.com</t>
  </si>
  <si>
    <t>Rua C-178, 20</t>
  </si>
  <si>
    <t>Jardim América</t>
  </si>
  <si>
    <t>74275-227</t>
  </si>
  <si>
    <t>indicação paciente - Stella</t>
  </si>
  <si>
    <t>Polliani Silva de Araujo</t>
  </si>
  <si>
    <t>62 993700000</t>
  </si>
  <si>
    <t>Leandro Silva Oliveira</t>
  </si>
  <si>
    <t>99 992125634</t>
  </si>
  <si>
    <t xml:space="preserve">corretor de imóveis </t>
  </si>
  <si>
    <t>94 991061014</t>
  </si>
  <si>
    <t>irmã</t>
  </si>
  <si>
    <t>eng.leandrooliveira@hotmail.com</t>
  </si>
  <si>
    <t xml:space="preserve">Rua piraporã, 65 </t>
  </si>
  <si>
    <t>Alto da Glória</t>
  </si>
  <si>
    <t>74815-230</t>
  </si>
  <si>
    <t>Vicente Dias de Oliveira</t>
  </si>
  <si>
    <t>Edilene Silva Oliveira</t>
  </si>
  <si>
    <t xml:space="preserve">Google - pagina site </t>
  </si>
  <si>
    <t xml:space="preserve">Pedro Pinheiro de Menezes </t>
  </si>
  <si>
    <t>62 98162 9368</t>
  </si>
  <si>
    <t>pai Kalazans</t>
  </si>
  <si>
    <t>Kalazans Pinheiro Costa</t>
  </si>
  <si>
    <t>07710566138</t>
  </si>
  <si>
    <t>Victor de Oliveira Morato</t>
  </si>
  <si>
    <t>64 981187068</t>
  </si>
  <si>
    <t>Criança</t>
  </si>
  <si>
    <t>Davi Lucas Oliveira</t>
  </si>
  <si>
    <t>62 982943988</t>
  </si>
  <si>
    <t>mãe Tatiane</t>
  </si>
  <si>
    <t>Tatiane Gomes de Oliveira</t>
  </si>
  <si>
    <t>Paulo Henrique de Souza Pinheiro</t>
  </si>
  <si>
    <t>62 993245399</t>
  </si>
  <si>
    <t>computação</t>
  </si>
  <si>
    <t>62 992194873</t>
  </si>
  <si>
    <t>phsp.analista@gmail.com</t>
  </si>
  <si>
    <t>Rua da Liberdade, 222 - Bloco D, ap 201</t>
  </si>
  <si>
    <t>Vila Martins</t>
  </si>
  <si>
    <t>74703-210</t>
  </si>
  <si>
    <t>01496535146</t>
  </si>
  <si>
    <t>Doctoralia/Google</t>
  </si>
  <si>
    <t xml:space="preserve">Carlos Augusto </t>
  </si>
  <si>
    <t>não tem registro</t>
  </si>
  <si>
    <t>Idoso</t>
  </si>
  <si>
    <t>Estelita Gomes de Almeida +</t>
  </si>
  <si>
    <t>empresária - vestuário</t>
  </si>
  <si>
    <t>filha Tatiane</t>
  </si>
  <si>
    <t>Juscelia Nogueira de Almeida</t>
  </si>
  <si>
    <t>62 991462430</t>
  </si>
  <si>
    <t>salão beleza</t>
  </si>
  <si>
    <t>Maria Aparecida da Silva</t>
  </si>
  <si>
    <t>62 98498939</t>
  </si>
  <si>
    <t>77 999813371</t>
  </si>
  <si>
    <t>cunhada Jô</t>
  </si>
  <si>
    <t>indicação paciente (mãeTatiane)</t>
  </si>
  <si>
    <t>Italo Teixeira Viana</t>
  </si>
  <si>
    <t>62 982140712</t>
  </si>
  <si>
    <t>Yuri Júlio Medeiros de Souza</t>
  </si>
  <si>
    <t>62 991522924</t>
  </si>
  <si>
    <t>empresário - vestuário</t>
  </si>
  <si>
    <t>Aredson Afonso Pereira Junior</t>
  </si>
  <si>
    <t>64 984109063</t>
  </si>
  <si>
    <t>Jaqueline Costa</t>
  </si>
  <si>
    <t>63 984377800</t>
  </si>
  <si>
    <t>jakeline.costaadv@gmail.com</t>
  </si>
  <si>
    <t>Rua R-1, 27</t>
  </si>
  <si>
    <t>Vila Juscelino Kubitschek</t>
  </si>
  <si>
    <t>Uruaçu</t>
  </si>
  <si>
    <t>76400-000</t>
  </si>
  <si>
    <t>Luis Felipe Tumelero Zago</t>
  </si>
  <si>
    <t>66 999882985</t>
  </si>
  <si>
    <t>mãe Anayara</t>
  </si>
  <si>
    <t>naytumelero@gmail.com</t>
  </si>
  <si>
    <t>Rua 57, 269</t>
  </si>
  <si>
    <t>Setor Norte</t>
  </si>
  <si>
    <t>Água Boa/MT</t>
  </si>
  <si>
    <t>78635-000</t>
  </si>
  <si>
    <t>Alaerte Alves Zago</t>
  </si>
  <si>
    <t>Anayara Tumelero</t>
  </si>
  <si>
    <t>07528913162</t>
  </si>
  <si>
    <t>Luana Portilho Godinho</t>
  </si>
  <si>
    <t>34 610 631347</t>
  </si>
  <si>
    <t>luportilho.med@gmail.com</t>
  </si>
  <si>
    <t>Espanha</t>
  </si>
  <si>
    <t>Iara Sousa Portilho</t>
  </si>
  <si>
    <t>04112659113</t>
  </si>
  <si>
    <t>Ayke Ferreira Cabral</t>
  </si>
  <si>
    <t>Rua T.29, 484, Qd.41,  Lt.08/09 - Ed. Excellence ap 1304</t>
  </si>
  <si>
    <t>74210-051</t>
  </si>
  <si>
    <t>indicação paciente- irmão Arthur</t>
  </si>
  <si>
    <t>Ana Paula Carneiro Silva Gratão</t>
  </si>
  <si>
    <t>16 991542991</t>
  </si>
  <si>
    <t>estudante - veterinária</t>
  </si>
  <si>
    <t>empresário - semijoias</t>
  </si>
  <si>
    <t>Mateus Granzotto Furlanetto</t>
  </si>
  <si>
    <t>62 992967665 / 62 984084486</t>
  </si>
  <si>
    <t xml:space="preserve">mãe </t>
  </si>
  <si>
    <t>Rua C-238, 359 - Ed Hl Park Vaca Brava, ap 601</t>
  </si>
  <si>
    <t>74290-150</t>
  </si>
  <si>
    <t>Humberto Furlanetto de Oliveira</t>
  </si>
  <si>
    <t>Daiene Granzotto Miranda</t>
  </si>
  <si>
    <t>71166689182</t>
  </si>
  <si>
    <t>Vitória Alexandre Carvalho C. Fonseca</t>
  </si>
  <si>
    <t>62 991189009</t>
  </si>
  <si>
    <t>estudante - direito</t>
  </si>
  <si>
    <t>62 99933-2423</t>
  </si>
  <si>
    <t>esposo Ronan</t>
  </si>
  <si>
    <t>vitoria.alexandre1604@gmail.com</t>
  </si>
  <si>
    <t>Rua Angico, 140. APM Bloco 01 e 02, ap 203</t>
  </si>
  <si>
    <t>74885-020</t>
  </si>
  <si>
    <t>indicacação amiga Cristina</t>
  </si>
  <si>
    <t xml:space="preserve">valor social </t>
  </si>
  <si>
    <t>Suyara Veloso e Lemos</t>
  </si>
  <si>
    <t>62 992373442</t>
  </si>
  <si>
    <t>abandonou  a avaliação</t>
  </si>
  <si>
    <t xml:space="preserve">Thais Mendes da Silva </t>
  </si>
  <si>
    <t>62 985807365</t>
  </si>
  <si>
    <t>estudante- eng elétrica</t>
  </si>
  <si>
    <t>05061110161</t>
  </si>
  <si>
    <t>indicação amigos/Familiares</t>
  </si>
  <si>
    <t>Neivander Braga Barros</t>
  </si>
  <si>
    <t>66 992236157</t>
  </si>
  <si>
    <t xml:space="preserve">piloto </t>
  </si>
  <si>
    <t>Miriane Cruvinel Fiuza</t>
  </si>
  <si>
    <t>62 996139489</t>
  </si>
  <si>
    <t>dona de casa</t>
  </si>
  <si>
    <t>Condomínio Aldeia</t>
  </si>
  <si>
    <t>Eurico Gomes de Lima</t>
  </si>
  <si>
    <t>62 991557171</t>
  </si>
  <si>
    <t>empresário - locação máquinas</t>
  </si>
  <si>
    <t>66 981215071</t>
  </si>
  <si>
    <t>esposa Luciellen</t>
  </si>
  <si>
    <t>91851114220</t>
  </si>
  <si>
    <t>Alerte Maria Oliveira</t>
  </si>
  <si>
    <t>62 982555500</t>
  </si>
  <si>
    <t>Fabiano Pereira Arantes</t>
  </si>
  <si>
    <t>62 999071858</t>
  </si>
  <si>
    <t>indicação paciente Suyara (esposa)</t>
  </si>
  <si>
    <t>62 991678722</t>
  </si>
  <si>
    <t>vinikrek123@gmail.com</t>
  </si>
  <si>
    <t xml:space="preserve">autismo nivel moderado? prefere ir direto no psiquiatrico </t>
  </si>
  <si>
    <t>Geovanna Gomes Alves</t>
  </si>
  <si>
    <t>33 6 63428550</t>
  </si>
  <si>
    <t>empresário/vestuário</t>
  </si>
  <si>
    <t xml:space="preserve">Rua CM 1Tropicale - Residencial Salinas </t>
  </si>
  <si>
    <t>Setor Candida de Morais</t>
  </si>
  <si>
    <t>74463-150</t>
  </si>
  <si>
    <t>70705379132</t>
  </si>
  <si>
    <t xml:space="preserve">morava na França </t>
  </si>
  <si>
    <t>Jhessica Fernandes</t>
  </si>
  <si>
    <t>62 985481685</t>
  </si>
  <si>
    <t xml:space="preserve">apropecuária </t>
  </si>
  <si>
    <t>jhessicafernan5fs@gmail.com</t>
  </si>
  <si>
    <t>SãoLuís de Montes Belos/GO</t>
  </si>
  <si>
    <t>indicação amiga - Hebemar</t>
  </si>
  <si>
    <t xml:space="preserve">Arthur Apolo Ferreira Roriz                                       </t>
  </si>
  <si>
    <t>62 999833299</t>
  </si>
  <si>
    <t>mãe Thais</t>
  </si>
  <si>
    <t>Aparecida de Goiânia</t>
  </si>
  <si>
    <t>Willian Peres Roriz</t>
  </si>
  <si>
    <t xml:space="preserve">Thais Garcia Ferreira </t>
  </si>
  <si>
    <t>15464004947</t>
  </si>
  <si>
    <t>indicação aluna Integra</t>
  </si>
  <si>
    <t>Anna Flávia Costa Martins dosSantos</t>
  </si>
  <si>
    <t>351 964 058214</t>
  </si>
  <si>
    <t>annaflaavia28@hotmail.com</t>
  </si>
  <si>
    <t>Portugal</t>
  </si>
  <si>
    <t>Terezinha Maria Oliveira Godoy</t>
  </si>
  <si>
    <t>62 993723731</t>
  </si>
  <si>
    <t>62 92582020</t>
  </si>
  <si>
    <t>filha Claudiana</t>
  </si>
  <si>
    <t>demanda: quero me separar?</t>
  </si>
  <si>
    <t>Nayara de Souza Brito</t>
  </si>
  <si>
    <t>62 981666458</t>
  </si>
  <si>
    <t>professora</t>
  </si>
  <si>
    <t>nayarasb25@gmail.com</t>
  </si>
  <si>
    <t>demanda: tenho TDAH?</t>
  </si>
  <si>
    <t>Ana Carolina Gomes Santana</t>
  </si>
  <si>
    <t>62 991845535</t>
  </si>
  <si>
    <t>esposo Caio</t>
  </si>
  <si>
    <t>Rua T37, 2300 - Ed. DNA Smart Style Bloco G, ap 1402</t>
  </si>
  <si>
    <t>74230-023</t>
  </si>
  <si>
    <t>indicação paciente Caio (esposa)</t>
  </si>
  <si>
    <t xml:space="preserve">sentimentos melancólicos </t>
  </si>
  <si>
    <t>Luisa Leal Gomes</t>
  </si>
  <si>
    <t>62 981625163/ 62 981189044</t>
  </si>
  <si>
    <t>mãe Camilla / pai Sávio</t>
  </si>
  <si>
    <t>Sávio Barra Gomes</t>
  </si>
  <si>
    <t>Camilla Leal Souza Gomes</t>
  </si>
  <si>
    <t>Marcelo Cardoso Martins</t>
  </si>
  <si>
    <t>64 984133620</t>
  </si>
  <si>
    <t>programador/computação</t>
  </si>
  <si>
    <t>Paula Eduarda Amorim</t>
  </si>
  <si>
    <t>62 995016035</t>
  </si>
  <si>
    <t>indicação amigo Marcelo</t>
  </si>
  <si>
    <t xml:space="preserve">sentimento inferioridade no trabalho </t>
  </si>
  <si>
    <t>Jordana de Faria Maciel</t>
  </si>
  <si>
    <t>62 999948593</t>
  </si>
  <si>
    <t xml:space="preserve">médica </t>
  </si>
  <si>
    <t>62 32615016</t>
  </si>
  <si>
    <t>mãe Iraides</t>
  </si>
  <si>
    <t>jordanafmaciel@gmail.com</t>
  </si>
  <si>
    <t>R. 14, 254, Qd. 73 Lt 11/13 - Unique Residence</t>
  </si>
  <si>
    <t>Jardim Goiás</t>
  </si>
  <si>
    <t>74810-190</t>
  </si>
  <si>
    <t>Carlos Alberto Maciel +</t>
  </si>
  <si>
    <t xml:space="preserve">Iraides Pinto de Faria </t>
  </si>
  <si>
    <t>03761412126</t>
  </si>
  <si>
    <t xml:space="preserve">indicação psiquiatra - Jéssica </t>
  </si>
  <si>
    <t>João Luiz Andrade Leitão</t>
  </si>
  <si>
    <t>engenheiro elétrico</t>
  </si>
  <si>
    <t>62 995591902</t>
  </si>
  <si>
    <t>mãe Luciene</t>
  </si>
  <si>
    <t>joao.leitaoengenharia@gmail.com</t>
  </si>
  <si>
    <t>Rua Jatobá</t>
  </si>
  <si>
    <t>Chácara Recreio Samabaia</t>
  </si>
  <si>
    <t>74691-304</t>
  </si>
  <si>
    <t>Fábio Pereira Leitão</t>
  </si>
  <si>
    <t>Luciene Maria de Andrade Leitão</t>
  </si>
  <si>
    <t>03715766107</t>
  </si>
  <si>
    <t>Doctoralia</t>
  </si>
  <si>
    <t>Josiane Velten</t>
  </si>
  <si>
    <t>27 998846503</t>
  </si>
  <si>
    <t>pastora</t>
  </si>
  <si>
    <t>51 998566038</t>
  </si>
  <si>
    <t>esposo Heitor Marques</t>
  </si>
  <si>
    <t>josiane.velten@hotmail.com</t>
  </si>
  <si>
    <t>Rua Marechal Castelo Branco, 3339</t>
  </si>
  <si>
    <t>Schroeder/SC</t>
  </si>
  <si>
    <t>89275-000</t>
  </si>
  <si>
    <t>Josias Velten</t>
  </si>
  <si>
    <t>Florentina Boldt Velten</t>
  </si>
  <si>
    <t>12571653725</t>
  </si>
  <si>
    <t>amizades IECLB</t>
  </si>
  <si>
    <t>Amanda Cristina de Souza</t>
  </si>
  <si>
    <t>62 991000708</t>
  </si>
  <si>
    <t>62 992691761</t>
  </si>
  <si>
    <t>irmã Anna Carolina</t>
  </si>
  <si>
    <t>amanda.chris04@gmail.com</t>
  </si>
  <si>
    <t>Alameda Fleury curado, 159 - Condomínio vida Sol</t>
  </si>
  <si>
    <t>Faiçalville</t>
  </si>
  <si>
    <t>74350-650</t>
  </si>
  <si>
    <t xml:space="preserve">Darci de Souza Lima </t>
  </si>
  <si>
    <t>Iolene Mariano de Oliveira</t>
  </si>
  <si>
    <t>70096990112</t>
  </si>
  <si>
    <t>indicação terceiros (alguém da FGR)</t>
  </si>
  <si>
    <t>Ricardo Leite de Sousa</t>
  </si>
  <si>
    <t>11 953001984</t>
  </si>
  <si>
    <t>11 971498867</t>
  </si>
  <si>
    <t xml:space="preserve">irmã Camila </t>
  </si>
  <si>
    <t>ricardo.lsousa84@gmail.com</t>
  </si>
  <si>
    <t>74691-305</t>
  </si>
  <si>
    <t xml:space="preserve">Antonio Luis Gomes Sousa </t>
  </si>
  <si>
    <t>Solange Gramelick Leite G. Sousa</t>
  </si>
  <si>
    <t>30915636859</t>
  </si>
  <si>
    <t>indicação paciente - João Leitão</t>
  </si>
  <si>
    <t>Júlia Olegario dos Santos</t>
  </si>
  <si>
    <t>estudante 1° ano Ens Fundamental</t>
  </si>
  <si>
    <t>62 982025350 / 62 982057486</t>
  </si>
  <si>
    <t>Mãe/pai</t>
  </si>
  <si>
    <t>nolegario1988@icloud.com</t>
  </si>
  <si>
    <t>Rua das Roseiras. Qd 5 lt 1 casa 2.</t>
  </si>
  <si>
    <t>Parque das Paineiras.</t>
  </si>
  <si>
    <t>74369-139</t>
  </si>
  <si>
    <t>Murilo Soares dos Santos</t>
  </si>
  <si>
    <t>Natália Newman Olegario de Faria</t>
  </si>
  <si>
    <t>08552269198</t>
  </si>
  <si>
    <t>indicação paciente - Heitor (mãe Jhenifer)</t>
  </si>
  <si>
    <t xml:space="preserve">dificuldades financeiras p continuar terapia </t>
  </si>
  <si>
    <t>Paulo Henrique Pinho de Morais</t>
  </si>
  <si>
    <t>62 993500641</t>
  </si>
  <si>
    <t>advogado</t>
  </si>
  <si>
    <t>Larissa Silva Pinto</t>
  </si>
  <si>
    <t>62 986310031</t>
  </si>
  <si>
    <t>indicação pacientes - Luana</t>
  </si>
  <si>
    <t>autoconehecimento e relacionamentos</t>
  </si>
  <si>
    <t>Estefânia da Conceição de Souza Rabelo</t>
  </si>
  <si>
    <t>62 982265518</t>
  </si>
  <si>
    <t>vendedora</t>
  </si>
  <si>
    <t>ester.cristojesus21@gmail.com</t>
  </si>
  <si>
    <t>abuso sexual e dificuldades no casamento</t>
  </si>
  <si>
    <t>Rosimere Lima Vasconcelos Resende</t>
  </si>
  <si>
    <t>62 981197964</t>
  </si>
  <si>
    <t xml:space="preserve">Condomínio Aldeia </t>
  </si>
  <si>
    <t xml:space="preserve">Indicação pacinete - Miriane </t>
  </si>
  <si>
    <t xml:space="preserve">problemas do casamento </t>
  </si>
  <si>
    <t>João Guilherme Rodrigues de Souza</t>
  </si>
  <si>
    <t>1 415 8107204</t>
  </si>
  <si>
    <t>1 650 4524841</t>
  </si>
  <si>
    <t>Mãe Kamyla</t>
  </si>
  <si>
    <t>Califórnia/EUA</t>
  </si>
  <si>
    <t>Kamyla Ferrante</t>
  </si>
  <si>
    <t>indicação de colegas - Amanda</t>
  </si>
  <si>
    <t xml:space="preserve">baixo autoestima </t>
  </si>
  <si>
    <t>Renata Balbino Dias</t>
  </si>
  <si>
    <t>62 991309344</t>
  </si>
  <si>
    <t>veterinária</t>
  </si>
  <si>
    <t>indicação paciente - Luana</t>
  </si>
  <si>
    <t xml:space="preserve">problemas no relacionamento </t>
  </si>
  <si>
    <t>Cleide Pessoni Pereira</t>
  </si>
  <si>
    <t>62 999090018</t>
  </si>
  <si>
    <t xml:space="preserve">motorista de entrega/ aposentada </t>
  </si>
  <si>
    <t>62 998084050</t>
  </si>
  <si>
    <t>filha Pollyanna</t>
  </si>
  <si>
    <t>indicação paciente - Yara</t>
  </si>
  <si>
    <t>Renata Gonçalves da Silva</t>
  </si>
  <si>
    <t>62 981242574</t>
  </si>
  <si>
    <t>empresária/vestuário</t>
  </si>
  <si>
    <t>Valcy Jeremias Moreira</t>
  </si>
  <si>
    <t>62 996879868</t>
  </si>
  <si>
    <t>Rua 15, 108 - Ed Aldebaran, ap 100</t>
  </si>
  <si>
    <t>74140-035</t>
  </si>
  <si>
    <t>04692391820</t>
  </si>
  <si>
    <t>Julia A. Moreira</t>
  </si>
  <si>
    <t>62 999891959</t>
  </si>
  <si>
    <t>estudante - ens médio 1°</t>
  </si>
  <si>
    <t>62 996879868 / 62 991069297</t>
  </si>
  <si>
    <t>pai/mãe</t>
  </si>
  <si>
    <t>Rua 15, 108 - Ed Aldebaran, ap 101</t>
  </si>
  <si>
    <t>74140-036</t>
  </si>
  <si>
    <t>Neila</t>
  </si>
  <si>
    <t>Constância de Oliveira Lima</t>
  </si>
  <si>
    <t>62 996131014</t>
  </si>
  <si>
    <t>secretária de consultório</t>
  </si>
  <si>
    <t>indicação paciente - Núbia</t>
  </si>
  <si>
    <t xml:space="preserve">baixa autoestima autossabotagem </t>
  </si>
  <si>
    <t>Alexandra Moreira Santos</t>
  </si>
  <si>
    <t>estudante - ens fundamental</t>
  </si>
  <si>
    <t>62 998575477 / 62 982142476</t>
  </si>
  <si>
    <t>mãe Ayara/ pai Alex</t>
  </si>
  <si>
    <t>indicação paciente - Luiza (Mariana mãe)</t>
  </si>
  <si>
    <t>Élida Custódia da Cunha Souza</t>
  </si>
  <si>
    <t>351 910 108853</t>
  </si>
  <si>
    <t xml:space="preserve"> acompanhante de bebida bar</t>
  </si>
  <si>
    <t xml:space="preserve">indicação paciente - Renata Gonçalves </t>
  </si>
  <si>
    <t>Lucimeire Itaides Santana Arruda (karol)</t>
  </si>
  <si>
    <t>62 991134304</t>
  </si>
  <si>
    <t>indicação pacinete - Luana</t>
  </si>
  <si>
    <t>angústia pontual com o pai idoso que venho morar com ela</t>
  </si>
  <si>
    <t>Alexandre Brasil de Abreu</t>
  </si>
  <si>
    <t>62 981150180</t>
  </si>
  <si>
    <t>empresário/academia</t>
  </si>
  <si>
    <t>Natália Rocha</t>
  </si>
  <si>
    <t>62 985933743</t>
  </si>
  <si>
    <t>trabalhava na cademia c o ex esposo</t>
  </si>
  <si>
    <t>indicação paciente - Alexandre</t>
  </si>
  <si>
    <t>Alinne Ungarelli Oliveira</t>
  </si>
  <si>
    <t>62 999030975</t>
  </si>
  <si>
    <t>fisioterapeuca tribunal justiça</t>
  </si>
  <si>
    <t>Gabriel Ferreira Mendanha</t>
  </si>
  <si>
    <t>62 999424618</t>
  </si>
  <si>
    <t>estudante - ens médio</t>
  </si>
  <si>
    <t xml:space="preserve">62 999774653 / 62 996793814 </t>
  </si>
  <si>
    <t>paiLuciano/ mãe Marilene</t>
  </si>
  <si>
    <t>gabeestrelinha@gmail.com</t>
  </si>
  <si>
    <t>Rua A 21, Qd 23A, Lt 23, Cond. Jardins Atenas</t>
  </si>
  <si>
    <t xml:space="preserve">Jardins Atenas </t>
  </si>
  <si>
    <t>74885-573</t>
  </si>
  <si>
    <t>Luciano José Mendanha</t>
  </si>
  <si>
    <t>Marilene Ferreira Silva Mendanha</t>
  </si>
  <si>
    <t>04038107108</t>
  </si>
  <si>
    <t>Yara Kelly Sousa França</t>
  </si>
  <si>
    <t>62 991829420</t>
  </si>
  <si>
    <t>empresária/ financeiro e construção</t>
  </si>
  <si>
    <t>62 985510616</t>
  </si>
  <si>
    <t>esposa Pollyanna</t>
  </si>
  <si>
    <t>yarakelly@yapsolucoes.com.br</t>
  </si>
  <si>
    <t>Rua Timbure, 81 -  Lá vita Residence, ap. 1303</t>
  </si>
  <si>
    <t>Santa Genoveva</t>
  </si>
  <si>
    <t>74670-040</t>
  </si>
  <si>
    <t>Divino Pereira franca +</t>
  </si>
  <si>
    <t xml:space="preserve">Antonia de Sousa lima </t>
  </si>
  <si>
    <t>00655831169</t>
  </si>
  <si>
    <t>Wesley Dias Soares</t>
  </si>
  <si>
    <t>62 981407845</t>
  </si>
  <si>
    <t>62 992481156/ 62 983086715</t>
  </si>
  <si>
    <t>mãe Irany/ esposa Tainá</t>
  </si>
  <si>
    <t>wesley.soares@hotmail.com.br</t>
  </si>
  <si>
    <t>Senador Canedo/GO</t>
  </si>
  <si>
    <t>Iracy</t>
  </si>
  <si>
    <t xml:space="preserve">indicação paciente - Caio e Ana </t>
  </si>
  <si>
    <t>Marianna Pereira Martins</t>
  </si>
  <si>
    <t>61 993043722</t>
  </si>
  <si>
    <t>estudante - ensino médio</t>
  </si>
  <si>
    <t>63 992555373</t>
  </si>
  <si>
    <t>mãe Luanna</t>
  </si>
  <si>
    <t>marianna.peereira@gmail.com</t>
  </si>
  <si>
    <t>Avenida T-5, Ed. Zeus Park House - Apart 1802</t>
  </si>
  <si>
    <t>74230-045</t>
  </si>
  <si>
    <t>Amarildo Martins  Mariano</t>
  </si>
  <si>
    <t>Luanna Carneiro Pereira CPF 73013145153</t>
  </si>
  <si>
    <t>05715819199</t>
  </si>
  <si>
    <t>Luiza Lima Santana Rodrigues</t>
  </si>
  <si>
    <t>62 996701829</t>
  </si>
  <si>
    <t>62 996871826</t>
  </si>
  <si>
    <t>mãe Mariana</t>
  </si>
  <si>
    <t>marianagl.arquitetura@gmail.com</t>
  </si>
  <si>
    <t>Rua C 229, 213 - Ed. Essência Homeclub, ap 1302A</t>
  </si>
  <si>
    <t>74290-110</t>
  </si>
  <si>
    <t>Eduardo Santana Rodrigues</t>
  </si>
  <si>
    <t>Mariana Guimarães de Lima</t>
  </si>
  <si>
    <t>indicação terceiros/outro -local de atendiemnto</t>
  </si>
  <si>
    <t>Gilbrair Alcantara de Oliveira</t>
  </si>
  <si>
    <t>62 984176267</t>
  </si>
  <si>
    <t xml:space="preserve">farmacêutico </t>
  </si>
  <si>
    <t>62 984034386 / 62 984011949</t>
  </si>
  <si>
    <t>esposa Renata/ irmã Adriana</t>
  </si>
  <si>
    <t xml:space="preserve">gilbrair@gmail.com </t>
  </si>
  <si>
    <t xml:space="preserve">Rua Tamboril, Qd 133,  Lt 30 </t>
  </si>
  <si>
    <t xml:space="preserve">Santa Genoveva </t>
  </si>
  <si>
    <t>74672-540</t>
  </si>
  <si>
    <t>84407123168</t>
  </si>
  <si>
    <t>Heitor Luiz Mota e Silva</t>
  </si>
  <si>
    <t xml:space="preserve">estudante ens fundamental </t>
  </si>
  <si>
    <t>62 982929235 / 62 982260581</t>
  </si>
  <si>
    <t>Rua Getúlio Vargas Qd 20 Lt:35/36 - casa 2</t>
  </si>
  <si>
    <t xml:space="preserve">Parque Amazonas </t>
  </si>
  <si>
    <t>74340-080</t>
  </si>
  <si>
    <t xml:space="preserve">Alessandro José da silva </t>
  </si>
  <si>
    <t>Jhenifer Gomes Mota da Silva</t>
  </si>
  <si>
    <t>71492680133</t>
  </si>
  <si>
    <t>doctoralia/google</t>
  </si>
  <si>
    <t>CPF pai 003.198.221-25</t>
  </si>
  <si>
    <t>Ariadna Santos Rodrigues</t>
  </si>
  <si>
    <t>62 982483847</t>
  </si>
  <si>
    <t xml:space="preserve">pedagoga </t>
  </si>
  <si>
    <t xml:space="preserve">ate 07/2023 fo valor social </t>
  </si>
  <si>
    <t>Caio Vinicius Dollis Camargos </t>
  </si>
  <si>
    <t>62 999926359</t>
  </si>
  <si>
    <t xml:space="preserve">estudande - relações internacionais </t>
  </si>
  <si>
    <t>62 982294105</t>
  </si>
  <si>
    <t>mãe Juliana</t>
  </si>
  <si>
    <t xml:space="preserve">Rua J-71, 233, Qd 125, Lt 8, </t>
  </si>
  <si>
    <t>Setor Jaó</t>
  </si>
  <si>
    <t>74674-380</t>
  </si>
  <si>
    <t>Wladimyr Vinycius de Moraes Camargos</t>
  </si>
  <si>
    <t>Juliana Dollis</t>
  </si>
  <si>
    <t>02316583113</t>
  </si>
  <si>
    <t>avaliação iniciou 25/01/2023</t>
  </si>
  <si>
    <t xml:space="preserve">Mayara Vieira Silva </t>
  </si>
  <si>
    <t>62 984193325</t>
  </si>
  <si>
    <t xml:space="preserve">professora universitária </t>
  </si>
  <si>
    <t>62 984369474</t>
  </si>
  <si>
    <t>esposo Douglas</t>
  </si>
  <si>
    <t>mayaravieirasilva@gmail.com</t>
  </si>
  <si>
    <t>Av: Leblon, Q: 147 - Cond New Park, Torre 3, ap.801</t>
  </si>
  <si>
    <t xml:space="preserve">Jardim Atlântico </t>
  </si>
  <si>
    <t>74843-440</t>
  </si>
  <si>
    <t xml:space="preserve">Wilson Vieira </t>
  </si>
  <si>
    <t xml:space="preserve">Aparecida de Fátima Silva </t>
  </si>
  <si>
    <t>04103251123</t>
  </si>
  <si>
    <t xml:space="preserve">mora em ceres e goiânia </t>
  </si>
  <si>
    <t>Luana Guisela Pereira Borba</t>
  </si>
  <si>
    <t>62 993219359</t>
  </si>
  <si>
    <t>advogada pública secret Saude</t>
  </si>
  <si>
    <t>62 991906688</t>
  </si>
  <si>
    <t>mãe Sanderli</t>
  </si>
  <si>
    <t>luanaguisela@hotmail.com</t>
  </si>
  <si>
    <t xml:space="preserve">Rua C-84. Qd. 150 , Lt. 01 - casa 01 </t>
  </si>
  <si>
    <t xml:space="preserve">Setor Sudoeste </t>
  </si>
  <si>
    <t>74303-180</t>
  </si>
  <si>
    <t>Atanir Eduardo Borba</t>
  </si>
  <si>
    <t xml:space="preserve">Sanderli Dionisio Pereira Borba </t>
  </si>
  <si>
    <t>03660821160</t>
  </si>
  <si>
    <t>Núbia Berenice de Oliveira Vieira</t>
  </si>
  <si>
    <t>62 981286369</t>
  </si>
  <si>
    <t>62 982122020</t>
  </si>
  <si>
    <t>esposo Diogo Figueiredo</t>
  </si>
  <si>
    <t>adv.nubiaoliveira@gmail.com</t>
  </si>
  <si>
    <t>Setor Marista</t>
  </si>
  <si>
    <t>s/n faleceu quando era bebê</t>
  </si>
  <si>
    <t>Eunice Maria de Oliveira</t>
  </si>
  <si>
    <t>01143942108</t>
  </si>
  <si>
    <t>Ana Karolina Santana Arruda</t>
  </si>
  <si>
    <t>44 988567795</t>
  </si>
  <si>
    <t>médica oncologista</t>
  </si>
  <si>
    <t>mãe Lucimeire</t>
  </si>
  <si>
    <t xml:space="preserve">Brasilia </t>
  </si>
  <si>
    <t>Lucimeire Itaides Santana Arruda</t>
  </si>
  <si>
    <t>indicação paciente - Luana (mãe Sanderli)</t>
  </si>
  <si>
    <t>Allysson Pinheiro Rego</t>
  </si>
  <si>
    <t>510 6407083</t>
  </si>
  <si>
    <t xml:space="preserve">entregador </t>
  </si>
  <si>
    <t>EUA</t>
  </si>
  <si>
    <t>Vanessa Estrela Gertrudes</t>
  </si>
  <si>
    <t>62 981317015</t>
  </si>
  <si>
    <t xml:space="preserve">juiza </t>
  </si>
  <si>
    <t>62 999797015</t>
  </si>
  <si>
    <t>esposo Adriano</t>
  </si>
  <si>
    <t>va-estrela@hotmail.com</t>
  </si>
  <si>
    <t>Rua A 22 Qd. 21A lt. 11 Cond. Jardins Atenas</t>
  </si>
  <si>
    <t>74885-580</t>
  </si>
  <si>
    <t>José Roberto Gertrudes  +</t>
  </si>
  <si>
    <t>Maria das Graças Gertrudes</t>
  </si>
  <si>
    <t>63351854153</t>
  </si>
  <si>
    <t>30860545 telefone residencial</t>
  </si>
  <si>
    <t>Isabel Fleury Teixeira Araújo</t>
  </si>
  <si>
    <t>62 996675826</t>
  </si>
  <si>
    <t>indicação paciente - Heior (mãe Jhenifer)</t>
  </si>
  <si>
    <t>Mathilde Madeleine Mounette Marie-Ange Roffi</t>
  </si>
  <si>
    <t>62 982236271</t>
  </si>
  <si>
    <t>Silvana Aparecida de Queiroz</t>
  </si>
  <si>
    <t>62 984748330</t>
  </si>
  <si>
    <t>pedagoga</t>
  </si>
  <si>
    <t>62 986303431 / 62 986235593</t>
  </si>
  <si>
    <t>Chico / Gleibson irmão?</t>
  </si>
  <si>
    <t>silvanadinda@yahoo.com.br</t>
  </si>
  <si>
    <t>Rua 7, qd 1, LT 21</t>
  </si>
  <si>
    <t xml:space="preserve">Conjunto Renascer </t>
  </si>
  <si>
    <t>Abadia de Goiás/GO</t>
  </si>
  <si>
    <t>75345-000</t>
  </si>
  <si>
    <t>João Cândido de Queiroz +</t>
  </si>
  <si>
    <t xml:space="preserve">Maria Aparecida Júlio e Queiroz </t>
  </si>
  <si>
    <t>76486656115</t>
  </si>
  <si>
    <t>indicação paciente - Luana (prima q indicou)</t>
  </si>
  <si>
    <t>Cleidlene Rosa da Silva</t>
  </si>
  <si>
    <t>39 328 5334326</t>
  </si>
  <si>
    <t>recepcionista prédio</t>
  </si>
  <si>
    <t>Itália</t>
  </si>
  <si>
    <t>indicação paciente - Silvana (prima q indicou)</t>
  </si>
  <si>
    <t>Flavio Vieira Barbosa</t>
  </si>
  <si>
    <t>64 992799771</t>
  </si>
  <si>
    <t>64 993375225</t>
  </si>
  <si>
    <t xml:space="preserve">esposa </t>
  </si>
  <si>
    <t>fvbvieirabarbosa2015@gmail.com</t>
  </si>
  <si>
    <t xml:space="preserve">Rua dona Sebastiana Neto, Qd. 07 Lt 12a </t>
  </si>
  <si>
    <t>Aldo da Boa Vista II</t>
  </si>
  <si>
    <t>76100-000</t>
  </si>
  <si>
    <t>Francisco Vitalino Barbosa</t>
  </si>
  <si>
    <t>Maria Lucia Vieira Barbosa</t>
  </si>
  <si>
    <t>02333072148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</si>
</sst>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R$ -416]#,##0.00"/>
    <numFmt numFmtId="165" formatCode="dd&quot;/&quot;mmm"/>
    <numFmt numFmtId="166" formatCode="d/m"/>
    <numFmt numFmtId="167" formatCode="dd/mm"/>
    <numFmt numFmtId="168" formatCode="d/m/yyyy"/>
  </numFmts>
  <fonts count="18">
    <font>
      <sz val="10"/>
      <color rgb="FF000000"/>
      <name val="Arial"/>
      <scheme val="minor"/>
    </font>
    <font>
      <b/>
      <i/>
      <sz val="10"/>
      <color rgb="FF0000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FF"/>
      <name val="Arial"/>
      <scheme val="minor"/>
    </font>
    <font>
      <sz val="10"/>
      <color rgb="FFFF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Roboto"/>
    </font>
    <font>
      <sz val="10"/>
      <color rgb="FF000000"/>
      <name val="Arial"/>
    </font>
    <font>
      <b/>
      <sz val="10"/>
      <color rgb="FF0000FF"/>
      <name val="Arial"/>
      <scheme val="minor"/>
    </font>
    <font>
      <sz val="11"/>
      <color rgb="FF000000"/>
      <name val="Arial"/>
      <scheme val="minor"/>
    </font>
    <font>
      <sz val="10"/>
      <color rgb="FF1F1F1F"/>
      <name val="Arial"/>
      <scheme val="minor"/>
    </font>
    <font>
      <sz val="9"/>
      <color rgb="FF1F1F1F"/>
      <name val="&quot;Google Sans&quot;"/>
    </font>
    <font>
      <sz val="9"/>
      <color rgb="FF1155CC"/>
      <name val="&quot;Google Sans&quot;"/>
    </font>
    <font>
      <sz val="9"/>
      <color rgb="FF1155CC"/>
      <name val="Google Sans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33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1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5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164" fontId="3" fillId="3" borderId="10" xfId="0" applyNumberFormat="1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top" wrapText="1"/>
    </xf>
    <xf numFmtId="0" fontId="3" fillId="4" borderId="14" xfId="0" applyFont="1" applyFill="1" applyBorder="1" applyAlignment="1">
      <alignment horizontal="center" vertical="top" wrapText="1"/>
    </xf>
    <xf numFmtId="0" fontId="3" fillId="4" borderId="15" xfId="0" applyFont="1" applyFill="1" applyBorder="1" applyAlignment="1">
      <alignment horizontal="center" vertical="top"/>
    </xf>
    <xf numFmtId="0" fontId="6" fillId="4" borderId="15" xfId="0" applyFont="1" applyFill="1" applyBorder="1" applyAlignment="1">
      <alignment horizontal="center" vertical="top"/>
    </xf>
    <xf numFmtId="0" fontId="3" fillId="4" borderId="16" xfId="0" applyFont="1" applyFill="1" applyBorder="1" applyAlignment="1">
      <alignment horizontal="center" vertical="top"/>
    </xf>
    <xf numFmtId="0" fontId="3" fillId="5" borderId="17" xfId="0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3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164" fontId="7" fillId="0" borderId="15" xfId="0" applyNumberFormat="1" applyFont="1" applyBorder="1"/>
    <xf numFmtId="164" fontId="7" fillId="0" borderId="16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64" fontId="8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0" fontId="2" fillId="0" borderId="19" xfId="0" applyFont="1" applyBorder="1" applyAlignment="1">
      <alignment horizontal="center"/>
    </xf>
    <xf numFmtId="164" fontId="2" fillId="6" borderId="19" xfId="0" applyNumberFormat="1" applyFont="1" applyFill="1" applyBorder="1" applyAlignment="1">
      <alignment horizontal="center"/>
    </xf>
    <xf numFmtId="164" fontId="2" fillId="7" borderId="19" xfId="0" applyNumberFormat="1" applyFont="1" applyFill="1" applyBorder="1" applyAlignment="1">
      <alignment horizontal="center"/>
    </xf>
    <xf numFmtId="14" fontId="3" fillId="7" borderId="18" xfId="0" applyNumberFormat="1" applyFont="1" applyFill="1" applyBorder="1" applyAlignment="1">
      <alignment horizontal="center"/>
    </xf>
    <xf numFmtId="164" fontId="2" fillId="7" borderId="20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164" fontId="2" fillId="5" borderId="19" xfId="0" applyNumberFormat="1" applyFont="1" applyFill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164" fontId="7" fillId="0" borderId="25" xfId="0" applyNumberFormat="1" applyFont="1" applyBorder="1" applyAlignment="1">
      <alignment horizontal="center"/>
    </xf>
    <xf numFmtId="164" fontId="7" fillId="0" borderId="25" xfId="0" applyNumberFormat="1" applyFont="1" applyBorder="1"/>
    <xf numFmtId="164" fontId="7" fillId="0" borderId="26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right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6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8" fillId="6" borderId="0" xfId="0" applyFont="1" applyFill="1"/>
    <xf numFmtId="0" fontId="11" fillId="6" borderId="0" xfId="0" applyFont="1" applyFill="1"/>
    <xf numFmtId="164" fontId="2" fillId="7" borderId="0" xfId="0" applyNumberFormat="1" applyFont="1" applyFill="1" applyAlignment="1">
      <alignment horizontal="center"/>
    </xf>
    <xf numFmtId="0" fontId="2" fillId="7" borderId="0" xfId="0" applyFont="1" applyFill="1"/>
    <xf numFmtId="0" fontId="12" fillId="6" borderId="0" xfId="0" applyFont="1" applyFill="1"/>
    <xf numFmtId="0" fontId="7" fillId="0" borderId="0" xfId="0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6" borderId="0" xfId="0" applyNumberFormat="1" applyFont="1" applyFill="1"/>
    <xf numFmtId="164" fontId="7" fillId="0" borderId="0" xfId="0" applyNumberFormat="1" applyFont="1"/>
    <xf numFmtId="164" fontId="2" fillId="6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0" fontId="7" fillId="7" borderId="0" xfId="0" applyFont="1" applyFill="1" applyAlignment="1">
      <alignment horizontal="center"/>
    </xf>
    <xf numFmtId="0" fontId="15" fillId="6" borderId="0" xfId="0" applyFont="1" applyFill="1"/>
    <xf numFmtId="0" fontId="2" fillId="6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7" fillId="6" borderId="0" xfId="0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8" borderId="0" xfId="0" applyFont="1" applyFill="1" applyAlignment="1">
      <alignment horizontal="center"/>
    </xf>
    <xf numFmtId="0" fontId="3" fillId="0" borderId="0" xfId="0" applyFo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0" fontId="2" fillId="0" borderId="30" xfId="0" applyFont="1" applyBorder="1"/>
    <xf numFmtId="0" fontId="12" fillId="0" borderId="0" xfId="0" applyFont="1"/>
    <xf numFmtId="0" fontId="16" fillId="0" borderId="0" xfId="0" applyFont="1"/>
    <xf numFmtId="49" fontId="16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3" fontId="2" fillId="0" borderId="0" xfId="0" applyNumberFormat="1" applyFont="1"/>
    <xf numFmtId="0" fontId="3" fillId="7" borderId="0" xfId="0" applyFont="1" applyFill="1"/>
    <xf numFmtId="0" fontId="2" fillId="9" borderId="0" xfId="0" applyFont="1" applyFill="1"/>
    <xf numFmtId="14" fontId="2" fillId="9" borderId="0" xfId="0" applyNumberFormat="1" applyFont="1" applyFill="1" applyAlignment="1">
      <alignment horizontal="center"/>
    </xf>
    <xf numFmtId="0" fontId="2" fillId="6" borderId="0" xfId="0" applyFont="1" applyFill="1"/>
    <xf numFmtId="0" fontId="3" fillId="8" borderId="0" xfId="0" applyFont="1" applyFill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0" fontId="2" fillId="0" borderId="32" xfId="0" applyFont="1" applyBorder="1"/>
    <xf numFmtId="14" fontId="2" fillId="0" borderId="0" xfId="0" applyNumberFormat="1" applyFont="1"/>
  </cellXfs>
  <cellStyles count="1">
    <cellStyle name="Normal" xfId="0" builtinId="0"/>
  </cellStyles>
  <dxfs count="9">
    <dxf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F16F"/>
          <bgColor rgb="FF6FF16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 patternType="solid">
          <fgColor theme="0"/>
          <bgColor theme="0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FFFF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'Fluxo de Caixa'!$C$3:$C$15</c:f>
              <c:strCache>
                <c:ptCount val="13"/>
                <c:pt idx="0">
                  <c:v>2022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'Fluxo de Caixa'!$D$3:$D$15</c:f>
              <c:numCache>
                <c:formatCode>[$R$ -416]#,##0.00</c:formatCode>
                <c:ptCount val="13"/>
                <c:pt idx="0" formatCode="General">
                  <c:v>0</c:v>
                </c:pt>
                <c:pt idx="1">
                  <c:v>50</c:v>
                </c:pt>
                <c:pt idx="2">
                  <c:v>350</c:v>
                </c:pt>
                <c:pt idx="3">
                  <c:v>1745</c:v>
                </c:pt>
                <c:pt idx="4">
                  <c:v>2450</c:v>
                </c:pt>
                <c:pt idx="5">
                  <c:v>3350</c:v>
                </c:pt>
                <c:pt idx="6">
                  <c:v>4250</c:v>
                </c:pt>
                <c:pt idx="7">
                  <c:v>4650</c:v>
                </c:pt>
                <c:pt idx="8">
                  <c:v>9700</c:v>
                </c:pt>
                <c:pt idx="9">
                  <c:v>8000</c:v>
                </c:pt>
                <c:pt idx="10">
                  <c:v>12689.95</c:v>
                </c:pt>
                <c:pt idx="11">
                  <c:v>12995</c:v>
                </c:pt>
                <c:pt idx="12">
                  <c:v>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6B-4421-A869-351F15597F3A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'Fluxo de Caixa'!$C$3:$C$15</c:f>
              <c:strCache>
                <c:ptCount val="13"/>
                <c:pt idx="0">
                  <c:v>2022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'Fluxo de Caixa'!$E$3:$E$15</c:f>
              <c:numCache>
                <c:formatCode>[$R$ -416]#,##0.00</c:formatCode>
                <c:ptCount val="13"/>
                <c:pt idx="0" formatCode="General">
                  <c:v>0</c:v>
                </c:pt>
                <c:pt idx="1">
                  <c:v>1924.42</c:v>
                </c:pt>
                <c:pt idx="2">
                  <c:v>1557.88</c:v>
                </c:pt>
                <c:pt idx="3">
                  <c:v>1952.47</c:v>
                </c:pt>
                <c:pt idx="4">
                  <c:v>3588.2200000000003</c:v>
                </c:pt>
                <c:pt idx="5">
                  <c:v>2881</c:v>
                </c:pt>
                <c:pt idx="6">
                  <c:v>2634.85</c:v>
                </c:pt>
                <c:pt idx="7">
                  <c:v>3324.5099999999998</c:v>
                </c:pt>
                <c:pt idx="8">
                  <c:v>4024.7400000000002</c:v>
                </c:pt>
                <c:pt idx="9">
                  <c:v>4929.26</c:v>
                </c:pt>
                <c:pt idx="10">
                  <c:v>5634.6100000000006</c:v>
                </c:pt>
                <c:pt idx="11">
                  <c:v>4350.3500000000004</c:v>
                </c:pt>
                <c:pt idx="12">
                  <c:v>8930.66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16B-4421-A869-351F15597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5506788"/>
        <c:axId val="1293212728"/>
        <c:axId val="0"/>
      </c:bar3DChart>
      <c:catAx>
        <c:axId val="645506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93212728"/>
        <c:crosses val="autoZero"/>
        <c:auto val="1"/>
        <c:lblAlgn val="ctr"/>
        <c:lblOffset val="100"/>
        <c:noMultiLvlLbl val="1"/>
      </c:catAx>
      <c:valAx>
        <c:axId val="1293212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4550678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0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Líquido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418297203453453"/>
          <c:y val="0.26676829268292684"/>
          <c:w val="0.83354565503003009"/>
          <c:h val="0.53696708031272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'Fluxo de Caixa'!$C$4:$C$15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Caixa'!$P$4:$P$15</c:f>
              <c:numCache>
                <c:formatCode>[$R$ -416]#,##0.00</c:formatCode>
                <c:ptCount val="12"/>
                <c:pt idx="0">
                  <c:v>-1874.42</c:v>
                </c:pt>
                <c:pt idx="1">
                  <c:v>-1207.8800000000001</c:v>
                </c:pt>
                <c:pt idx="2">
                  <c:v>-207.47000000000003</c:v>
                </c:pt>
                <c:pt idx="3">
                  <c:v>-1138.2200000000003</c:v>
                </c:pt>
                <c:pt idx="4">
                  <c:v>469</c:v>
                </c:pt>
                <c:pt idx="5">
                  <c:v>1615.15</c:v>
                </c:pt>
                <c:pt idx="6">
                  <c:v>1325.4900000000002</c:v>
                </c:pt>
                <c:pt idx="7">
                  <c:v>5675.26</c:v>
                </c:pt>
                <c:pt idx="8">
                  <c:v>3070.74</c:v>
                </c:pt>
                <c:pt idx="9">
                  <c:v>7055.34</c:v>
                </c:pt>
                <c:pt idx="10">
                  <c:v>8644.65</c:v>
                </c:pt>
                <c:pt idx="11">
                  <c:v>-930.65999999999985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90-4B92-AD0F-A801B642B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2336956"/>
        <c:axId val="840606065"/>
      </c:barChart>
      <c:catAx>
        <c:axId val="142233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40606065"/>
        <c:crosses val="autoZero"/>
        <c:auto val="1"/>
        <c:lblAlgn val="ctr"/>
        <c:lblOffset val="100"/>
        <c:noMultiLvlLbl val="1"/>
      </c:catAx>
      <c:valAx>
        <c:axId val="840606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$ -416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223369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0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'Fluxo de Caixa'!$C$20:$C$31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Caixa'!$D$20:$D$31</c:f>
              <c:numCache>
                <c:formatCode>[$R$ -416]#,##0.00</c:formatCode>
                <c:ptCount val="12"/>
                <c:pt idx="0">
                  <c:v>10650</c:v>
                </c:pt>
                <c:pt idx="1">
                  <c:v>12725</c:v>
                </c:pt>
                <c:pt idx="2">
                  <c:v>12809.36</c:v>
                </c:pt>
                <c:pt idx="3">
                  <c:v>11101.25</c:v>
                </c:pt>
                <c:pt idx="4">
                  <c:v>8906.25</c:v>
                </c:pt>
                <c:pt idx="5">
                  <c:v>13011.25</c:v>
                </c:pt>
                <c:pt idx="6">
                  <c:v>11471.25</c:v>
                </c:pt>
                <c:pt idx="7">
                  <c:v>18066.88</c:v>
                </c:pt>
                <c:pt idx="8">
                  <c:v>20177.739999999998</c:v>
                </c:pt>
                <c:pt idx="9">
                  <c:v>23650</c:v>
                </c:pt>
                <c:pt idx="10">
                  <c:v>23470</c:v>
                </c:pt>
                <c:pt idx="11">
                  <c:v>19700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D3-47B4-87BD-C0477B885D10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'Fluxo de Caixa'!$C$20:$C$31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'Fluxo de Caixa'!$E$20:$E$31</c:f>
              <c:numCache>
                <c:formatCode>[$R$ -416]#,##0.00</c:formatCode>
                <c:ptCount val="12"/>
                <c:pt idx="0">
                  <c:v>14217.29</c:v>
                </c:pt>
                <c:pt idx="1">
                  <c:v>20683.86</c:v>
                </c:pt>
                <c:pt idx="2">
                  <c:v>13173.609999999999</c:v>
                </c:pt>
                <c:pt idx="3">
                  <c:v>12244.3</c:v>
                </c:pt>
                <c:pt idx="4">
                  <c:v>9868.9000000000015</c:v>
                </c:pt>
                <c:pt idx="5">
                  <c:v>8560.26</c:v>
                </c:pt>
                <c:pt idx="6">
                  <c:v>5784.2800000000007</c:v>
                </c:pt>
                <c:pt idx="7">
                  <c:v>8728.2100000000009</c:v>
                </c:pt>
                <c:pt idx="8">
                  <c:v>6394.48</c:v>
                </c:pt>
                <c:pt idx="9">
                  <c:v>5942.1399999999994</c:v>
                </c:pt>
                <c:pt idx="10">
                  <c:v>6533.93</c:v>
                </c:pt>
                <c:pt idx="11">
                  <c:v>6689.7800000000007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D3-47B4-87BD-C0477B885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0174970"/>
        <c:axId val="571227376"/>
        <c:axId val="0"/>
      </c:bar3DChart>
      <c:catAx>
        <c:axId val="1990174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71227376"/>
        <c:crosses val="autoZero"/>
        <c:auto val="1"/>
        <c:lblAlgn val="ctr"/>
        <c:lblOffset val="100"/>
        <c:noMultiLvlLbl val="1"/>
      </c:catAx>
      <c:valAx>
        <c:axId val="571227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$ -416]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901749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800"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0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43650" cy="31718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619125</xdr:colOff>
      <xdr:row>0</xdr:row>
      <xdr:rowOff>0</xdr:rowOff>
    </xdr:from>
    <xdr:ext cx="5143500" cy="3171825"/>
    <xdr:pic>
      <xdr:nvPicPr>
        <xdr:cNvPr id="970449269" name="Chart2" title="Gráfico">
          <a:extLst>
            <a:ext uri="{FF2B5EF4-FFF2-40B4-BE49-F238E27FC236}">
              <a16:creationId xmlns:a16="http://schemas.microsoft.com/office/drawing/2014/main" id="{00000000-0008-0000-0400-000075E1D73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619125</xdr:colOff>
      <xdr:row>16</xdr:row>
      <xdr:rowOff>0</xdr:rowOff>
    </xdr:from>
    <xdr:ext cx="5143500" cy="3124200"/>
    <xdr:pic>
      <xdr:nvPicPr>
        <xdr:cNvPr id="1349841651" name="Chart3" title="Gráfico">
          <a:extLst>
            <a:ext uri="{FF2B5EF4-FFF2-40B4-BE49-F238E27FC236}">
              <a16:creationId xmlns:a16="http://schemas.microsoft.com/office/drawing/2014/main" id="{00000000-0008-0000-0400-0000F3F2745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6343650" cy="3124200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43650" cy="3124200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619125</xdr:colOff>
      <xdr:row>0</xdr:row>
      <xdr:rowOff>0</xdr:rowOff>
    </xdr:from>
    <xdr:ext cx="5143500" cy="3171825"/>
    <xdr:pic>
      <xdr:nvPicPr>
        <xdr:cNvPr id="798589438" name="Chart6" title="Gráfico">
          <a:extLst>
            <a:ext uri="{FF2B5EF4-FFF2-40B4-BE49-F238E27FC236}">
              <a16:creationId xmlns:a16="http://schemas.microsoft.com/office/drawing/2014/main" id="{00000000-0008-0000-0500-0000FE81992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15</xdr:row>
      <xdr:rowOff>152400</xdr:rowOff>
    </xdr:from>
    <xdr:ext cx="5143500" cy="3171825"/>
    <xdr:pic>
      <xdr:nvPicPr>
        <xdr:cNvPr id="1707962786" name="Chart7" title="Gráfico">
          <a:extLst>
            <a:ext uri="{FF2B5EF4-FFF2-40B4-BE49-F238E27FC236}">
              <a16:creationId xmlns:a16="http://schemas.microsoft.com/office/drawing/2014/main" id="{00000000-0008-0000-0500-0000A271CD6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P64"/>
  <sheetViews>
    <sheetView showGridLines="0" workbookViewId="0">
      <selection activeCell="F17" sqref="F17"/>
    </sheetView>
  </sheetViews>
  <sheetFormatPr defaultColWidth="12.6640625" defaultRowHeight="15.75" customHeight="1" outlineLevelRow="1" outlineLevelCol="1"/>
  <cols>
    <col min="1" max="1" width="3.44140625" customWidth="1" collapsed="1"/>
    <col min="2" max="2" width="10.33203125" hidden="1" customWidth="1" outlineLevel="1"/>
    <col min="3" max="3" width="9.6640625" customWidth="1"/>
    <col min="16" max="16" width="14" customWidth="1"/>
  </cols>
  <sheetData>
    <row r="2" spans="1:16" ht="13.2">
      <c r="E2" s="1"/>
      <c r="F2" s="1">
        <f t="shared" ref="F2:O2" si="0">F16/SUM($F16:$O16)</f>
        <v>3.6503642776753838E-2</v>
      </c>
      <c r="G2" s="1">
        <f t="shared" si="0"/>
        <v>0.13294981716691479</v>
      </c>
      <c r="H2" s="1">
        <f t="shared" si="0"/>
        <v>0.13897894669862906</v>
      </c>
      <c r="I2" s="1">
        <f t="shared" si="0"/>
        <v>0.25335638599461169</v>
      </c>
      <c r="J2" s="1">
        <f t="shared" si="0"/>
        <v>6.7044847513730244E-2</v>
      </c>
      <c r="K2" s="1">
        <f t="shared" si="0"/>
        <v>0.2209456328771125</v>
      </c>
      <c r="L2" s="1">
        <f t="shared" si="0"/>
        <v>0.1049571020644406</v>
      </c>
      <c r="M2" s="1">
        <f t="shared" si="0"/>
        <v>4.5263624907807214E-2</v>
      </c>
      <c r="N2" s="1">
        <f t="shared" si="0"/>
        <v>0</v>
      </c>
      <c r="O2" s="1">
        <f t="shared" si="0"/>
        <v>0</v>
      </c>
    </row>
    <row r="3" spans="1:16" ht="13.2" collapsed="1">
      <c r="A3" s="2"/>
      <c r="B3" s="2"/>
      <c r="C3" s="3">
        <v>2022</v>
      </c>
      <c r="D3" s="4" t="s">
        <v>0</v>
      </c>
      <c r="E3" s="4" t="s">
        <v>1</v>
      </c>
      <c r="F3" s="4" t="s">
        <v>2</v>
      </c>
      <c r="G3" s="5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6" t="s">
        <v>10</v>
      </c>
      <c r="O3" s="6"/>
      <c r="P3" s="7" t="s">
        <v>11</v>
      </c>
    </row>
    <row r="4" spans="1:16" ht="13.2" hidden="1" outlineLevel="1">
      <c r="A4" s="2"/>
      <c r="B4" s="8" t="s">
        <v>12</v>
      </c>
      <c r="C4" s="9" t="s">
        <v>13</v>
      </c>
      <c r="D4" s="10">
        <f>SUMIF(Entradas!B:B,B4,Entradas!C:C)</f>
        <v>50</v>
      </c>
      <c r="E4" s="11">
        <f t="shared" ref="E4:E15" si="1">SUM(F4:O4)</f>
        <v>1924.42</v>
      </c>
      <c r="F4" s="12">
        <f>SUMIFS(Despesas!$C:$C,Despesas!$B:$B,$B4,Despesas!$E:$E,F$3)</f>
        <v>83.83</v>
      </c>
      <c r="G4" s="12">
        <f>SUMIFS(Despesas!$C:$C,Despesas!$B:$B,$B4,Despesas!$E:$E,G$3)</f>
        <v>146.41</v>
      </c>
      <c r="H4" s="12">
        <f>SUMIFS(Despesas!$C:$C,Despesas!$B:$B,$B4,Despesas!$E:$E,H$3)</f>
        <v>529.72</v>
      </c>
      <c r="I4" s="12">
        <f>SUMIFS(Despesas!$C:$C,Despesas!$B:$B,$B4,Despesas!$E:$E,I$3)</f>
        <v>98.3</v>
      </c>
      <c r="J4" s="12">
        <f>SUMIFS(Despesas!$C:$C,Despesas!$B:$B,$B4,Despesas!$E:$E,J$3)</f>
        <v>666.16</v>
      </c>
      <c r="K4" s="12">
        <f>SUMIFS(Despesas!$C:$C,Despesas!$B:$B,$B4,Despesas!$E:$E,K$3)</f>
        <v>400</v>
      </c>
      <c r="L4" s="12">
        <f>SUMIFS(Despesas!$C:$C,Despesas!$B:$B,$B4,Despesas!$E:$E,L$3)</f>
        <v>0</v>
      </c>
      <c r="M4" s="12">
        <f>SUMIFS(Despesas!$C:$C,Despesas!$B:$B,$B4,Despesas!$E:$E,M$3)</f>
        <v>0</v>
      </c>
      <c r="N4" s="12">
        <f>SUMIFS(Despesas!$C:$C,Despesas!$B:$B,$B4,Despesas!$E:$E,N$3)</f>
        <v>0</v>
      </c>
      <c r="O4" s="12">
        <f>SUMIFS(Despesas!$C:$C,Despesas!$B:$B,$B4,Despesas!$E:$E,O$3)</f>
        <v>0</v>
      </c>
      <c r="P4" s="13">
        <f t="shared" ref="P4:P15" si="2">D4-E4</f>
        <v>-1874.42</v>
      </c>
    </row>
    <row r="5" spans="1:16" ht="13.2" hidden="1" outlineLevel="1">
      <c r="A5" s="2"/>
      <c r="B5" s="2" t="s">
        <v>14</v>
      </c>
      <c r="C5" s="9" t="s">
        <v>15</v>
      </c>
      <c r="D5" s="10">
        <f>SUMIF(Entradas!B:B,B5,Entradas!C:C)</f>
        <v>350</v>
      </c>
      <c r="E5" s="11">
        <f t="shared" si="1"/>
        <v>1557.88</v>
      </c>
      <c r="F5" s="12">
        <f>SUMIFS(Despesas!$C:$C,Despesas!$B:$B,$B5,Despesas!$E:$E,F$3)</f>
        <v>22</v>
      </c>
      <c r="G5" s="12">
        <f>SUMIFS(Despesas!$C:$C,Despesas!$B:$B,$B5,Despesas!$E:$E,G$3)</f>
        <v>93.010000000000019</v>
      </c>
      <c r="H5" s="12">
        <f>SUMIFS(Despesas!$C:$C,Despesas!$B:$B,$B5,Despesas!$E:$E,H$3)</f>
        <v>529.72</v>
      </c>
      <c r="I5" s="12">
        <f>SUMIFS(Despesas!$C:$C,Despesas!$B:$B,$B5,Despesas!$E:$E,I$3)</f>
        <v>313.14999999999998</v>
      </c>
      <c r="J5" s="12">
        <f>SUMIFS(Despesas!$C:$C,Despesas!$B:$B,$B5,Despesas!$E:$E,J$3)</f>
        <v>200</v>
      </c>
      <c r="K5" s="12">
        <f>SUMIFS(Despesas!$C:$C,Despesas!$B:$B,$B5,Despesas!$E:$E,K$3)</f>
        <v>400</v>
      </c>
      <c r="L5" s="12">
        <f>SUMIFS(Despesas!$C:$C,Despesas!$B:$B,$B5,Despesas!$E:$E,L$3)</f>
        <v>0</v>
      </c>
      <c r="M5" s="12">
        <f>SUMIFS(Despesas!$C:$C,Despesas!$B:$B,$B5,Despesas!$E:$E,M$3)</f>
        <v>0</v>
      </c>
      <c r="N5" s="12">
        <f>SUMIFS(Despesas!$C:$C,Despesas!$B:$B,$B5,Despesas!$E:$E,N$3)</f>
        <v>0</v>
      </c>
      <c r="O5" s="12">
        <f>SUMIFS(Despesas!$C:$C,Despesas!$B:$B,$B5,Despesas!$E:$E,O$3)</f>
        <v>0</v>
      </c>
      <c r="P5" s="13">
        <f t="shared" si="2"/>
        <v>-1207.8800000000001</v>
      </c>
    </row>
    <row r="6" spans="1:16" ht="13.2" hidden="1" outlineLevel="1">
      <c r="A6" s="2"/>
      <c r="B6" s="2" t="s">
        <v>16</v>
      </c>
      <c r="C6" s="9" t="s">
        <v>17</v>
      </c>
      <c r="D6" s="10">
        <f>SUMIF(Entradas!B:B,B6,Entradas!C:C)</f>
        <v>1745</v>
      </c>
      <c r="E6" s="11">
        <f t="shared" si="1"/>
        <v>1952.47</v>
      </c>
      <c r="F6" s="12">
        <f>SUMIFS(Despesas!$C:$C,Despesas!$B:$B,$B6,Despesas!$E:$E,F$3)</f>
        <v>179</v>
      </c>
      <c r="G6" s="12">
        <f>SUMIFS(Despesas!$C:$C,Despesas!$B:$B,$B6,Despesas!$E:$E,G$3)</f>
        <v>253.97</v>
      </c>
      <c r="H6" s="12">
        <f>SUMIFS(Despesas!$C:$C,Despesas!$B:$B,$B6,Despesas!$E:$E,H$3)</f>
        <v>529.72</v>
      </c>
      <c r="I6" s="12">
        <f>SUMIFS(Despesas!$C:$C,Despesas!$B:$B,$B6,Despesas!$E:$E,I$3)</f>
        <v>349</v>
      </c>
      <c r="J6" s="12">
        <f>SUMIFS(Despesas!$C:$C,Despesas!$B:$B,$B6,Despesas!$E:$E,J$3)</f>
        <v>200</v>
      </c>
      <c r="K6" s="12">
        <f>SUMIFS(Despesas!$C:$C,Despesas!$B:$B,$B6,Despesas!$E:$E,K$3)</f>
        <v>400</v>
      </c>
      <c r="L6" s="12">
        <f>SUMIFS(Despesas!$C:$C,Despesas!$B:$B,$B6,Despesas!$E:$E,L$3)</f>
        <v>0</v>
      </c>
      <c r="M6" s="12">
        <f>SUMIFS(Despesas!$C:$C,Despesas!$B:$B,$B6,Despesas!$E:$E,M$3)</f>
        <v>40.78</v>
      </c>
      <c r="N6" s="12">
        <f>SUMIFS(Despesas!$C:$C,Despesas!$B:$B,$B6,Despesas!$E:$E,N$3)</f>
        <v>0</v>
      </c>
      <c r="O6" s="12">
        <f>SUMIFS(Despesas!$C:$C,Despesas!$B:$B,$B6,Despesas!$E:$E,O$3)</f>
        <v>0</v>
      </c>
      <c r="P6" s="13">
        <f t="shared" si="2"/>
        <v>-207.47000000000003</v>
      </c>
    </row>
    <row r="7" spans="1:16" ht="13.2" hidden="1" outlineLevel="1">
      <c r="A7" s="2"/>
      <c r="B7" s="2" t="s">
        <v>18</v>
      </c>
      <c r="C7" s="9" t="s">
        <v>19</v>
      </c>
      <c r="D7" s="10">
        <f>SUMIF(Entradas!B:B,B7,Entradas!C:C)</f>
        <v>2450</v>
      </c>
      <c r="E7" s="11">
        <f t="shared" si="1"/>
        <v>3588.2200000000003</v>
      </c>
      <c r="F7" s="12">
        <f>SUMIFS(Despesas!$C:$C,Despesas!$B:$B,$B7,Despesas!$E:$E,F$3)</f>
        <v>119</v>
      </c>
      <c r="G7" s="12">
        <f>SUMIFS(Despesas!$C:$C,Despesas!$B:$B,$B7,Despesas!$E:$E,G$3)</f>
        <v>22</v>
      </c>
      <c r="H7" s="12">
        <f>SUMIFS(Despesas!$C:$C,Despesas!$B:$B,$B7,Despesas!$E:$E,H$3)</f>
        <v>529.72</v>
      </c>
      <c r="I7" s="12">
        <f>SUMIFS(Despesas!$C:$C,Despesas!$B:$B,$B7,Despesas!$E:$E,I$3)</f>
        <v>1689</v>
      </c>
      <c r="J7" s="12">
        <f>SUMIFS(Despesas!$C:$C,Despesas!$B:$B,$B7,Despesas!$E:$E,J$3)</f>
        <v>200</v>
      </c>
      <c r="K7" s="12">
        <f>SUMIFS(Despesas!$C:$C,Despesas!$B:$B,$B7,Despesas!$E:$E,K$3)</f>
        <v>578.5</v>
      </c>
      <c r="L7" s="12">
        <f>SUMIFS(Despesas!$C:$C,Despesas!$B:$B,$B7,Despesas!$E:$E,L$3)</f>
        <v>450</v>
      </c>
      <c r="M7" s="12">
        <f>SUMIFS(Despesas!$C:$C,Despesas!$B:$B,$B7,Despesas!$E:$E,M$3)</f>
        <v>0</v>
      </c>
      <c r="N7" s="12">
        <f>SUMIFS(Despesas!$C:$C,Despesas!$B:$B,$B7,Despesas!$E:$E,N$3)</f>
        <v>0</v>
      </c>
      <c r="O7" s="12">
        <f>SUMIFS(Despesas!$C:$C,Despesas!$B:$B,$B7,Despesas!$E:$E,O$3)</f>
        <v>0</v>
      </c>
      <c r="P7" s="13">
        <f t="shared" si="2"/>
        <v>-1138.2200000000003</v>
      </c>
    </row>
    <row r="8" spans="1:16" ht="13.2" hidden="1" outlineLevel="1">
      <c r="A8" s="2"/>
      <c r="B8" s="2" t="s">
        <v>20</v>
      </c>
      <c r="C8" s="9" t="s">
        <v>21</v>
      </c>
      <c r="D8" s="10">
        <f>SUMIF(Entradas!B:B,B8,Entradas!C:C)</f>
        <v>3350</v>
      </c>
      <c r="E8" s="11">
        <f t="shared" si="1"/>
        <v>2881</v>
      </c>
      <c r="F8" s="12">
        <f>SUMIFS(Despesas!$C:$C,Despesas!$B:$B,$B8,Despesas!$E:$E,F$3)</f>
        <v>69</v>
      </c>
      <c r="G8" s="12">
        <f>SUMIFS(Despesas!$C:$C,Despesas!$B:$B,$B8,Despesas!$E:$E,G$3)</f>
        <v>65</v>
      </c>
      <c r="H8" s="12">
        <f>SUMIFS(Despesas!$C:$C,Despesas!$B:$B,$B8,Despesas!$E:$E,H$3)</f>
        <v>529.72</v>
      </c>
      <c r="I8" s="12">
        <f>SUMIFS(Despesas!$C:$C,Despesas!$B:$B,$B8,Despesas!$E:$E,I$3)</f>
        <v>1227.3</v>
      </c>
      <c r="J8" s="12">
        <f>SUMIFS(Despesas!$C:$C,Despesas!$B:$B,$B8,Despesas!$E:$E,J$3)</f>
        <v>200</v>
      </c>
      <c r="K8" s="12">
        <f>SUMIFS(Despesas!$C:$C,Despesas!$B:$B,$B8,Despesas!$E:$E,K$3)</f>
        <v>400</v>
      </c>
      <c r="L8" s="12">
        <f>SUMIFS(Despesas!$C:$C,Despesas!$B:$B,$B8,Despesas!$E:$E,L$3)</f>
        <v>300</v>
      </c>
      <c r="M8" s="12">
        <f>SUMIFS(Despesas!$C:$C,Despesas!$B:$B,$B8,Despesas!$E:$E,M$3)</f>
        <v>89.98</v>
      </c>
      <c r="N8" s="12">
        <f>SUMIFS(Despesas!$C:$C,Despesas!$B:$B,$B8,Despesas!$E:$E,N$3)</f>
        <v>0</v>
      </c>
      <c r="O8" s="12">
        <f>SUMIFS(Despesas!$C:$C,Despesas!$B:$B,$B8,Despesas!$E:$E,O$3)</f>
        <v>0</v>
      </c>
      <c r="P8" s="13">
        <f t="shared" si="2"/>
        <v>469</v>
      </c>
    </row>
    <row r="9" spans="1:16" ht="13.2" hidden="1" outlineLevel="1">
      <c r="A9" s="2"/>
      <c r="B9" s="2" t="s">
        <v>22</v>
      </c>
      <c r="C9" s="9" t="s">
        <v>23</v>
      </c>
      <c r="D9" s="10">
        <f>SUMIF(Entradas!B:B,B9,Entradas!C:C)</f>
        <v>4250</v>
      </c>
      <c r="E9" s="11">
        <f t="shared" si="1"/>
        <v>2634.85</v>
      </c>
      <c r="F9" s="12">
        <f>SUMIFS(Despesas!$C:$C,Despesas!$B:$B,$B9,Despesas!$E:$E,F$3)</f>
        <v>149</v>
      </c>
      <c r="G9" s="12">
        <f>SUMIFS(Despesas!$C:$C,Despesas!$B:$B,$B9,Despesas!$E:$E,G$3)</f>
        <v>0</v>
      </c>
      <c r="H9" s="12">
        <f>SUMIFS(Despesas!$C:$C,Despesas!$B:$B,$B9,Despesas!$E:$E,H$3)</f>
        <v>529.72</v>
      </c>
      <c r="I9" s="12">
        <f>SUMIFS(Despesas!$C:$C,Despesas!$B:$B,$B9,Despesas!$E:$E,I$3)</f>
        <v>677.03</v>
      </c>
      <c r="J9" s="12">
        <f>SUMIFS(Despesas!$C:$C,Despesas!$B:$B,$B9,Despesas!$E:$E,J$3)</f>
        <v>200</v>
      </c>
      <c r="K9" s="12">
        <f>SUMIFS(Despesas!$C:$C,Despesas!$B:$B,$B9,Despesas!$E:$E,K$3)</f>
        <v>437</v>
      </c>
      <c r="L9" s="12">
        <f>SUMIFS(Despesas!$C:$C,Despesas!$B:$B,$B9,Despesas!$E:$E,L$3)</f>
        <v>600</v>
      </c>
      <c r="M9" s="12">
        <f>SUMIFS(Despesas!$C:$C,Despesas!$B:$B,$B9,Despesas!$E:$E,M$3)</f>
        <v>42.1</v>
      </c>
      <c r="N9" s="12">
        <f>SUMIFS(Despesas!$C:$C,Despesas!$B:$B,$B9,Despesas!$E:$E,N$3)</f>
        <v>0</v>
      </c>
      <c r="O9" s="12">
        <f>SUMIFS(Despesas!$C:$C,Despesas!$B:$B,$B9,Despesas!$E:$E,O$3)</f>
        <v>0</v>
      </c>
      <c r="P9" s="13">
        <f t="shared" si="2"/>
        <v>1615.15</v>
      </c>
    </row>
    <row r="10" spans="1:16" ht="13.2" hidden="1" outlineLevel="1">
      <c r="A10" s="2"/>
      <c r="B10" s="2" t="s">
        <v>24</v>
      </c>
      <c r="C10" s="9" t="s">
        <v>25</v>
      </c>
      <c r="D10" s="10">
        <f>SUMIF(Entradas!B:B,B10,Entradas!C:C)</f>
        <v>4650</v>
      </c>
      <c r="E10" s="11">
        <f t="shared" si="1"/>
        <v>3324.5099999999998</v>
      </c>
      <c r="F10" s="12">
        <f>SUMIFS(Despesas!$C:$C,Despesas!$B:$B,$B10,Despesas!$E:$E,F$3)</f>
        <v>165.54</v>
      </c>
      <c r="G10" s="12">
        <f>SUMIFS(Despesas!$C:$C,Despesas!$B:$B,$B10,Despesas!$E:$E,G$3)</f>
        <v>0</v>
      </c>
      <c r="H10" s="12">
        <f>SUMIFS(Despesas!$C:$C,Despesas!$B:$B,$B10,Despesas!$E:$E,H$3)</f>
        <v>529.72</v>
      </c>
      <c r="I10" s="12">
        <f>SUMIFS(Despesas!$C:$C,Despesas!$B:$B,$B10,Despesas!$E:$E,I$3)</f>
        <v>1538.44</v>
      </c>
      <c r="J10" s="12">
        <f>SUMIFS(Despesas!$C:$C,Despesas!$B:$B,$B10,Despesas!$E:$E,J$3)</f>
        <v>200</v>
      </c>
      <c r="K10" s="12">
        <f>SUMIFS(Despesas!$C:$C,Despesas!$B:$B,$B10,Despesas!$E:$E,K$3)</f>
        <v>400</v>
      </c>
      <c r="L10" s="12">
        <f>SUMIFS(Despesas!$C:$C,Despesas!$B:$B,$B10,Despesas!$E:$E,L$3)</f>
        <v>450</v>
      </c>
      <c r="M10" s="12">
        <f>SUMIFS(Despesas!$C:$C,Despesas!$B:$B,$B10,Despesas!$E:$E,M$3)</f>
        <v>40.81</v>
      </c>
      <c r="N10" s="12">
        <f>SUMIFS(Despesas!$C:$C,Despesas!$B:$B,$B10,Despesas!$E:$E,N$3)</f>
        <v>0</v>
      </c>
      <c r="O10" s="12">
        <f>SUMIFS(Despesas!$C:$C,Despesas!$B:$B,$B10,Despesas!$E:$E,O$3)</f>
        <v>0</v>
      </c>
      <c r="P10" s="13">
        <f t="shared" si="2"/>
        <v>1325.4900000000002</v>
      </c>
    </row>
    <row r="11" spans="1:16" ht="13.2" hidden="1" outlineLevel="1">
      <c r="A11" s="2"/>
      <c r="B11" s="2" t="s">
        <v>26</v>
      </c>
      <c r="C11" s="9" t="s">
        <v>27</v>
      </c>
      <c r="D11" s="10">
        <f>SUMIF(Entradas!B:B,B11,Entradas!C:C)</f>
        <v>9700</v>
      </c>
      <c r="E11" s="11">
        <f t="shared" si="1"/>
        <v>4024.7400000000002</v>
      </c>
      <c r="F11" s="12">
        <f>SUMIFS(Despesas!$C:$C,Despesas!$B:$B,$B11,Despesas!$E:$E,F$3)</f>
        <v>155</v>
      </c>
      <c r="G11" s="12">
        <f>SUMIFS(Despesas!$C:$C,Despesas!$B:$B,$B11,Despesas!$E:$E,G$3)</f>
        <v>538.43000000000006</v>
      </c>
      <c r="H11" s="12">
        <f>SUMIFS(Despesas!$C:$C,Despesas!$B:$B,$B11,Despesas!$E:$E,H$3)</f>
        <v>529.72</v>
      </c>
      <c r="I11" s="12">
        <f>SUMIFS(Despesas!$C:$C,Despesas!$B:$B,$B11,Despesas!$E:$E,I$3)</f>
        <v>1503.5900000000001</v>
      </c>
      <c r="J11" s="12">
        <f>SUMIFS(Despesas!$C:$C,Despesas!$B:$B,$B11,Despesas!$E:$E,J$3)</f>
        <v>200</v>
      </c>
      <c r="K11" s="12">
        <f>SUMIFS(Despesas!$C:$C,Despesas!$B:$B,$B11,Despesas!$E:$E,K$3)</f>
        <v>458</v>
      </c>
      <c r="L11" s="12">
        <f>SUMIFS(Despesas!$C:$C,Despesas!$B:$B,$B11,Despesas!$E:$E,L$3)</f>
        <v>600</v>
      </c>
      <c r="M11" s="12">
        <f>SUMIFS(Despesas!$C:$C,Despesas!$B:$B,$B11,Despesas!$E:$E,M$3)</f>
        <v>40</v>
      </c>
      <c r="N11" s="12">
        <f>SUMIFS(Despesas!$C:$C,Despesas!$B:$B,$B11,Despesas!$E:$E,N$3)</f>
        <v>0</v>
      </c>
      <c r="O11" s="12">
        <f>SUMIFS(Despesas!$C:$C,Despesas!$B:$B,$B11,Despesas!$E:$E,O$3)</f>
        <v>0</v>
      </c>
      <c r="P11" s="13">
        <f t="shared" si="2"/>
        <v>5675.26</v>
      </c>
    </row>
    <row r="12" spans="1:16" ht="13.2" hidden="1" outlineLevel="1">
      <c r="A12" s="2"/>
      <c r="B12" s="2" t="s">
        <v>28</v>
      </c>
      <c r="C12" s="9" t="s">
        <v>29</v>
      </c>
      <c r="D12" s="10">
        <f>SUMIF(Entradas!B:B,B12,Entradas!C:C)</f>
        <v>8000</v>
      </c>
      <c r="E12" s="11">
        <f t="shared" si="1"/>
        <v>4929.26</v>
      </c>
      <c r="F12" s="12">
        <f>SUMIFS(Despesas!$C:$C,Despesas!$B:$B,$B12,Despesas!$E:$E,F$3)</f>
        <v>173</v>
      </c>
      <c r="G12" s="12">
        <f>SUMIFS(Despesas!$C:$C,Despesas!$B:$B,$B12,Despesas!$E:$E,G$3)</f>
        <v>1279.43</v>
      </c>
      <c r="H12" s="12">
        <f>SUMIFS(Despesas!$C:$C,Despesas!$B:$B,$B12,Despesas!$E:$E,H$3)</f>
        <v>529.72</v>
      </c>
      <c r="I12" s="12">
        <f>SUMIFS(Despesas!$C:$C,Despesas!$B:$B,$B12,Despesas!$E:$E,I$3)</f>
        <v>1199.0700000000002</v>
      </c>
      <c r="J12" s="12">
        <f>SUMIFS(Despesas!$C:$C,Despesas!$B:$B,$B12,Despesas!$E:$E,J$3)</f>
        <v>200</v>
      </c>
      <c r="K12" s="12">
        <f>SUMIFS(Despesas!$C:$C,Despesas!$B:$B,$B12,Despesas!$E:$E,K$3)</f>
        <v>612</v>
      </c>
      <c r="L12" s="12">
        <f>SUMIFS(Despesas!$C:$C,Despesas!$B:$B,$B12,Despesas!$E:$E,L$3)</f>
        <v>600</v>
      </c>
      <c r="M12" s="12">
        <f>SUMIFS(Despesas!$C:$C,Despesas!$B:$B,$B12,Despesas!$E:$E,M$3)</f>
        <v>336.03999999999996</v>
      </c>
      <c r="N12" s="12">
        <f>SUMIFS(Despesas!$C:$C,Despesas!$B:$B,$B12,Despesas!$E:$E,N$3)</f>
        <v>0</v>
      </c>
      <c r="O12" s="12">
        <f>SUMIFS(Despesas!$C:$C,Despesas!$B:$B,$B12,Despesas!$E:$E,O$3)</f>
        <v>0</v>
      </c>
      <c r="P12" s="13">
        <f t="shared" si="2"/>
        <v>3070.74</v>
      </c>
    </row>
    <row r="13" spans="1:16" ht="13.2" hidden="1" outlineLevel="1">
      <c r="A13" s="2"/>
      <c r="B13" s="2" t="s">
        <v>30</v>
      </c>
      <c r="C13" s="9" t="s">
        <v>31</v>
      </c>
      <c r="D13" s="10">
        <f>SUMIF(Entradas!B:B,B13,Entradas!C:C)</f>
        <v>12689.95</v>
      </c>
      <c r="E13" s="11">
        <f t="shared" si="1"/>
        <v>5634.6100000000006</v>
      </c>
      <c r="F13" s="12">
        <f>SUMIFS(Despesas!$C:$C,Despesas!$B:$B,$B13,Despesas!$E:$E,F$3)</f>
        <v>234.23</v>
      </c>
      <c r="G13" s="12">
        <f>SUMIFS(Despesas!$C:$C,Despesas!$B:$B,$B13,Despesas!$E:$E,G$3)</f>
        <v>1337.06</v>
      </c>
      <c r="H13" s="12">
        <f>SUMIFS(Despesas!$C:$C,Despesas!$B:$B,$B13,Despesas!$E:$E,H$3)</f>
        <v>529.72</v>
      </c>
      <c r="I13" s="12">
        <f>SUMIFS(Despesas!$C:$C,Despesas!$B:$B,$B13,Despesas!$E:$E,I$3)</f>
        <v>1627.5600000000002</v>
      </c>
      <c r="J13" s="12">
        <f>SUMIFS(Despesas!$C:$C,Despesas!$B:$B,$B13,Despesas!$E:$E,J$3)</f>
        <v>200</v>
      </c>
      <c r="K13" s="12">
        <f>SUMIFS(Despesas!$C:$C,Despesas!$B:$B,$B13,Despesas!$E:$E,K$3)</f>
        <v>920</v>
      </c>
      <c r="L13" s="12">
        <f>SUMIFS(Despesas!$C:$C,Despesas!$B:$B,$B13,Despesas!$E:$E,L$3)</f>
        <v>750</v>
      </c>
      <c r="M13" s="12">
        <f>SUMIFS(Despesas!$C:$C,Despesas!$B:$B,$B13,Despesas!$E:$E,M$3)</f>
        <v>36.04</v>
      </c>
      <c r="N13" s="12">
        <f>SUMIFS(Despesas!$C:$C,Despesas!$B:$B,$B13,Despesas!$E:$E,N$3)</f>
        <v>0</v>
      </c>
      <c r="O13" s="12">
        <f>SUMIFS(Despesas!$C:$C,Despesas!$B:$B,$B13,Despesas!$E:$E,O$3)</f>
        <v>0</v>
      </c>
      <c r="P13" s="13">
        <f t="shared" si="2"/>
        <v>7055.34</v>
      </c>
    </row>
    <row r="14" spans="1:16" ht="13.2" hidden="1" outlineLevel="1">
      <c r="A14" s="2"/>
      <c r="B14" s="2" t="s">
        <v>32</v>
      </c>
      <c r="C14" s="9" t="s">
        <v>33</v>
      </c>
      <c r="D14" s="10">
        <f>SUMIF(Entradas!B:B,B14,Entradas!C:C)</f>
        <v>12995</v>
      </c>
      <c r="E14" s="11">
        <f t="shared" si="1"/>
        <v>4350.3500000000004</v>
      </c>
      <c r="F14" s="12">
        <f>SUMIFS(Despesas!$C:$C,Despesas!$B:$B,$B14,Despesas!$E:$E,F$3)</f>
        <v>240.81999999999996</v>
      </c>
      <c r="G14" s="12">
        <f>SUMIFS(Despesas!$C:$C,Despesas!$B:$B,$B14,Despesas!$E:$E,G$3)</f>
        <v>1278.08</v>
      </c>
      <c r="H14" s="12">
        <f>SUMIFS(Despesas!$C:$C,Despesas!$B:$B,$B14,Despesas!$E:$E,H$3)</f>
        <v>529.72</v>
      </c>
      <c r="I14" s="12">
        <f>SUMIFS(Despesas!$C:$C,Despesas!$B:$B,$B14,Despesas!$E:$E,I$3)</f>
        <v>577.48</v>
      </c>
      <c r="J14" s="12">
        <f>SUMIFS(Despesas!$C:$C,Despesas!$B:$B,$B14,Despesas!$E:$E,J$3)</f>
        <v>200</v>
      </c>
      <c r="K14" s="12">
        <f>SUMIFS(Despesas!$C:$C,Despesas!$B:$B,$B14,Despesas!$E:$E,K$3)</f>
        <v>889</v>
      </c>
      <c r="L14" s="12">
        <f>SUMIFS(Despesas!$C:$C,Despesas!$B:$B,$B14,Despesas!$E:$E,L$3)</f>
        <v>600</v>
      </c>
      <c r="M14" s="12">
        <f>SUMIFS(Despesas!$C:$C,Despesas!$B:$B,$B14,Despesas!$E:$E,M$3)</f>
        <v>35.25</v>
      </c>
      <c r="N14" s="12">
        <f>SUMIFS(Despesas!$C:$C,Despesas!$B:$B,$B14,Despesas!$E:$E,N$3)</f>
        <v>0</v>
      </c>
      <c r="O14" s="12">
        <f>SUMIFS(Despesas!$C:$C,Despesas!$B:$B,$B14,Despesas!$E:$E,O$3)</f>
        <v>0</v>
      </c>
      <c r="P14" s="13">
        <f t="shared" si="2"/>
        <v>8644.65</v>
      </c>
    </row>
    <row r="15" spans="1:16" ht="13.2" hidden="1" outlineLevel="1">
      <c r="A15" s="2"/>
      <c r="B15" s="2" t="s">
        <v>34</v>
      </c>
      <c r="C15" s="9" t="s">
        <v>35</v>
      </c>
      <c r="D15" s="10">
        <f>SUMIF(Entradas!B:B,B15,Entradas!C:C)</f>
        <v>8000</v>
      </c>
      <c r="E15" s="11">
        <f t="shared" si="1"/>
        <v>8930.66</v>
      </c>
      <c r="F15" s="12">
        <f>SUMIFS(Despesas!$C:$C,Despesas!$B:$B,$B15,Despesas!$E:$E,F$3)</f>
        <v>79</v>
      </c>
      <c r="G15" s="12">
        <f>SUMIFS(Despesas!$C:$C,Despesas!$B:$B,$B15,Despesas!$E:$E,G$3)</f>
        <v>1066.8</v>
      </c>
      <c r="H15" s="12">
        <f>SUMIFS(Despesas!$C:$C,Despesas!$B:$B,$B15,Despesas!$E:$E,H$3)</f>
        <v>529</v>
      </c>
      <c r="I15" s="12">
        <f>SUMIFS(Despesas!$C:$C,Despesas!$B:$B,$B15,Despesas!$E:$E,I$3)</f>
        <v>786.81999999999994</v>
      </c>
      <c r="J15" s="12">
        <f>SUMIFS(Despesas!$C:$C,Despesas!$B:$B,$B15,Despesas!$E:$E,J$3)</f>
        <v>400</v>
      </c>
      <c r="K15" s="12">
        <f>SUMIFS(Despesas!$C:$C,Despesas!$B:$B,$B15,Despesas!$E:$E,K$3)</f>
        <v>4210</v>
      </c>
      <c r="L15" s="12">
        <f>SUMIFS(Despesas!$C:$C,Despesas!$B:$B,$B15,Despesas!$E:$E,L$3)</f>
        <v>450</v>
      </c>
      <c r="M15" s="12">
        <f>SUMIFS(Despesas!$C:$C,Despesas!$B:$B,$B15,Despesas!$E:$E,M$3)</f>
        <v>1409.04</v>
      </c>
      <c r="N15" s="12">
        <f>SUMIFS(Despesas!$C:$C,Despesas!$B:$B,$B15,Despesas!$E:$E,N$3)</f>
        <v>0</v>
      </c>
      <c r="O15" s="12">
        <f>SUMIFS(Despesas!$C:$C,Despesas!$B:$B,$B15,Despesas!$E:$E,O$3)</f>
        <v>0</v>
      </c>
      <c r="P15" s="13">
        <f t="shared" si="2"/>
        <v>-930.65999999999985</v>
      </c>
    </row>
    <row r="16" spans="1:16" ht="13.2">
      <c r="C16" s="14" t="s">
        <v>36</v>
      </c>
      <c r="D16" s="15">
        <f t="shared" ref="D16:P16" si="3">SUM(D4:D15)</f>
        <v>68229.95</v>
      </c>
      <c r="E16" s="15">
        <f t="shared" si="3"/>
        <v>45732.97</v>
      </c>
      <c r="F16" s="15">
        <f t="shared" si="3"/>
        <v>1669.4199999999998</v>
      </c>
      <c r="G16" s="15">
        <f t="shared" si="3"/>
        <v>6080.19</v>
      </c>
      <c r="H16" s="15">
        <f t="shared" si="3"/>
        <v>6355.9200000000019</v>
      </c>
      <c r="I16" s="15">
        <f t="shared" si="3"/>
        <v>11586.739999999998</v>
      </c>
      <c r="J16" s="15">
        <f t="shared" si="3"/>
        <v>3066.16</v>
      </c>
      <c r="K16" s="15">
        <f t="shared" si="3"/>
        <v>10104.5</v>
      </c>
      <c r="L16" s="15">
        <f t="shared" si="3"/>
        <v>4800</v>
      </c>
      <c r="M16" s="15">
        <f t="shared" si="3"/>
        <v>2070.04</v>
      </c>
      <c r="N16" s="15">
        <f t="shared" si="3"/>
        <v>0</v>
      </c>
      <c r="O16" s="15">
        <f t="shared" si="3"/>
        <v>0</v>
      </c>
      <c r="P16" s="16">
        <f t="shared" si="3"/>
        <v>22496.98</v>
      </c>
    </row>
    <row r="18" spans="1:16" ht="13.2">
      <c r="E18" s="1"/>
      <c r="F18" s="1">
        <f t="shared" ref="F18:O18" si="4">F32/SUM($F32:$O32)</f>
        <v>8.8342939937236711E-3</v>
      </c>
      <c r="G18" s="1">
        <f t="shared" si="4"/>
        <v>8.7708372187282665E-3</v>
      </c>
      <c r="H18" s="1">
        <f t="shared" si="4"/>
        <v>4.4721372578459179E-2</v>
      </c>
      <c r="I18" s="1">
        <f t="shared" si="4"/>
        <v>4.0524977731216626E-2</v>
      </c>
      <c r="J18" s="1">
        <f t="shared" si="4"/>
        <v>2.9775955504176704E-2</v>
      </c>
      <c r="K18" s="1">
        <f t="shared" si="4"/>
        <v>0.38968687700427473</v>
      </c>
      <c r="L18" s="1">
        <f t="shared" si="4"/>
        <v>8.1130412593594534E-2</v>
      </c>
      <c r="M18" s="1">
        <f t="shared" si="4"/>
        <v>3.9570348820377278E-2</v>
      </c>
      <c r="N18" s="1">
        <f t="shared" si="4"/>
        <v>0.35698492455544906</v>
      </c>
      <c r="O18" s="1">
        <f t="shared" si="4"/>
        <v>0</v>
      </c>
    </row>
    <row r="19" spans="1:16" ht="13.2" collapsed="1">
      <c r="A19" s="2"/>
      <c r="B19" s="2"/>
      <c r="C19" s="3">
        <v>2023</v>
      </c>
      <c r="D19" s="4" t="str">
        <f t="shared" ref="D19:O19" si="5">D3</f>
        <v>Recebimentos</v>
      </c>
      <c r="E19" s="4" t="str">
        <f t="shared" si="5"/>
        <v>Despesas</v>
      </c>
      <c r="F19" s="4" t="str">
        <f t="shared" si="5"/>
        <v>Transporte</v>
      </c>
      <c r="G19" s="5" t="str">
        <f t="shared" si="5"/>
        <v>Materiais</v>
      </c>
      <c r="H19" s="4" t="str">
        <f t="shared" si="5"/>
        <v>Educação</v>
      </c>
      <c r="I19" s="4" t="str">
        <f t="shared" si="5"/>
        <v>Marketing</v>
      </c>
      <c r="J19" s="4" t="str">
        <f t="shared" si="5"/>
        <v>Empresa/CRP</v>
      </c>
      <c r="K19" s="4" t="str">
        <f t="shared" si="5"/>
        <v>Aluguel</v>
      </c>
      <c r="L19" s="4" t="str">
        <f t="shared" si="5"/>
        <v>Supervisão</v>
      </c>
      <c r="M19" s="4" t="str">
        <f t="shared" si="5"/>
        <v>Escritório</v>
      </c>
      <c r="N19" s="4" t="str">
        <f t="shared" si="5"/>
        <v xml:space="preserve">Reforma </v>
      </c>
      <c r="O19" s="4">
        <f t="shared" si="5"/>
        <v>0</v>
      </c>
      <c r="P19" s="7" t="s">
        <v>11</v>
      </c>
    </row>
    <row r="20" spans="1:16" ht="13.2" hidden="1" outlineLevel="1">
      <c r="A20" s="2"/>
      <c r="B20" s="8" t="s">
        <v>37</v>
      </c>
      <c r="C20" s="9" t="s">
        <v>13</v>
      </c>
      <c r="D20" s="10">
        <f>SUMIF(Entradas!B:B,B20,Entradas!C:C)</f>
        <v>10650</v>
      </c>
      <c r="E20" s="11">
        <f t="shared" ref="E20:E31" si="6">SUM(F20:O20)</f>
        <v>14217.29</v>
      </c>
      <c r="F20" s="12">
        <f>SUMIFS(Despesas!$C:$C,Despesas!$B:$B,$B20,Despesas!$E:$E,F$3)</f>
        <v>113</v>
      </c>
      <c r="G20" s="12">
        <f>SUMIFS(Despesas!$C:$C,Despesas!$B:$B,$B20,Despesas!$E:$E,G$3)</f>
        <v>37</v>
      </c>
      <c r="H20" s="12">
        <f>SUMIFS(Despesas!$C:$C,Despesas!$B:$B,$B20,Despesas!$E:$E,H$3)</f>
        <v>529.72</v>
      </c>
      <c r="I20" s="12">
        <f>SUMIFS(Despesas!$C:$C,Despesas!$B:$B,$B20,Despesas!$E:$E,I$3)</f>
        <v>716.28</v>
      </c>
      <c r="J20" s="12">
        <f>SUMIFS(Despesas!$C:$C,Despesas!$B:$B,$B20,Despesas!$E:$E,J$3)</f>
        <v>738.46</v>
      </c>
      <c r="K20" s="12">
        <f>SUMIFS(Despesas!$C:$C,Despesas!$B:$B,$B20,Despesas!$E:$E,K$3)</f>
        <v>3841.4</v>
      </c>
      <c r="L20" s="12">
        <f>SUMIFS(Despesas!$C:$C,Despesas!$B:$B,$B20,Despesas!$E:$E,L$3)</f>
        <v>600</v>
      </c>
      <c r="M20" s="12">
        <f>SUMIFS(Despesas!$C:$C,Despesas!$B:$B,$B20,Despesas!$E:$E,M$3)</f>
        <v>35.25</v>
      </c>
      <c r="N20" s="12">
        <f>SUMIFS(Despesas!$C:$C,Despesas!$B:$B,$B20,Despesas!$E:$E,N$3)</f>
        <v>7606.1799999999994</v>
      </c>
      <c r="O20" s="12">
        <f>SUMIFS(Despesas!$C:$C,Despesas!$B:$B,$B20,Despesas!$E:$E,O$3)</f>
        <v>0</v>
      </c>
      <c r="P20" s="13">
        <f t="shared" ref="P20:P31" si="7">D20-E20</f>
        <v>-3567.2900000000009</v>
      </c>
    </row>
    <row r="21" spans="1:16" ht="13.2" hidden="1" outlineLevel="1">
      <c r="A21" s="2"/>
      <c r="B21" s="2" t="s">
        <v>38</v>
      </c>
      <c r="C21" s="9" t="s">
        <v>15</v>
      </c>
      <c r="D21" s="10">
        <f>SUMIF(Entradas!B:B,B21,Entradas!C:C)</f>
        <v>12725</v>
      </c>
      <c r="E21" s="11">
        <f t="shared" si="6"/>
        <v>20683.86</v>
      </c>
      <c r="F21" s="12">
        <f>SUMIFS(Despesas!$C:$C,Despesas!$B:$B,$B21,Despesas!$E:$E,F$3)</f>
        <v>195</v>
      </c>
      <c r="G21" s="12">
        <f>SUMIFS(Despesas!$C:$C,Despesas!$B:$B,$B21,Despesas!$E:$E,G$3)</f>
        <v>342</v>
      </c>
      <c r="H21" s="12">
        <f>SUMIFS(Despesas!$C:$C,Despesas!$B:$B,$B21,Despesas!$E:$E,H$3)</f>
        <v>529.72</v>
      </c>
      <c r="I21" s="12">
        <f>SUMIFS(Despesas!$C:$C,Despesas!$B:$B,$B21,Despesas!$E:$E,I$3)</f>
        <v>306</v>
      </c>
      <c r="J21" s="12">
        <f>SUMIFS(Despesas!$C:$C,Despesas!$B:$B,$B21,Despesas!$E:$E,J$3)</f>
        <v>215</v>
      </c>
      <c r="K21" s="12">
        <f>SUMIFS(Despesas!$C:$C,Despesas!$B:$B,$B21,Despesas!$E:$E,K$3)</f>
        <v>3946.34</v>
      </c>
      <c r="L21" s="12">
        <f>SUMIFS(Despesas!$C:$C,Despesas!$B:$B,$B21,Despesas!$E:$E,L$3)</f>
        <v>750</v>
      </c>
      <c r="M21" s="12">
        <f>SUMIFS(Despesas!$C:$C,Despesas!$B:$B,$B21,Despesas!$E:$E,M$3)</f>
        <v>21</v>
      </c>
      <c r="N21" s="12">
        <f>SUMIFS(Despesas!$C:$C,Despesas!$B:$B,$B21,Despesas!$E:$E,N$3)</f>
        <v>14378.800000000001</v>
      </c>
      <c r="O21" s="12">
        <f>SUMIFS(Despesas!$C:$C,Despesas!$B:$B,$B21,Despesas!$E:$E,O$3)</f>
        <v>0</v>
      </c>
      <c r="P21" s="13">
        <f t="shared" si="7"/>
        <v>-7958.8600000000006</v>
      </c>
    </row>
    <row r="22" spans="1:16" ht="13.2" hidden="1" outlineLevel="1">
      <c r="A22" s="2"/>
      <c r="B22" s="2" t="s">
        <v>39</v>
      </c>
      <c r="C22" s="9" t="s">
        <v>17</v>
      </c>
      <c r="D22" s="10">
        <f>SUMIF(Entradas!B:B,B22,Entradas!C:C)</f>
        <v>12809.36</v>
      </c>
      <c r="E22" s="11">
        <f t="shared" si="6"/>
        <v>13173.609999999999</v>
      </c>
      <c r="F22" s="12">
        <f>SUMIFS(Despesas!$C:$C,Despesas!$B:$B,$B22,Despesas!$E:$E,F$3)</f>
        <v>60</v>
      </c>
      <c r="G22" s="12">
        <f>SUMIFS(Despesas!$C:$C,Despesas!$B:$B,$B22,Despesas!$E:$E,G$3)</f>
        <v>0</v>
      </c>
      <c r="H22" s="12">
        <f>SUMIFS(Despesas!$C:$C,Despesas!$B:$B,$B22,Despesas!$E:$E,H$3)</f>
        <v>794.58</v>
      </c>
      <c r="I22" s="12">
        <f>SUMIFS(Despesas!$C:$C,Despesas!$B:$B,$B22,Despesas!$E:$E,I$3)</f>
        <v>271</v>
      </c>
      <c r="J22" s="12">
        <f>SUMIFS(Despesas!$C:$C,Despesas!$B:$B,$B22,Despesas!$E:$E,J$3)</f>
        <v>215</v>
      </c>
      <c r="K22" s="12">
        <f>SUMIFS(Despesas!$C:$C,Despesas!$B:$B,$B22,Despesas!$E:$E,K$3)</f>
        <v>3771.74</v>
      </c>
      <c r="L22" s="12">
        <f>SUMIFS(Despesas!$C:$C,Despesas!$B:$B,$B22,Despesas!$E:$E,L$3)</f>
        <v>600</v>
      </c>
      <c r="M22" s="12">
        <f>SUMIFS(Despesas!$C:$C,Despesas!$B:$B,$B22,Despesas!$E:$E,M$3)</f>
        <v>96.4</v>
      </c>
      <c r="N22" s="12">
        <f>SUMIFS(Despesas!$C:$C,Despesas!$B:$B,$B22,Despesas!$E:$E,N$3)</f>
        <v>7364.8899999999994</v>
      </c>
      <c r="O22" s="12">
        <f>SUMIFS(Despesas!$C:$C,Despesas!$B:$B,$B22,Despesas!$E:$E,O$3)</f>
        <v>0</v>
      </c>
      <c r="P22" s="13">
        <f t="shared" si="7"/>
        <v>-364.24999999999818</v>
      </c>
    </row>
    <row r="23" spans="1:16" ht="13.2" hidden="1" outlineLevel="1">
      <c r="A23" s="2"/>
      <c r="B23" s="2" t="s">
        <v>40</v>
      </c>
      <c r="C23" s="9" t="s">
        <v>19</v>
      </c>
      <c r="D23" s="10">
        <f>SUMIF(Entradas!B:B,B23,Entradas!C:C)</f>
        <v>11101.25</v>
      </c>
      <c r="E23" s="11">
        <f t="shared" si="6"/>
        <v>12244.3</v>
      </c>
      <c r="F23" s="12">
        <v>60</v>
      </c>
      <c r="G23" s="12">
        <f>SUMIFS(Despesas!$C:$C,Despesas!$B:$B,$B23,Despesas!$E:$E,G$3)</f>
        <v>0</v>
      </c>
      <c r="H23" s="12">
        <f>SUMIFS(Despesas!$C:$C,Despesas!$B:$B,$B23,Despesas!$E:$E,H$3)</f>
        <v>629.72</v>
      </c>
      <c r="I23" s="12">
        <f>SUMIFS(Despesas!$C:$C,Despesas!$B:$B,$B23,Despesas!$E:$E,I$3)</f>
        <v>249</v>
      </c>
      <c r="J23" s="12">
        <f>SUMIFS(Despesas!$C:$C,Despesas!$B:$B,$B23,Despesas!$E:$E,J$3)</f>
        <v>215</v>
      </c>
      <c r="K23" s="12">
        <f>SUMIFS(Despesas!$C:$C,Despesas!$B:$B,$B23,Despesas!$E:$E,K$3)</f>
        <v>5514.99</v>
      </c>
      <c r="L23" s="12">
        <f>SUMIFS(Despesas!$C:$C,Despesas!$B:$B,$B23,Despesas!$E:$E,L$3)</f>
        <v>950</v>
      </c>
      <c r="M23" s="12">
        <f>SUMIFS(Despesas!$C:$C,Despesas!$B:$B,$B23,Despesas!$E:$E,M$3)</f>
        <v>339.3</v>
      </c>
      <c r="N23" s="12">
        <f>SUMIFS(Despesas!$C:$C,Despesas!$B:$B,$B23,Despesas!$E:$E,N$3)</f>
        <v>4286.2899999999991</v>
      </c>
      <c r="O23" s="12">
        <f>SUMIFS(Despesas!$C:$C,Despesas!$B:$B,$B23,Despesas!$E:$E,O$3)</f>
        <v>0</v>
      </c>
      <c r="P23" s="13">
        <f t="shared" si="7"/>
        <v>-1143.0499999999993</v>
      </c>
    </row>
    <row r="24" spans="1:16" ht="13.2" hidden="1" outlineLevel="1">
      <c r="A24" s="2"/>
      <c r="B24" s="2" t="s">
        <v>41</v>
      </c>
      <c r="C24" s="9" t="s">
        <v>21</v>
      </c>
      <c r="D24" s="10">
        <f>SUMIF(Entradas!B:B,B24,Entradas!C:C)</f>
        <v>8906.25</v>
      </c>
      <c r="E24" s="11">
        <f t="shared" si="6"/>
        <v>9868.9000000000015</v>
      </c>
      <c r="F24" s="12">
        <f>SUMIFS(Despesas!$C:$C,Despesas!$B:$B,$B24,Despesas!$E:$E,F$3)</f>
        <v>60</v>
      </c>
      <c r="G24" s="12">
        <f>SUMIFS(Despesas!$C:$C,Despesas!$B:$B,$B24,Despesas!$E:$E,G$3)</f>
        <v>0</v>
      </c>
      <c r="H24" s="12">
        <f>SUMIFS(Despesas!$C:$C,Despesas!$B:$B,$B24,Despesas!$E:$E,H$3)</f>
        <v>529.72</v>
      </c>
      <c r="I24" s="12">
        <f>SUMIFS(Despesas!$C:$C,Despesas!$B:$B,$B24,Despesas!$E:$E,I$3)</f>
        <v>249</v>
      </c>
      <c r="J24" s="12">
        <f>SUMIFS(Despesas!$C:$C,Despesas!$B:$B,$B24,Despesas!$E:$E,J$3)</f>
        <v>215</v>
      </c>
      <c r="K24" s="12">
        <f>SUMIFS(Despesas!$C:$C,Despesas!$B:$B,$B24,Despesas!$E:$E,K$3)</f>
        <v>3642.96</v>
      </c>
      <c r="L24" s="12">
        <f>SUMIFS(Despesas!$C:$C,Despesas!$B:$B,$B24,Despesas!$E:$E,L$3)</f>
        <v>600</v>
      </c>
      <c r="M24" s="12">
        <f>SUMIFS(Despesas!$C:$C,Despesas!$B:$B,$B24,Despesas!$E:$E,M$3)</f>
        <v>370.95</v>
      </c>
      <c r="N24" s="12">
        <f>SUMIFS(Despesas!$C:$C,Despesas!$B:$B,$B24,Despesas!$E:$E,N$3)</f>
        <v>4201.2700000000004</v>
      </c>
      <c r="O24" s="12">
        <f>SUMIFS(Despesas!$C:$C,Despesas!$B:$B,$B24,Despesas!$E:$E,O$3)</f>
        <v>0</v>
      </c>
      <c r="P24" s="13">
        <f t="shared" si="7"/>
        <v>-962.65000000000146</v>
      </c>
    </row>
    <row r="25" spans="1:16" ht="13.2" hidden="1" outlineLevel="1">
      <c r="A25" s="2"/>
      <c r="B25" s="2" t="s">
        <v>42</v>
      </c>
      <c r="C25" s="9" t="s">
        <v>23</v>
      </c>
      <c r="D25" s="10">
        <f>SUMIF(Entradas!B:B,B25,Entradas!C:C)</f>
        <v>13011.25</v>
      </c>
      <c r="E25" s="11">
        <f t="shared" si="6"/>
        <v>8560.26</v>
      </c>
      <c r="F25" s="12">
        <f>SUMIFS(Despesas!$C:$C,Despesas!$B:$B,$B25,Despesas!$E:$E,F$3)</f>
        <v>70</v>
      </c>
      <c r="G25" s="12">
        <f>SUMIFS(Despesas!$C:$C,Despesas!$B:$B,$B25,Despesas!$E:$E,G$3)</f>
        <v>475.36</v>
      </c>
      <c r="H25" s="12">
        <f>SUMIFS(Despesas!$C:$C,Despesas!$B:$B,$B25,Despesas!$E:$E,H$3)</f>
        <v>529.72</v>
      </c>
      <c r="I25" s="12">
        <f>SUMIFS(Despesas!$C:$C,Despesas!$B:$B,$B25,Despesas!$E:$E,I$3)</f>
        <v>1048</v>
      </c>
      <c r="J25" s="12">
        <f>SUMIFS(Despesas!$C:$C,Despesas!$B:$B,$B25,Despesas!$E:$E,J$3)</f>
        <v>215</v>
      </c>
      <c r="K25" s="12">
        <f>SUMIFS(Despesas!$C:$C,Despesas!$B:$B,$B25,Despesas!$E:$E,K$3)</f>
        <v>3642.96</v>
      </c>
      <c r="L25" s="12">
        <f>SUMIFS(Despesas!$C:$C,Despesas!$B:$B,$B25,Despesas!$E:$E,L$3)</f>
        <v>810</v>
      </c>
      <c r="M25" s="12">
        <f>SUMIFS(Despesas!$C:$C,Despesas!$B:$B,$B25,Despesas!$E:$E,M$3)</f>
        <v>115.7</v>
      </c>
      <c r="N25" s="12">
        <f>SUMIFS(Despesas!$C:$C,Despesas!$B:$B,$B25,Despesas!$E:$E,N$3)</f>
        <v>1653.52</v>
      </c>
      <c r="O25" s="12">
        <f>SUMIFS(Despesas!$C:$C,Despesas!$B:$B,$B25,Despesas!$E:$E,O$3)</f>
        <v>0</v>
      </c>
      <c r="P25" s="13">
        <f t="shared" si="7"/>
        <v>4450.99</v>
      </c>
    </row>
    <row r="26" spans="1:16" ht="13.2" hidden="1" outlineLevel="1">
      <c r="A26" s="2"/>
      <c r="B26" s="2" t="s">
        <v>43</v>
      </c>
      <c r="C26" s="9" t="s">
        <v>25</v>
      </c>
      <c r="D26" s="10">
        <f>SUMIF(Entradas!B:B,B26,Entradas!C:C)</f>
        <v>11471.25</v>
      </c>
      <c r="E26" s="11">
        <f t="shared" si="6"/>
        <v>5784.2800000000007</v>
      </c>
      <c r="F26" s="12">
        <f>SUMIFS(Despesas!$C:$C,Despesas!$B:$B,$B26,Despesas!$E:$E,F$3)</f>
        <v>50</v>
      </c>
      <c r="G26" s="12">
        <f>SUMIFS(Despesas!$C:$C,Despesas!$B:$B,$B26,Despesas!$E:$E,G$3)</f>
        <v>0</v>
      </c>
      <c r="H26" s="12">
        <f>SUMIFS(Despesas!$C:$C,Despesas!$B:$B,$B26,Despesas!$E:$E,H$3)</f>
        <v>529.72</v>
      </c>
      <c r="I26" s="12">
        <f>SUMIFS(Despesas!$C:$C,Despesas!$B:$B,$B26,Despesas!$E:$E,I$3)</f>
        <v>249</v>
      </c>
      <c r="J26" s="12">
        <f>SUMIFS(Despesas!$C:$C,Despesas!$B:$B,$B26,Despesas!$E:$E,J$3)</f>
        <v>239</v>
      </c>
      <c r="K26" s="12">
        <f>SUMIFS(Despesas!$C:$C,Despesas!$B:$B,$B26,Despesas!$E:$E,K$3)</f>
        <v>3642.9</v>
      </c>
      <c r="L26" s="12">
        <f>SUMIFS(Despesas!$C:$C,Despesas!$B:$B,$B26,Despesas!$E:$E,L$3)</f>
        <v>720</v>
      </c>
      <c r="M26" s="12">
        <f>SUMIFS(Despesas!$C:$C,Despesas!$B:$B,$B26,Despesas!$E:$E,M$3)</f>
        <v>211.73000000000002</v>
      </c>
      <c r="N26" s="12">
        <f>SUMIFS(Despesas!$C:$C,Despesas!$B:$B,$B26,Despesas!$E:$E,N$3)</f>
        <v>141.93</v>
      </c>
      <c r="O26" s="12">
        <f>SUMIFS(Despesas!$C:$C,Despesas!$B:$B,$B26,Despesas!$E:$E,O$3)</f>
        <v>0</v>
      </c>
      <c r="P26" s="13">
        <f t="shared" si="7"/>
        <v>5686.9699999999993</v>
      </c>
    </row>
    <row r="27" spans="1:16" ht="13.2" hidden="1" outlineLevel="1">
      <c r="A27" s="2"/>
      <c r="B27" s="2" t="s">
        <v>44</v>
      </c>
      <c r="C27" s="9" t="s">
        <v>27</v>
      </c>
      <c r="D27" s="10">
        <f>SUMIF(Entradas!B:B,B27,Entradas!C:C)</f>
        <v>18066.88</v>
      </c>
      <c r="E27" s="11">
        <f t="shared" si="6"/>
        <v>8728.2100000000009</v>
      </c>
      <c r="F27" s="12">
        <f>SUMIFS(Despesas!$C:$C,Despesas!$B:$B,$B27,Despesas!$E:$E,F$3)</f>
        <v>85.16</v>
      </c>
      <c r="G27" s="12">
        <f>SUMIFS(Despesas!$C:$C,Despesas!$B:$B,$B27,Despesas!$E:$E,G$3)</f>
        <v>0</v>
      </c>
      <c r="H27" s="12">
        <f>SUMIFS(Despesas!$C:$C,Despesas!$B:$B,$B27,Despesas!$E:$E,H$3)</f>
        <v>529.72</v>
      </c>
      <c r="I27" s="12">
        <f>SUMIFS(Despesas!$C:$C,Despesas!$B:$B,$B27,Despesas!$E:$E,I$3)</f>
        <v>249</v>
      </c>
      <c r="J27" s="12">
        <f>SUMIFS(Despesas!$C:$C,Despesas!$B:$B,$B27,Despesas!$E:$E,J$3)</f>
        <v>231</v>
      </c>
      <c r="K27" s="12">
        <f>SUMIFS(Despesas!$C:$C,Despesas!$B:$B,$B27,Despesas!$E:$E,K$3)</f>
        <v>3642.96</v>
      </c>
      <c r="L27" s="12">
        <f>SUMIFS(Despesas!$C:$C,Despesas!$B:$B,$B27,Despesas!$E:$E,L$3)</f>
        <v>970</v>
      </c>
      <c r="M27" s="12">
        <f>SUMIFS(Despesas!$C:$C,Despesas!$B:$B,$B27,Despesas!$E:$E,M$3)</f>
        <v>235.93</v>
      </c>
      <c r="N27" s="12">
        <f>SUMIFS(Despesas!$C:$C,Despesas!$B:$B,$B27,Despesas!$E:$E,N$3)</f>
        <v>2784.44</v>
      </c>
      <c r="O27" s="12">
        <f>SUMIFS(Despesas!$C:$C,Despesas!$B:$B,$B27,Despesas!$E:$E,O$3)</f>
        <v>0</v>
      </c>
      <c r="P27" s="13">
        <f t="shared" si="7"/>
        <v>9338.67</v>
      </c>
    </row>
    <row r="28" spans="1:16" ht="13.2" hidden="1" outlineLevel="1">
      <c r="A28" s="2"/>
      <c r="B28" s="2" t="s">
        <v>45</v>
      </c>
      <c r="C28" s="9" t="s">
        <v>29</v>
      </c>
      <c r="D28" s="10">
        <f>SUMIF(Entradas!B:B,B28,Entradas!C:C)</f>
        <v>20177.739999999998</v>
      </c>
      <c r="E28" s="11">
        <f t="shared" si="6"/>
        <v>6394.48</v>
      </c>
      <c r="F28" s="12">
        <f>SUMIFS(Despesas!$C:$C,Despesas!$B:$B,$B28,Despesas!$E:$E,F$3)</f>
        <v>80</v>
      </c>
      <c r="G28" s="12">
        <f>SUMIFS(Despesas!$C:$C,Despesas!$B:$B,$B28,Despesas!$E:$E,G$3)</f>
        <v>0</v>
      </c>
      <c r="H28" s="12">
        <f>SUMIFS(Despesas!$C:$C,Despesas!$B:$B,$B28,Despesas!$E:$E,H$3)</f>
        <v>529.72</v>
      </c>
      <c r="I28" s="12">
        <f>SUMIFS(Despesas!$C:$C,Despesas!$B:$B,$B28,Despesas!$E:$E,I$3)</f>
        <v>640.99</v>
      </c>
      <c r="J28" s="12">
        <f>SUMIFS(Despesas!$C:$C,Despesas!$B:$B,$B28,Despesas!$E:$E,J$3)</f>
        <v>472.13</v>
      </c>
      <c r="K28" s="12">
        <f>SUMIFS(Despesas!$C:$C,Despesas!$B:$B,$B28,Despesas!$E:$E,K$3)</f>
        <v>3651.4</v>
      </c>
      <c r="L28" s="12">
        <f>SUMIFS(Despesas!$C:$C,Despesas!$B:$B,$B28,Despesas!$E:$E,L$3)</f>
        <v>840</v>
      </c>
      <c r="M28" s="12">
        <f>SUMIFS(Despesas!$C:$C,Despesas!$B:$B,$B28,Despesas!$E:$E,M$3)</f>
        <v>180.24</v>
      </c>
      <c r="N28" s="12">
        <f>SUMIFS(Despesas!$C:$C,Despesas!$B:$B,$B28,Despesas!$E:$E,N$3)</f>
        <v>0</v>
      </c>
      <c r="O28" s="12">
        <f>SUMIFS(Despesas!$C:$C,Despesas!$B:$B,$B28,Despesas!$E:$E,O$3)</f>
        <v>0</v>
      </c>
      <c r="P28" s="13">
        <f t="shared" si="7"/>
        <v>13783.259999999998</v>
      </c>
    </row>
    <row r="29" spans="1:16" ht="13.2" hidden="1" outlineLevel="1">
      <c r="A29" s="2"/>
      <c r="B29" s="2" t="s">
        <v>46</v>
      </c>
      <c r="C29" s="9" t="s">
        <v>31</v>
      </c>
      <c r="D29" s="10">
        <f>SUMIF(Entradas!B:B,B29,Entradas!C:C)</f>
        <v>23650</v>
      </c>
      <c r="E29" s="11">
        <f t="shared" si="6"/>
        <v>5942.1399999999994</v>
      </c>
      <c r="F29" s="12">
        <f>SUMIFS(Despesas!$C:$C,Despesas!$B:$B,$B29,Despesas!$E:$E,F$3)</f>
        <v>116.53</v>
      </c>
      <c r="G29" s="12">
        <f>SUMIFS(Despesas!$C:$C,Despesas!$B:$B,$B29,Despesas!$E:$E,G$3)</f>
        <v>0</v>
      </c>
      <c r="H29" s="12">
        <f>SUMIFS(Despesas!$C:$C,Despesas!$B:$B,$B29,Despesas!$E:$E,H$3)</f>
        <v>181.5</v>
      </c>
      <c r="I29" s="12">
        <f>SUMIFS(Despesas!$C:$C,Despesas!$B:$B,$B29,Despesas!$E:$E,I$3)</f>
        <v>263.86</v>
      </c>
      <c r="J29" s="12">
        <f>SUMIFS(Despesas!$C:$C,Despesas!$B:$B,$B29,Despesas!$E:$E,J$3)</f>
        <v>254.4</v>
      </c>
      <c r="K29" s="12">
        <f>SUMIFS(Despesas!$C:$C,Despesas!$B:$B,$B29,Despesas!$E:$E,K$3)</f>
        <v>3642.83</v>
      </c>
      <c r="L29" s="12">
        <f>SUMIFS(Despesas!$C:$C,Despesas!$B:$B,$B29,Despesas!$E:$E,L$3)</f>
        <v>920</v>
      </c>
      <c r="M29" s="12">
        <f>SUMIFS(Despesas!$C:$C,Despesas!$B:$B,$B29,Despesas!$E:$E,M$3)</f>
        <v>563.02</v>
      </c>
      <c r="N29" s="12">
        <f>SUMIFS(Despesas!$C:$C,Despesas!$B:$B,$B29,Despesas!$E:$E,N$3)</f>
        <v>0</v>
      </c>
      <c r="O29" s="12">
        <f>SUMIFS(Despesas!$C:$C,Despesas!$B:$B,$B29,Despesas!$E:$E,O$3)</f>
        <v>0</v>
      </c>
      <c r="P29" s="13">
        <f t="shared" si="7"/>
        <v>17707.86</v>
      </c>
    </row>
    <row r="30" spans="1:16" ht="13.2" hidden="1" outlineLevel="1">
      <c r="A30" s="2"/>
      <c r="B30" s="2" t="s">
        <v>47</v>
      </c>
      <c r="C30" s="9" t="s">
        <v>33</v>
      </c>
      <c r="D30" s="10">
        <f>SUMIF(Entradas!B:B,B30,Entradas!C:C)</f>
        <v>23470</v>
      </c>
      <c r="E30" s="11">
        <f t="shared" si="6"/>
        <v>6533.93</v>
      </c>
      <c r="F30" s="12">
        <f>SUMIFS(Despesas!$C:$C,Despesas!$B:$B,$B30,Despesas!$E:$E,F$3)</f>
        <v>63</v>
      </c>
      <c r="G30" s="12">
        <f>SUMIFS(Despesas!$C:$C,Despesas!$B:$B,$B30,Despesas!$E:$E,G$3)</f>
        <v>187.8</v>
      </c>
      <c r="H30" s="12">
        <f>SUMIFS(Despesas!$C:$C,Despesas!$B:$B,$B30,Despesas!$E:$E,H$3)</f>
        <v>0</v>
      </c>
      <c r="I30" s="12">
        <f>SUMIFS(Despesas!$C:$C,Despesas!$B:$B,$B30,Despesas!$E:$E,I$3)</f>
        <v>294.09000000000003</v>
      </c>
      <c r="J30" s="12">
        <f>SUMIFS(Despesas!$C:$C,Despesas!$B:$B,$B30,Despesas!$E:$E,J$3)</f>
        <v>289.39999999999998</v>
      </c>
      <c r="K30" s="12">
        <f>SUMIFS(Despesas!$C:$C,Despesas!$B:$B,$B30,Despesas!$E:$E,K$3)</f>
        <v>3681.26</v>
      </c>
      <c r="L30" s="12">
        <f>SUMIFS(Despesas!$C:$C,Despesas!$B:$B,$B30,Despesas!$E:$E,L$3)</f>
        <v>1190</v>
      </c>
      <c r="M30" s="12">
        <f>SUMIFS(Despesas!$C:$C,Despesas!$B:$B,$B30,Despesas!$E:$E,M$3)</f>
        <v>828.38</v>
      </c>
      <c r="N30" s="12">
        <f>SUMIFS(Despesas!$C:$C,Despesas!$B:$B,$B30,Despesas!$E:$E,N$3)</f>
        <v>0</v>
      </c>
      <c r="O30" s="12">
        <f>SUMIFS(Despesas!$C:$C,Despesas!$B:$B,$B30,Despesas!$E:$E,O$3)</f>
        <v>0</v>
      </c>
      <c r="P30" s="13">
        <f t="shared" si="7"/>
        <v>16936.07</v>
      </c>
    </row>
    <row r="31" spans="1:16" ht="13.2" hidden="1" outlineLevel="1">
      <c r="A31" s="2"/>
      <c r="B31" s="2" t="s">
        <v>48</v>
      </c>
      <c r="C31" s="9" t="s">
        <v>35</v>
      </c>
      <c r="D31" s="10">
        <f>SUMIF(Entradas!B:B,B31,Entradas!C:C)</f>
        <v>19700</v>
      </c>
      <c r="E31" s="11">
        <f t="shared" si="6"/>
        <v>6689.7800000000007</v>
      </c>
      <c r="F31" s="12">
        <f>SUMIFS(Despesas!$C:$C,Despesas!$B:$B,$B31,Despesas!$E:$E,F$3)</f>
        <v>97.01</v>
      </c>
      <c r="G31" s="12">
        <f>SUMIFS(Despesas!$C:$C,Despesas!$B:$B,$B31,Despesas!$E:$E,G$3)</f>
        <v>0</v>
      </c>
      <c r="H31" s="12">
        <f>SUMIFS(Despesas!$C:$C,Despesas!$B:$B,$B31,Despesas!$E:$E,H$3)</f>
        <v>0</v>
      </c>
      <c r="I31" s="12">
        <f>SUMIFS(Despesas!$C:$C,Despesas!$B:$B,$B31,Despesas!$E:$E,I$3)</f>
        <v>279</v>
      </c>
      <c r="J31" s="12">
        <f>SUMIFS(Despesas!$C:$C,Despesas!$B:$B,$B31,Despesas!$E:$E,J$3)</f>
        <v>238.62</v>
      </c>
      <c r="K31" s="12">
        <f>SUMIFS(Despesas!$C:$C,Despesas!$B:$B,$B31,Despesas!$E:$E,K$3)</f>
        <v>3681.26</v>
      </c>
      <c r="L31" s="12">
        <f>SUMIFS(Despesas!$C:$C,Despesas!$B:$B,$B31,Despesas!$E:$E,L$3)</f>
        <v>690</v>
      </c>
      <c r="M31" s="12">
        <f>SUMIFS(Despesas!$C:$C,Despesas!$B:$B,$B31,Despesas!$E:$E,M$3)</f>
        <v>1703.8899999999999</v>
      </c>
      <c r="N31" s="12">
        <f>SUMIFS(Despesas!$C:$C,Despesas!$B:$B,$B31,Despesas!$E:$E,N$3)</f>
        <v>0</v>
      </c>
      <c r="O31" s="12">
        <f>SUMIFS(Despesas!$C:$C,Despesas!$B:$B,$B31,Despesas!$E:$E,O$3)</f>
        <v>0</v>
      </c>
      <c r="P31" s="13">
        <f t="shared" si="7"/>
        <v>13010.22</v>
      </c>
    </row>
    <row r="32" spans="1:16" ht="13.2">
      <c r="C32" s="14" t="s">
        <v>36</v>
      </c>
      <c r="D32" s="15">
        <f t="shared" ref="D32:P32" si="8">SUM(D20:D31)</f>
        <v>185738.98</v>
      </c>
      <c r="E32" s="15">
        <f t="shared" si="8"/>
        <v>118821.03999999998</v>
      </c>
      <c r="F32" s="15">
        <f t="shared" si="8"/>
        <v>1049.7</v>
      </c>
      <c r="G32" s="15">
        <f t="shared" si="8"/>
        <v>1042.1600000000001</v>
      </c>
      <c r="H32" s="15">
        <f t="shared" si="8"/>
        <v>5313.8400000000011</v>
      </c>
      <c r="I32" s="15">
        <f t="shared" si="8"/>
        <v>4815.2199999999993</v>
      </c>
      <c r="J32" s="15">
        <f t="shared" si="8"/>
        <v>3538.01</v>
      </c>
      <c r="K32" s="15">
        <f t="shared" si="8"/>
        <v>46303.000000000007</v>
      </c>
      <c r="L32" s="15">
        <f t="shared" si="8"/>
        <v>9640</v>
      </c>
      <c r="M32" s="15">
        <f t="shared" si="8"/>
        <v>4701.7900000000009</v>
      </c>
      <c r="N32" s="15">
        <f t="shared" si="8"/>
        <v>42417.319999999992</v>
      </c>
      <c r="O32" s="15">
        <f t="shared" si="8"/>
        <v>0</v>
      </c>
      <c r="P32" s="16">
        <f t="shared" si="8"/>
        <v>66917.939999999988</v>
      </c>
    </row>
    <row r="34" spans="1:16" ht="13.2">
      <c r="E34" s="1"/>
      <c r="F34" s="1">
        <f t="shared" ref="F34:O34" si="9">F48/SUM($F48:$O48)</f>
        <v>1.0001561188640833E-2</v>
      </c>
      <c r="G34" s="1">
        <f t="shared" si="9"/>
        <v>8.7251480247820368E-2</v>
      </c>
      <c r="H34" s="1">
        <f t="shared" si="9"/>
        <v>1.0446342784636646E-2</v>
      </c>
      <c r="I34" s="1">
        <f t="shared" si="9"/>
        <v>3.177909495065491E-2</v>
      </c>
      <c r="J34" s="1">
        <f t="shared" si="9"/>
        <v>9.6668905418162795E-2</v>
      </c>
      <c r="K34" s="1">
        <f t="shared" si="9"/>
        <v>0.4980280825355381</v>
      </c>
      <c r="L34" s="1">
        <f t="shared" si="9"/>
        <v>9.429998501678015E-2</v>
      </c>
      <c r="M34" s="1">
        <f t="shared" si="9"/>
        <v>9.4286363907833293E-2</v>
      </c>
      <c r="N34" s="1">
        <f t="shared" si="9"/>
        <v>7.7238183949932995E-2</v>
      </c>
      <c r="O34" s="1">
        <f t="shared" si="9"/>
        <v>0</v>
      </c>
    </row>
    <row r="35" spans="1:16" ht="13.2" collapsed="1">
      <c r="A35" s="2"/>
      <c r="B35" s="2"/>
      <c r="C35" s="3">
        <v>2024</v>
      </c>
      <c r="D35" s="4" t="str">
        <f t="shared" ref="D35:N35" si="10">D19</f>
        <v>Recebimentos</v>
      </c>
      <c r="E35" s="4" t="str">
        <f t="shared" si="10"/>
        <v>Despesas</v>
      </c>
      <c r="F35" s="4" t="str">
        <f t="shared" si="10"/>
        <v>Transporte</v>
      </c>
      <c r="G35" s="5" t="str">
        <f t="shared" si="10"/>
        <v>Materiais</v>
      </c>
      <c r="H35" s="4" t="str">
        <f t="shared" si="10"/>
        <v>Educação</v>
      </c>
      <c r="I35" s="4" t="str">
        <f t="shared" si="10"/>
        <v>Marketing</v>
      </c>
      <c r="J35" s="4" t="str">
        <f t="shared" si="10"/>
        <v>Empresa/CRP</v>
      </c>
      <c r="K35" s="4" t="str">
        <f t="shared" si="10"/>
        <v>Aluguel</v>
      </c>
      <c r="L35" s="4" t="str">
        <f t="shared" si="10"/>
        <v>Supervisão</v>
      </c>
      <c r="M35" s="4" t="str">
        <f t="shared" si="10"/>
        <v>Escritório</v>
      </c>
      <c r="N35" s="4" t="str">
        <f t="shared" si="10"/>
        <v xml:space="preserve">Reforma </v>
      </c>
      <c r="O35" s="4"/>
      <c r="P35" s="4" t="str">
        <f>P19</f>
        <v>Total</v>
      </c>
    </row>
    <row r="36" spans="1:16" ht="13.2" hidden="1" outlineLevel="1">
      <c r="A36" s="2"/>
      <c r="B36" s="8" t="s">
        <v>49</v>
      </c>
      <c r="C36" s="9" t="s">
        <v>13</v>
      </c>
      <c r="D36" s="10">
        <f>SUMIF(Entradas!B:B,B36,Entradas!C:C)</f>
        <v>15930</v>
      </c>
      <c r="E36" s="11">
        <f t="shared" ref="E36:E47" si="11">SUM(F36:O36)</f>
        <v>6553.5700000000006</v>
      </c>
      <c r="F36" s="12">
        <f>SUMIFS(Despesas!$C:$C,Despesas!$B:$B,$B36,Despesas!$E:$E,F$3)</f>
        <v>50</v>
      </c>
      <c r="G36" s="12">
        <f>SUMIFS(Despesas!$C:$C,Despesas!$B:$B,$B36,Despesas!$E:$E,G$3)</f>
        <v>32</v>
      </c>
      <c r="H36" s="12">
        <f>SUMIFS(Despesas!$C:$C,Despesas!$B:$B,$B36,Despesas!$E:$E,H$3)</f>
        <v>997</v>
      </c>
      <c r="I36" s="12">
        <f>SUMIFS(Despesas!$C:$C,Despesas!$B:$B,$B36,Despesas!$E:$E,I$3)</f>
        <v>269</v>
      </c>
      <c r="J36" s="12">
        <f>SUMIFS(Despesas!$C:$C,Despesas!$B:$B,$B36,Despesas!$E:$E,J$3)</f>
        <v>246.2</v>
      </c>
      <c r="K36" s="12">
        <f>SUMIFS(Despesas!$C:$C,Despesas!$B:$B,$B36,Despesas!$E:$E,K$3)</f>
        <v>3895.11</v>
      </c>
      <c r="L36" s="12">
        <f>SUMIFS(Despesas!$C:$C,Despesas!$B:$B,$B36,Despesas!$E:$E,L$3)</f>
        <v>600</v>
      </c>
      <c r="M36" s="12">
        <f>SUMIFS(Despesas!$C:$C,Despesas!$B:$B,$B36,Despesas!$E:$E,M$3)</f>
        <v>464.26</v>
      </c>
      <c r="N36" s="12">
        <f>SUMIFS(Despesas!$C:$C,Despesas!$B:$B,$B36,Despesas!$E:$E,N$3)</f>
        <v>0</v>
      </c>
      <c r="O36" s="12">
        <f>SUMIFS(Despesas!$C:$C,Despesas!$B:$B,$B36,Despesas!$E:$E,O$3)</f>
        <v>0</v>
      </c>
      <c r="P36" s="13">
        <f t="shared" ref="P36:P47" si="12">D36-E36</f>
        <v>9376.43</v>
      </c>
    </row>
    <row r="37" spans="1:16" ht="13.2" hidden="1" outlineLevel="1">
      <c r="A37" s="2"/>
      <c r="B37" s="2" t="s">
        <v>50</v>
      </c>
      <c r="C37" s="9" t="s">
        <v>15</v>
      </c>
      <c r="D37" s="10">
        <f>SUMIF(Entradas!B:B,B37,Entradas!C:C)</f>
        <v>25710</v>
      </c>
      <c r="E37" s="11">
        <f t="shared" si="11"/>
        <v>6573.42</v>
      </c>
      <c r="F37" s="12">
        <f>SUMIFS(Despesas!$C:$C,Despesas!$B:$B,$B37,Despesas!$E:$E,F$3)</f>
        <v>100</v>
      </c>
      <c r="G37" s="12">
        <f>SUMIFS(Despesas!$C:$C,Despesas!$B:$B,$B37,Despesas!$E:$E,G$3)</f>
        <v>0</v>
      </c>
      <c r="H37" s="12">
        <f>SUMIFS(Despesas!$C:$C,Despesas!$B:$B,$B37,Despesas!$E:$E,H$3)</f>
        <v>0</v>
      </c>
      <c r="I37" s="12">
        <f>SUMIFS(Despesas!$C:$C,Despesas!$B:$B,$B37,Despesas!$E:$E,I$3)</f>
        <v>274</v>
      </c>
      <c r="J37" s="12">
        <f>SUMIFS(Despesas!$C:$C,Despesas!$B:$B,$B37,Despesas!$E:$E,J$3)</f>
        <v>902.43000000000006</v>
      </c>
      <c r="K37" s="12">
        <f>SUMIFS(Despesas!$C:$C,Despesas!$B:$B,$B37,Despesas!$E:$E,K$3)</f>
        <v>3975.3700000000003</v>
      </c>
      <c r="L37" s="12">
        <f>SUMIFS(Despesas!$C:$C,Despesas!$B:$B,$B37,Despesas!$E:$E,L$3)</f>
        <v>800</v>
      </c>
      <c r="M37" s="12">
        <f>SUMIFS(Despesas!$C:$C,Despesas!$B:$B,$B37,Despesas!$E:$E,M$3)</f>
        <v>316.62</v>
      </c>
      <c r="N37" s="12">
        <f>SUMIFS(Despesas!$C:$C,Despesas!$B:$B,$B37,Despesas!$E:$E,N$3)</f>
        <v>205</v>
      </c>
      <c r="O37" s="12">
        <f>SUMIFS(Despesas!$C:$C,Despesas!$B:$B,$B37,Despesas!$E:$E,O$3)</f>
        <v>0</v>
      </c>
      <c r="P37" s="13">
        <f t="shared" si="12"/>
        <v>19136.580000000002</v>
      </c>
    </row>
    <row r="38" spans="1:16" ht="13.2" hidden="1" outlineLevel="1">
      <c r="A38" s="2"/>
      <c r="B38" s="2" t="s">
        <v>51</v>
      </c>
      <c r="C38" s="9" t="s">
        <v>17</v>
      </c>
      <c r="D38" s="10">
        <f>SUMIF(Entradas!B:B,B38,Entradas!C:C)</f>
        <v>21254</v>
      </c>
      <c r="E38" s="11">
        <f t="shared" si="11"/>
        <v>5965.4</v>
      </c>
      <c r="F38" s="12">
        <f>SUMIFS(Despesas!$C:$C,Despesas!$B:$B,$B38,Despesas!$E:$E,F$3)</f>
        <v>50</v>
      </c>
      <c r="G38" s="12">
        <f>SUMIFS(Despesas!$C:$C,Despesas!$B:$B,$B38,Despesas!$E:$E,G$3)</f>
        <v>0</v>
      </c>
      <c r="H38" s="12">
        <f>SUMIFS(Despesas!$C:$C,Despesas!$B:$B,$B38,Despesas!$E:$E,H$3)</f>
        <v>0</v>
      </c>
      <c r="I38" s="12">
        <f>SUMIFS(Despesas!$C:$C,Despesas!$B:$B,$B38,Despesas!$E:$E,I$3)</f>
        <v>249</v>
      </c>
      <c r="J38" s="12">
        <f>SUMIFS(Despesas!$C:$C,Despesas!$B:$B,$B38,Despesas!$E:$E,J$3)</f>
        <v>295.57</v>
      </c>
      <c r="K38" s="12">
        <f>SUMIFS(Despesas!$C:$C,Despesas!$B:$B,$B38,Despesas!$E:$E,K$3)</f>
        <v>3975.2700000000004</v>
      </c>
      <c r="L38" s="12">
        <f>SUMIFS(Despesas!$C:$C,Despesas!$B:$B,$B38,Despesas!$E:$E,L$3)</f>
        <v>850</v>
      </c>
      <c r="M38" s="12">
        <f>SUMIFS(Despesas!$C:$C,Despesas!$B:$B,$B38,Despesas!$E:$E,M$3)</f>
        <v>545.55999999999995</v>
      </c>
      <c r="N38" s="12">
        <f>SUMIFS(Despesas!$C:$C,Despesas!$B:$B,$B38,Despesas!$E:$E,N$3)</f>
        <v>0</v>
      </c>
      <c r="O38" s="12">
        <f>SUMIFS(Despesas!$C:$C,Despesas!$B:$B,$B38,Despesas!$E:$E,O$3)</f>
        <v>0</v>
      </c>
      <c r="P38" s="13">
        <f t="shared" si="12"/>
        <v>15288.6</v>
      </c>
    </row>
    <row r="39" spans="1:16" ht="13.2" hidden="1" outlineLevel="1">
      <c r="A39" s="2"/>
      <c r="B39" s="2" t="s">
        <v>52</v>
      </c>
      <c r="C39" s="9" t="s">
        <v>19</v>
      </c>
      <c r="D39" s="10">
        <f>SUMIF(Entradas!B:B,B39,Entradas!C:C)</f>
        <v>25153.45</v>
      </c>
      <c r="E39" s="11">
        <f t="shared" si="11"/>
        <v>10377.44</v>
      </c>
      <c r="F39" s="12">
        <f>SUMIFS(Despesas!$C:$C,Despesas!$B:$B,$B39,Despesas!$E:$E,F$3)</f>
        <v>60</v>
      </c>
      <c r="G39" s="12">
        <f>SUMIFS(Despesas!$C:$C,Despesas!$B:$B,$B39,Despesas!$E:$E,G$3)</f>
        <v>0</v>
      </c>
      <c r="H39" s="12">
        <f>SUMIFS(Despesas!$C:$C,Despesas!$B:$B,$B39,Despesas!$E:$E,H$3)</f>
        <v>0</v>
      </c>
      <c r="I39" s="12">
        <f>SUMIFS(Despesas!$C:$C,Despesas!$B:$B,$B39,Despesas!$E:$E,I$3)</f>
        <v>249</v>
      </c>
      <c r="J39" s="12">
        <f>SUMIFS(Despesas!$C:$C,Despesas!$B:$B,$B39,Despesas!$E:$E,J$3)</f>
        <v>613.12000000000012</v>
      </c>
      <c r="K39" s="12">
        <f>SUMIFS(Despesas!$C:$C,Despesas!$B:$B,$B39,Despesas!$E:$E,K$3)</f>
        <v>4060.0200000000004</v>
      </c>
      <c r="L39" s="12">
        <f>SUMIFS(Despesas!$C:$C,Despesas!$B:$B,$B39,Despesas!$E:$E,L$3)</f>
        <v>800</v>
      </c>
      <c r="M39" s="12">
        <f>SUMIFS(Despesas!$C:$C,Despesas!$B:$B,$B39,Despesas!$E:$E,M$3)</f>
        <v>728.68</v>
      </c>
      <c r="N39" s="12">
        <f>SUMIFS(Despesas!$C:$C,Despesas!$B:$B,$B39,Despesas!$E:$E,N$3)</f>
        <v>3866.62</v>
      </c>
      <c r="O39" s="12">
        <f>SUMIFS(Despesas!$C:$C,Despesas!$B:$B,$B39,Despesas!$E:$E,O$3)</f>
        <v>0</v>
      </c>
      <c r="P39" s="13">
        <f t="shared" si="12"/>
        <v>14776.01</v>
      </c>
    </row>
    <row r="40" spans="1:16" ht="13.2" hidden="1" outlineLevel="1">
      <c r="A40" s="2"/>
      <c r="B40" s="2" t="s">
        <v>53</v>
      </c>
      <c r="C40" s="9" t="s">
        <v>21</v>
      </c>
      <c r="D40" s="10">
        <f>SUMIF(Entradas!B:B,B40,Entradas!C:C)</f>
        <v>26466.9</v>
      </c>
      <c r="E40" s="11">
        <f t="shared" si="11"/>
        <v>7285.3</v>
      </c>
      <c r="F40" s="12">
        <f>SUMIFS(Despesas!$C:$C,Despesas!$B:$B,$B40,Despesas!$E:$E,F$3)</f>
        <v>70</v>
      </c>
      <c r="G40" s="12">
        <f>SUMIFS(Despesas!$C:$C,Despesas!$B:$B,$B40,Despesas!$E:$E,G$3)</f>
        <v>0</v>
      </c>
      <c r="H40" s="12">
        <f>SUMIFS(Despesas!$C:$C,Despesas!$B:$B,$B40,Despesas!$E:$E,H$3)</f>
        <v>0</v>
      </c>
      <c r="I40" s="12">
        <f>SUMIFS(Despesas!$C:$C,Despesas!$B:$B,$B40,Despesas!$E:$E,I$3)</f>
        <v>249</v>
      </c>
      <c r="J40" s="12">
        <f>SUMIFS(Despesas!$C:$C,Despesas!$B:$B,$B40,Despesas!$E:$E,J$3)</f>
        <v>309.2</v>
      </c>
      <c r="K40" s="12">
        <f>SUMIFS(Despesas!$C:$C,Despesas!$B:$B,$B40,Despesas!$E:$E,K$3)</f>
        <v>3953.26</v>
      </c>
      <c r="L40" s="12">
        <f>SUMIFS(Despesas!$C:$C,Despesas!$B:$B,$B40,Despesas!$E:$E,L$3)</f>
        <v>300</v>
      </c>
      <c r="M40" s="12">
        <f>SUMIFS(Despesas!$C:$C,Despesas!$B:$B,$B40,Despesas!$E:$E,M$3)</f>
        <v>703.84</v>
      </c>
      <c r="N40" s="12">
        <f>SUMIFS(Despesas!$C:$C,Despesas!$B:$B,$B40,Despesas!$E:$E,N$3)</f>
        <v>1700</v>
      </c>
      <c r="O40" s="12">
        <f>SUMIFS(Despesas!$C:$C,Despesas!$B:$B,$B40,Despesas!$E:$E,O$3)</f>
        <v>0</v>
      </c>
      <c r="P40" s="13">
        <f t="shared" si="12"/>
        <v>19181.600000000002</v>
      </c>
    </row>
    <row r="41" spans="1:16" ht="13.2" hidden="1" outlineLevel="1">
      <c r="A41" s="2"/>
      <c r="B41" s="2" t="s">
        <v>54</v>
      </c>
      <c r="C41" s="9" t="s">
        <v>23</v>
      </c>
      <c r="D41" s="10">
        <f>SUMIF(Entradas!B:B,B41,Entradas!C:C)</f>
        <v>30623.45</v>
      </c>
      <c r="E41" s="11">
        <f t="shared" si="11"/>
        <v>6505.7800000000007</v>
      </c>
      <c r="F41" s="12">
        <f>SUMIFS(Despesas!$C:$C,Despesas!$B:$B,$B41,Despesas!$E:$E,F$3)</f>
        <v>64.55</v>
      </c>
      <c r="G41" s="12">
        <f>SUMIFS(Despesas!$C:$C,Despesas!$B:$B,$B41,Despesas!$E:$E,G$3)</f>
        <v>0</v>
      </c>
      <c r="H41" s="12">
        <f>SUMIFS(Despesas!$C:$C,Despesas!$B:$B,$B41,Despesas!$E:$E,H$3)</f>
        <v>0</v>
      </c>
      <c r="I41" s="12">
        <f>SUMIFS(Despesas!$C:$C,Despesas!$B:$B,$B41,Despesas!$E:$E,I$3)</f>
        <v>249</v>
      </c>
      <c r="J41" s="12">
        <f>SUMIFS(Despesas!$C:$C,Despesas!$B:$B,$B41,Despesas!$E:$E,J$3)</f>
        <v>672.12</v>
      </c>
      <c r="K41" s="12">
        <f>SUMIFS(Despesas!$C:$C,Despesas!$B:$B,$B41,Despesas!$E:$E,K$3)</f>
        <v>3953.26</v>
      </c>
      <c r="L41" s="12">
        <f>SUMIFS(Despesas!$C:$C,Despesas!$B:$B,$B41,Despesas!$E:$E,L$3)</f>
        <v>750</v>
      </c>
      <c r="M41" s="12">
        <f>SUMIFS(Despesas!$C:$C,Despesas!$B:$B,$B41,Despesas!$E:$E,M$3)</f>
        <v>816.84999999999991</v>
      </c>
      <c r="N41" s="12">
        <f>SUMIFS(Despesas!$C:$C,Despesas!$B:$B,$B41,Despesas!$E:$E,N$3)</f>
        <v>0</v>
      </c>
      <c r="O41" s="12">
        <f>SUMIFS(Despesas!$C:$C,Despesas!$B:$B,$B41,Despesas!$E:$E,O$3)</f>
        <v>0</v>
      </c>
      <c r="P41" s="13">
        <f t="shared" si="12"/>
        <v>24117.67</v>
      </c>
    </row>
    <row r="42" spans="1:16" ht="13.2" hidden="1" outlineLevel="1">
      <c r="A42" s="2"/>
      <c r="B42" s="2" t="s">
        <v>55</v>
      </c>
      <c r="C42" s="9" t="s">
        <v>25</v>
      </c>
      <c r="D42" s="10">
        <f>SUMIF(Entradas!B:B,B42,Entradas!C:C)</f>
        <v>27510</v>
      </c>
      <c r="E42" s="11">
        <f t="shared" si="11"/>
        <v>6656.1</v>
      </c>
      <c r="F42" s="12">
        <f>SUMIFS(Despesas!$C:$C,Despesas!$B:$B,$B42,Despesas!$E:$E,F$3)</f>
        <v>100</v>
      </c>
      <c r="G42" s="12">
        <f>SUMIFS(Despesas!$C:$C,Despesas!$B:$B,$B42,Despesas!$E:$E,G$3)</f>
        <v>0</v>
      </c>
      <c r="H42" s="12">
        <f>SUMIFS(Despesas!$C:$C,Despesas!$B:$B,$B42,Despesas!$E:$E,H$3)</f>
        <v>0</v>
      </c>
      <c r="I42" s="12">
        <f>SUMIFS(Despesas!$C:$C,Despesas!$B:$B,$B42,Despesas!$E:$E,I$3)</f>
        <v>249</v>
      </c>
      <c r="J42" s="12">
        <f>SUMIFS(Despesas!$C:$C,Despesas!$B:$B,$B42,Despesas!$E:$E,J$3)</f>
        <v>1203.04</v>
      </c>
      <c r="K42" s="12">
        <f>SUMIFS(Despesas!$C:$C,Despesas!$B:$B,$B42,Despesas!$E:$E,K$3)</f>
        <v>3953.26</v>
      </c>
      <c r="L42" s="12">
        <f>SUMIFS(Despesas!$C:$C,Despesas!$B:$B,$B42,Despesas!$E:$E,L$3)</f>
        <v>700</v>
      </c>
      <c r="M42" s="12">
        <f>SUMIFS(Despesas!$C:$C,Despesas!$B:$B,$B42,Despesas!$E:$E,M$3)</f>
        <v>450.79999999999995</v>
      </c>
      <c r="N42" s="12">
        <f>SUMIFS(Despesas!$C:$C,Despesas!$B:$B,$B42,Despesas!$E:$E,N$3)</f>
        <v>0</v>
      </c>
      <c r="O42" s="12">
        <f>SUMIFS(Despesas!$C:$C,Despesas!$B:$B,$B42,Despesas!$E:$E,O$3)</f>
        <v>0</v>
      </c>
      <c r="P42" s="13">
        <f t="shared" si="12"/>
        <v>20853.900000000001</v>
      </c>
    </row>
    <row r="43" spans="1:16" ht="13.2" hidden="1" outlineLevel="1">
      <c r="A43" s="2"/>
      <c r="B43" s="2" t="s">
        <v>56</v>
      </c>
      <c r="C43" s="9" t="s">
        <v>27</v>
      </c>
      <c r="D43" s="10">
        <f>SUMIF(Entradas!B:B,B43,Entradas!C:C)</f>
        <v>28065</v>
      </c>
      <c r="E43" s="11">
        <f t="shared" si="11"/>
        <v>7116.8600000000006</v>
      </c>
      <c r="F43" s="12">
        <f>SUMIFS(Despesas!$C:$C,Despesas!$B:$B,$B43,Despesas!$E:$E,F$3)</f>
        <v>80</v>
      </c>
      <c r="G43" s="12">
        <f>SUMIFS(Despesas!$C:$C,Despesas!$B:$B,$B43,Despesas!$E:$E,G$3)</f>
        <v>0</v>
      </c>
      <c r="H43" s="12">
        <f>SUMIFS(Despesas!$C:$C,Despesas!$B:$B,$B43,Despesas!$E:$E,H$3)</f>
        <v>0</v>
      </c>
      <c r="I43" s="12">
        <f>SUMIFS(Despesas!$C:$C,Despesas!$B:$B,$B43,Despesas!$E:$E,I$3)</f>
        <v>249</v>
      </c>
      <c r="J43" s="12">
        <f>SUMIFS(Despesas!$C:$C,Despesas!$B:$B,$B43,Despesas!$E:$E,J$3)</f>
        <v>882.04</v>
      </c>
      <c r="K43" s="12">
        <f>SUMIFS(Despesas!$C:$C,Despesas!$B:$B,$B43,Despesas!$E:$E,K$3)</f>
        <v>3953.26</v>
      </c>
      <c r="L43" s="12">
        <f>SUMIFS(Despesas!$C:$C,Despesas!$B:$B,$B43,Despesas!$E:$E,L$3)</f>
        <v>1150</v>
      </c>
      <c r="M43" s="12">
        <f>SUMIFS(Despesas!$C:$C,Despesas!$B:$B,$B43,Despesas!$E:$E,M$3)</f>
        <v>802.56</v>
      </c>
      <c r="N43" s="12">
        <f>SUMIFS(Despesas!$C:$C,Despesas!$B:$B,$B43,Despesas!$E:$E,N$3)</f>
        <v>0</v>
      </c>
      <c r="O43" s="12">
        <f>SUMIFS(Despesas!$C:$C,Despesas!$B:$B,$B43,Despesas!$E:$E,O$3)</f>
        <v>0</v>
      </c>
      <c r="P43" s="13">
        <f t="shared" si="12"/>
        <v>20948.14</v>
      </c>
    </row>
    <row r="44" spans="1:16" ht="13.2" hidden="1" outlineLevel="1">
      <c r="A44" s="2"/>
      <c r="B44" s="2" t="s">
        <v>57</v>
      </c>
      <c r="C44" s="9" t="s">
        <v>29</v>
      </c>
      <c r="D44" s="10">
        <f>SUMIF(Entradas!B:B,B44,Entradas!C:C)</f>
        <v>26895</v>
      </c>
      <c r="E44" s="11">
        <f t="shared" si="11"/>
        <v>7369.0099999999993</v>
      </c>
      <c r="F44" s="12">
        <f>SUMIFS(Despesas!$C:$C,Despesas!$B:$B,$B44,Despesas!$E:$E,F$3)</f>
        <v>100</v>
      </c>
      <c r="G44" s="12">
        <f>SUMIFS(Despesas!$C:$C,Despesas!$B:$B,$B44,Despesas!$E:$E,G$3)</f>
        <v>233.4</v>
      </c>
      <c r="H44" s="12">
        <f>SUMIFS(Despesas!$C:$C,Despesas!$B:$B,$B44,Despesas!$E:$E,H$3)</f>
        <v>0</v>
      </c>
      <c r="I44" s="12">
        <f>SUMIFS(Despesas!$C:$C,Despesas!$B:$B,$B44,Despesas!$E:$E,I$3)</f>
        <v>249</v>
      </c>
      <c r="J44" s="12">
        <f>SUMIFS(Despesas!$C:$C,Despesas!$B:$B,$B44,Despesas!$E:$E,J$3)</f>
        <v>1102.24</v>
      </c>
      <c r="K44" s="12">
        <f>SUMIFS(Despesas!$C:$C,Despesas!$B:$B,$B44,Despesas!$E:$E,K$3)</f>
        <v>3953.26</v>
      </c>
      <c r="L44" s="12">
        <f>SUMIFS(Despesas!$C:$C,Despesas!$B:$B,$B44,Despesas!$E:$E,L$3)</f>
        <v>1000</v>
      </c>
      <c r="M44" s="12">
        <f>SUMIFS(Despesas!$C:$C,Despesas!$B:$B,$B44,Despesas!$E:$E,M$3)</f>
        <v>731.11</v>
      </c>
      <c r="N44" s="12">
        <f>SUMIFS(Despesas!$C:$C,Despesas!$B:$B,$B44,Despesas!$E:$E,N$3)</f>
        <v>0</v>
      </c>
      <c r="O44" s="12">
        <f>SUMIFS(Despesas!$C:$C,Despesas!$B:$B,$B44,Despesas!$E:$E,O$3)</f>
        <v>0</v>
      </c>
      <c r="P44" s="13">
        <f t="shared" si="12"/>
        <v>19525.990000000002</v>
      </c>
    </row>
    <row r="45" spans="1:16" ht="13.2" hidden="1" outlineLevel="1">
      <c r="A45" s="2"/>
      <c r="B45" s="2" t="s">
        <v>58</v>
      </c>
      <c r="C45" s="9" t="s">
        <v>31</v>
      </c>
      <c r="D45" s="10">
        <f>SUMIF(Entradas!B:B,B45,Entradas!C:C)</f>
        <v>31340</v>
      </c>
      <c r="E45" s="11">
        <f t="shared" si="11"/>
        <v>15004.71</v>
      </c>
      <c r="F45" s="12">
        <f>SUMIFS(Despesas!$C:$C,Despesas!$B:$B,$B45,Despesas!$E:$E,F$3)</f>
        <v>100</v>
      </c>
      <c r="G45" s="12">
        <f>SUMIFS(Despesas!$C:$C,Despesas!$B:$B,$B45,Despesas!$E:$E,G$3)</f>
        <v>8061.89</v>
      </c>
      <c r="H45" s="12">
        <f>SUMIFS(Despesas!$C:$C,Despesas!$B:$B,$B45,Despesas!$E:$E,H$3)</f>
        <v>0</v>
      </c>
      <c r="I45" s="12">
        <f>SUMIFS(Despesas!$C:$C,Despesas!$B:$B,$B45,Despesas!$E:$E,I$3)</f>
        <v>249</v>
      </c>
      <c r="J45" s="12">
        <f>SUMIFS(Despesas!$C:$C,Despesas!$B:$B,$B45,Despesas!$E:$E,J$3)</f>
        <v>886.84999999999991</v>
      </c>
      <c r="K45" s="12">
        <f>SUMIFS(Despesas!$C:$C,Despesas!$B:$B,$B45,Despesas!$E:$E,K$3)</f>
        <v>3953.26</v>
      </c>
      <c r="L45" s="12">
        <f>SUMIFS(Despesas!$C:$C,Despesas!$B:$B,$B45,Despesas!$E:$E,L$3)</f>
        <v>850</v>
      </c>
      <c r="M45" s="12">
        <f>SUMIFS(Despesas!$C:$C,Despesas!$B:$B,$B45,Despesas!$E:$E,M$3)</f>
        <v>903.70999999999992</v>
      </c>
      <c r="N45" s="12">
        <f>SUMIFS(Despesas!$C:$C,Despesas!$B:$B,$B45,Despesas!$E:$E,N$3)</f>
        <v>0</v>
      </c>
      <c r="O45" s="12">
        <f>SUMIFS(Despesas!$C:$C,Despesas!$B:$B,$B45,Despesas!$E:$E,O$3)</f>
        <v>0</v>
      </c>
      <c r="P45" s="13">
        <f t="shared" si="12"/>
        <v>16335.29</v>
      </c>
    </row>
    <row r="46" spans="1:16" ht="13.2" hidden="1" outlineLevel="1">
      <c r="A46" s="2"/>
      <c r="B46" s="2" t="s">
        <v>59</v>
      </c>
      <c r="C46" s="9" t="s">
        <v>33</v>
      </c>
      <c r="D46" s="10">
        <f>SUMIF(Entradas!B:B,B46,Entradas!C:C)</f>
        <v>29054.639999999999</v>
      </c>
      <c r="E46" s="11">
        <f t="shared" si="11"/>
        <v>8184.31</v>
      </c>
      <c r="F46" s="12">
        <f>SUMIFS(Despesas!$C:$C,Despesas!$B:$B,$B46,Despesas!$E:$E,F$3)</f>
        <v>100</v>
      </c>
      <c r="G46" s="12">
        <f>SUMIFS(Despesas!$C:$C,Despesas!$B:$B,$B46,Despesas!$E:$E,G$3)</f>
        <v>0</v>
      </c>
      <c r="H46" s="12">
        <f>SUMIFS(Despesas!$C:$C,Despesas!$B:$B,$B46,Despesas!$E:$E,H$3)</f>
        <v>0</v>
      </c>
      <c r="I46" s="12">
        <f>SUMIFS(Despesas!$C:$C,Despesas!$B:$B,$B46,Despesas!$E:$E,I$3)</f>
        <v>249</v>
      </c>
      <c r="J46" s="12">
        <f>SUMIFS(Despesas!$C:$C,Despesas!$B:$B,$B46,Despesas!$E:$E,J$3)</f>
        <v>1243.8400000000001</v>
      </c>
      <c r="K46" s="12">
        <f>SUMIFS(Despesas!$C:$C,Despesas!$B:$B,$B46,Despesas!$E:$E,K$3)</f>
        <v>3953.26</v>
      </c>
      <c r="L46" s="12">
        <f>SUMIFS(Despesas!$C:$C,Despesas!$B:$B,$B46,Despesas!$E:$E,L$3)</f>
        <v>850</v>
      </c>
      <c r="M46" s="12">
        <f>SUMIFS(Despesas!$C:$C,Despesas!$B:$B,$B46,Despesas!$E:$E,M$3)</f>
        <v>1788.21</v>
      </c>
      <c r="N46" s="12">
        <f>SUMIFS(Despesas!$C:$C,Despesas!$B:$B,$B46,Despesas!$E:$E,N$3)</f>
        <v>0</v>
      </c>
      <c r="O46" s="12">
        <f>SUMIFS(Despesas!$C:$C,Despesas!$B:$B,$B46,Despesas!$E:$E,O$3)</f>
        <v>0</v>
      </c>
      <c r="P46" s="13">
        <f t="shared" si="12"/>
        <v>20870.329999999998</v>
      </c>
    </row>
    <row r="47" spans="1:16" ht="13.2" hidden="1" outlineLevel="1">
      <c r="A47" s="2"/>
      <c r="B47" s="2" t="s">
        <v>60</v>
      </c>
      <c r="C47" s="9" t="s">
        <v>35</v>
      </c>
      <c r="D47" s="10">
        <f>SUMIF(Entradas!B:B,B47,Entradas!C:C)</f>
        <v>11600</v>
      </c>
      <c r="E47" s="11">
        <f t="shared" si="11"/>
        <v>7848.2000000000007</v>
      </c>
      <c r="F47" s="12">
        <f>SUMIFS(Despesas!$C:$C,Despesas!$B:$B,$B47,Despesas!$E:$E,F$3)</f>
        <v>80</v>
      </c>
      <c r="G47" s="12">
        <f>SUMIFS(Despesas!$C:$C,Despesas!$B:$B,$B47,Despesas!$E:$E,G$3)</f>
        <v>0</v>
      </c>
      <c r="H47" s="12">
        <f>SUMIFS(Despesas!$C:$C,Despesas!$B:$B,$B47,Despesas!$E:$E,H$3)</f>
        <v>0</v>
      </c>
      <c r="I47" s="12">
        <f>SUMIFS(Despesas!$C:$C,Despesas!$B:$B,$B47,Despesas!$E:$E,I$3)</f>
        <v>249</v>
      </c>
      <c r="J47" s="12">
        <f>SUMIFS(Despesas!$C:$C,Despesas!$B:$B,$B47,Despesas!$E:$E,J$3)</f>
        <v>869.44</v>
      </c>
      <c r="K47" s="12">
        <f>SUMIFS(Despesas!$C:$C,Despesas!$B:$B,$B47,Despesas!$E:$E,K$3)</f>
        <v>3953.26</v>
      </c>
      <c r="L47" s="12">
        <f>SUMIFS(Despesas!$C:$C,Despesas!$B:$B,$B47,Despesas!$E:$E,L$3)</f>
        <v>350</v>
      </c>
      <c r="M47" s="12">
        <f>SUMIFS(Despesas!$C:$C,Despesas!$B:$B,$B47,Despesas!$E:$E,M$3)</f>
        <v>746.5</v>
      </c>
      <c r="N47" s="12">
        <f>SUMIFS(Despesas!$C:$C,Despesas!$B:$B,$B47,Despesas!$E:$E,N$3)</f>
        <v>1600</v>
      </c>
      <c r="O47" s="12">
        <f>SUMIFS(Despesas!$C:$C,Despesas!$B:$B,$B47,Despesas!$E:$E,O$3)</f>
        <v>0</v>
      </c>
      <c r="P47" s="13">
        <f t="shared" si="12"/>
        <v>3751.7999999999993</v>
      </c>
    </row>
    <row r="48" spans="1:16" ht="13.2">
      <c r="C48" s="14" t="s">
        <v>36</v>
      </c>
      <c r="D48" s="15">
        <f t="shared" ref="D48:P48" si="13">SUM(D36:D47)</f>
        <v>299602.44</v>
      </c>
      <c r="E48" s="15">
        <f t="shared" si="13"/>
        <v>95440.099999999991</v>
      </c>
      <c r="F48" s="15">
        <f t="shared" si="13"/>
        <v>954.55</v>
      </c>
      <c r="G48" s="15">
        <f t="shared" si="13"/>
        <v>8327.2900000000009</v>
      </c>
      <c r="H48" s="15">
        <f t="shared" si="13"/>
        <v>997</v>
      </c>
      <c r="I48" s="15">
        <f t="shared" si="13"/>
        <v>3033</v>
      </c>
      <c r="J48" s="15">
        <f t="shared" si="13"/>
        <v>9226.09</v>
      </c>
      <c r="K48" s="15">
        <f t="shared" si="13"/>
        <v>47531.850000000013</v>
      </c>
      <c r="L48" s="15">
        <f t="shared" si="13"/>
        <v>9000</v>
      </c>
      <c r="M48" s="15">
        <f t="shared" si="13"/>
        <v>8998.7000000000007</v>
      </c>
      <c r="N48" s="15">
        <f t="shared" si="13"/>
        <v>7371.62</v>
      </c>
      <c r="O48" s="15">
        <f t="shared" si="13"/>
        <v>0</v>
      </c>
      <c r="P48" s="16">
        <f t="shared" si="13"/>
        <v>204162.33999999997</v>
      </c>
    </row>
    <row r="51" spans="1:16" ht="13.2">
      <c r="A51" s="2"/>
      <c r="B51" s="2"/>
      <c r="C51" s="3">
        <v>2025</v>
      </c>
      <c r="D51" s="4" t="str">
        <f t="shared" ref="D51:P51" si="14">D35</f>
        <v>Recebimentos</v>
      </c>
      <c r="E51" s="4" t="str">
        <f t="shared" si="14"/>
        <v>Despesas</v>
      </c>
      <c r="F51" s="4" t="str">
        <f t="shared" si="14"/>
        <v>Transporte</v>
      </c>
      <c r="G51" s="5" t="str">
        <f t="shared" si="14"/>
        <v>Materiais</v>
      </c>
      <c r="H51" s="4" t="str">
        <f t="shared" si="14"/>
        <v>Educação</v>
      </c>
      <c r="I51" s="4" t="str">
        <f t="shared" si="14"/>
        <v>Marketing</v>
      </c>
      <c r="J51" s="4" t="str">
        <f t="shared" si="14"/>
        <v>Empresa/CRP</v>
      </c>
      <c r="K51" s="4" t="str">
        <f t="shared" si="14"/>
        <v>Aluguel</v>
      </c>
      <c r="L51" s="4" t="str">
        <f t="shared" si="14"/>
        <v>Supervisão</v>
      </c>
      <c r="M51" s="4" t="str">
        <f t="shared" si="14"/>
        <v>Escritório</v>
      </c>
      <c r="N51" s="4" t="str">
        <f t="shared" si="14"/>
        <v xml:space="preserve">Reforma </v>
      </c>
      <c r="O51" s="4">
        <f t="shared" si="14"/>
        <v>0</v>
      </c>
      <c r="P51" s="4" t="str">
        <f t="shared" si="14"/>
        <v>Total</v>
      </c>
    </row>
    <row r="52" spans="1:16" ht="13.2" outlineLevel="1">
      <c r="A52" s="2"/>
      <c r="B52" s="8" t="s">
        <v>61</v>
      </c>
      <c r="C52" s="9" t="s">
        <v>13</v>
      </c>
      <c r="D52" s="10">
        <f>SUMIF(Entradas!B:B,B52,Entradas!C:C)</f>
        <v>16106.910000000002</v>
      </c>
      <c r="E52" s="11">
        <f t="shared" ref="E52:E63" si="15">SUM(F52:O52)</f>
        <v>8798.5400000000009</v>
      </c>
      <c r="F52" s="12">
        <f>SUMIFS(Despesas!$C:$C,Despesas!$B:$B,$B52,Despesas!$E:$E,F$3)</f>
        <v>50</v>
      </c>
      <c r="G52" s="12">
        <f>SUMIFS(Despesas!$C:$C,Despesas!$B:$B,$B52,Despesas!$E:$E,G$3)</f>
        <v>0</v>
      </c>
      <c r="H52" s="12">
        <f>SUMIFS(Despesas!$C:$C,Despesas!$B:$B,$B52,Despesas!$E:$E,H$3)</f>
        <v>0</v>
      </c>
      <c r="I52" s="12">
        <f>SUMIFS(Despesas!$C:$C,Despesas!$B:$B,$B52,Despesas!$E:$E,I$3)</f>
        <v>249</v>
      </c>
      <c r="J52" s="12">
        <f>SUMIFS(Despesas!$C:$C,Despesas!$B:$B,$B52,Despesas!$E:$E,J$3)</f>
        <v>1558.0700000000002</v>
      </c>
      <c r="K52" s="12">
        <f>SUMIFS(Despesas!$C:$C,Despesas!$B:$B,$B52,Despesas!$E:$E,K$3)</f>
        <v>3953.26</v>
      </c>
      <c r="L52" s="12">
        <f>SUMIFS(Despesas!$C:$C,Despesas!$B:$B,$B52,Despesas!$E:$E,L$3)</f>
        <v>480</v>
      </c>
      <c r="M52" s="12">
        <f>SUMIFS(Despesas!$C:$C,Despesas!$B:$B,$B52,Despesas!$E:$E,M$3)</f>
        <v>2508.21</v>
      </c>
      <c r="N52" s="12">
        <f>SUMIFS(Despesas!$C:$C,Despesas!$B:$B,$B52,Despesas!$E:$E,N$3)</f>
        <v>0</v>
      </c>
      <c r="O52" s="12">
        <f>SUMIFS(Despesas!$C:$C,Despesas!$B:$B,$B52,Despesas!$E:$E,O$3)</f>
        <v>0</v>
      </c>
      <c r="P52" s="13">
        <f t="shared" ref="P52:P63" si="16">D52-E52</f>
        <v>7308.3700000000008</v>
      </c>
    </row>
    <row r="53" spans="1:16" ht="13.2" outlineLevel="1">
      <c r="A53" s="2"/>
      <c r="B53" s="2" t="s">
        <v>62</v>
      </c>
      <c r="C53" s="9" t="s">
        <v>15</v>
      </c>
      <c r="D53" s="10">
        <f>SUMIF(Entradas!B:B,B53,Entradas!C:C)</f>
        <v>21507.599999999999</v>
      </c>
      <c r="E53" s="11">
        <f t="shared" si="15"/>
        <v>9261.27</v>
      </c>
      <c r="F53" s="12">
        <f>SUMIFS(Despesas!$C:$C,Despesas!$B:$B,$B53,Despesas!$E:$E,F$3)</f>
        <v>64.709999999999994</v>
      </c>
      <c r="G53" s="12">
        <f>SUMIFS(Despesas!$C:$C,Despesas!$B:$B,$B53,Despesas!$E:$E,G$3)</f>
        <v>392.09</v>
      </c>
      <c r="H53" s="12">
        <f>SUMIFS(Despesas!$C:$C,Despesas!$B:$B,$B53,Despesas!$E:$E,H$3)</f>
        <v>0</v>
      </c>
      <c r="I53" s="12">
        <f>SUMIFS(Despesas!$C:$C,Despesas!$B:$B,$B53,Despesas!$E:$E,I$3)</f>
        <v>299</v>
      </c>
      <c r="J53" s="12">
        <f>SUMIFS(Despesas!$C:$C,Despesas!$B:$B,$B53,Despesas!$E:$E,J$3)</f>
        <v>886.24</v>
      </c>
      <c r="K53" s="12">
        <f>SUMIFS(Despesas!$C:$C,Despesas!$B:$B,$B53,Despesas!$E:$E,K$3)</f>
        <v>5573.5</v>
      </c>
      <c r="L53" s="12">
        <f>SUMIFS(Despesas!$C:$C,Despesas!$B:$B,$B53,Despesas!$E:$E,L$3)</f>
        <v>930</v>
      </c>
      <c r="M53" s="12">
        <f>SUMIFS(Despesas!$C:$C,Despesas!$B:$B,$B53,Despesas!$E:$E,M$3)</f>
        <v>1115.73</v>
      </c>
      <c r="N53" s="12">
        <f>SUMIFS(Despesas!$C:$C,Despesas!$B:$B,$B53,Despesas!$E:$E,N$3)</f>
        <v>0</v>
      </c>
      <c r="O53" s="12">
        <f>SUMIFS(Despesas!$C:$C,Despesas!$B:$B,$B53,Despesas!$E:$E,O$3)</f>
        <v>0</v>
      </c>
      <c r="P53" s="13">
        <f t="shared" si="16"/>
        <v>12246.329999999998</v>
      </c>
    </row>
    <row r="54" spans="1:16" ht="13.2" outlineLevel="1">
      <c r="A54" s="2"/>
      <c r="B54" s="2" t="s">
        <v>63</v>
      </c>
      <c r="C54" s="9" t="s">
        <v>17</v>
      </c>
      <c r="D54" s="10">
        <f>SUMIF(Entradas!B:B,B54,Entradas!C:C)</f>
        <v>18930</v>
      </c>
      <c r="E54" s="11">
        <f t="shared" si="15"/>
        <v>7669.0000000000009</v>
      </c>
      <c r="F54" s="12">
        <f>SUMIFS(Despesas!$C:$C,Despesas!$B:$B,$B54,Despesas!$E:$E,F$3)</f>
        <v>80</v>
      </c>
      <c r="G54" s="12">
        <f>SUMIFS(Despesas!$C:$C,Despesas!$B:$B,$B54,Despesas!$E:$E,G$3)</f>
        <v>376.46000000000004</v>
      </c>
      <c r="H54" s="12">
        <f>SUMIFS(Despesas!$C:$C,Despesas!$B:$B,$B54,Despesas!$E:$E,H$3)</f>
        <v>0</v>
      </c>
      <c r="I54" s="12">
        <f>SUMIFS(Despesas!$C:$C,Despesas!$B:$B,$B54,Despesas!$E:$E,I$3)</f>
        <v>589</v>
      </c>
      <c r="J54" s="12">
        <f>SUMIFS(Despesas!$C:$C,Despesas!$B:$B,$B54,Despesas!$E:$E,J$3)</f>
        <v>1019.98</v>
      </c>
      <c r="K54" s="12">
        <f>SUMIFS(Despesas!$C:$C,Despesas!$B:$B,$B54,Despesas!$E:$E,K$3)</f>
        <v>4253.26</v>
      </c>
      <c r="L54" s="12">
        <f>SUMIFS(Despesas!$C:$C,Despesas!$B:$B,$B54,Despesas!$E:$E,L$3)</f>
        <v>810</v>
      </c>
      <c r="M54" s="12">
        <f>SUMIFS(Despesas!$C:$C,Despesas!$B:$B,$B54,Despesas!$E:$E,M$3)</f>
        <v>540.29999999999995</v>
      </c>
      <c r="N54" s="12">
        <f>SUMIFS(Despesas!$C:$C,Despesas!$B:$B,$B54,Despesas!$E:$E,N$3)</f>
        <v>0</v>
      </c>
      <c r="O54" s="12">
        <f>SUMIFS(Despesas!$C:$C,Despesas!$B:$B,$B54,Despesas!$E:$E,O$3)</f>
        <v>0</v>
      </c>
      <c r="P54" s="13">
        <f t="shared" si="16"/>
        <v>11261</v>
      </c>
    </row>
    <row r="55" spans="1:16" ht="13.2" outlineLevel="1">
      <c r="A55" s="2"/>
      <c r="B55" s="2" t="s">
        <v>64</v>
      </c>
      <c r="C55" s="9" t="s">
        <v>19</v>
      </c>
      <c r="D55" s="10">
        <f>SUMIF(Entradas!B:B,B55,Entradas!C:C)</f>
        <v>15870</v>
      </c>
      <c r="E55" s="11">
        <f t="shared" si="15"/>
        <v>7291.82</v>
      </c>
      <c r="F55" s="12">
        <f>SUMIFS(Despesas!$C:$C,Despesas!$B:$B,$B55,Despesas!$E:$E,F$3)</f>
        <v>70</v>
      </c>
      <c r="G55" s="12">
        <f>SUMIFS(Despesas!$C:$C,Despesas!$B:$B,$B55,Despesas!$E:$E,G$3)</f>
        <v>0</v>
      </c>
      <c r="H55" s="12">
        <f>SUMIFS(Despesas!$C:$C,Despesas!$B:$B,$B55,Despesas!$E:$E,H$3)</f>
        <v>0</v>
      </c>
      <c r="I55" s="12">
        <f>SUMIFS(Despesas!$C:$C,Despesas!$B:$B,$B55,Despesas!$E:$E,I$3)</f>
        <v>299</v>
      </c>
      <c r="J55" s="12">
        <f>SUMIFS(Despesas!$C:$C,Despesas!$B:$B,$B55,Despesas!$E:$E,J$3)</f>
        <v>872.44</v>
      </c>
      <c r="K55" s="12">
        <f>SUMIFS(Despesas!$C:$C,Despesas!$B:$B,$B55,Despesas!$E:$E,K$3)</f>
        <v>4373.79</v>
      </c>
      <c r="L55" s="12">
        <f>SUMIFS(Despesas!$C:$C,Despesas!$B:$B,$B55,Despesas!$E:$E,L$3)</f>
        <v>1000</v>
      </c>
      <c r="M55" s="12">
        <f>SUMIFS(Despesas!$C:$C,Despesas!$B:$B,$B55,Despesas!$E:$E,M$3)</f>
        <v>676.58999999999992</v>
      </c>
      <c r="N55" s="12">
        <f>SUMIFS(Despesas!$C:$C,Despesas!$B:$B,$B55,Despesas!$E:$E,N$3)</f>
        <v>0</v>
      </c>
      <c r="O55" s="12">
        <f>SUMIFS(Despesas!$C:$C,Despesas!$B:$B,$B55,Despesas!$E:$E,O$3)</f>
        <v>0</v>
      </c>
      <c r="P55" s="13">
        <f t="shared" si="16"/>
        <v>8578.18</v>
      </c>
    </row>
    <row r="56" spans="1:16" ht="13.2" outlineLevel="1">
      <c r="A56" s="2"/>
      <c r="B56" s="2" t="s">
        <v>65</v>
      </c>
      <c r="C56" s="9" t="s">
        <v>21</v>
      </c>
      <c r="D56" s="10">
        <f>SUMIF(Entradas!B:B,B56,Entradas!C:C)</f>
        <v>16758</v>
      </c>
      <c r="E56" s="11">
        <f t="shared" si="15"/>
        <v>7020.52</v>
      </c>
      <c r="F56" s="12">
        <f>SUMIFS(Despesas!$C:$C,Despesas!$B:$B,$B56,Despesas!$E:$E,F$3)</f>
        <v>80</v>
      </c>
      <c r="G56" s="12">
        <f>SUMIFS(Despesas!$C:$C,Despesas!$B:$B,$B56,Despesas!$E:$E,G$3)</f>
        <v>0</v>
      </c>
      <c r="H56" s="12">
        <f>SUMIFS(Despesas!$C:$C,Despesas!$B:$B,$B56,Despesas!$E:$E,H$3)</f>
        <v>0</v>
      </c>
      <c r="I56" s="12">
        <f>SUMIFS(Despesas!$C:$C,Despesas!$B:$B,$B56,Despesas!$E:$E,I$3)</f>
        <v>299</v>
      </c>
      <c r="J56" s="12">
        <f>SUMIFS(Despesas!$C:$C,Despesas!$B:$B,$B56,Despesas!$E:$E,J$3)</f>
        <v>827.43000000000006</v>
      </c>
      <c r="K56" s="12">
        <f>SUMIFS(Despesas!$C:$C,Despesas!$B:$B,$B56,Despesas!$E:$E,K$3)</f>
        <v>4373.79</v>
      </c>
      <c r="L56" s="12">
        <f>SUMIFS(Despesas!$C:$C,Despesas!$B:$B,$B56,Despesas!$E:$E,L$3)</f>
        <v>800</v>
      </c>
      <c r="M56" s="12">
        <f>SUMIFS(Despesas!$C:$C,Despesas!$B:$B,$B56,Despesas!$E:$E,M$3)</f>
        <v>640.30000000000007</v>
      </c>
      <c r="N56" s="12">
        <f>SUMIFS(Despesas!$C:$C,Despesas!$B:$B,$B56,Despesas!$E:$E,N$3)</f>
        <v>0</v>
      </c>
      <c r="O56" s="12">
        <f>SUMIFS(Despesas!$C:$C,Despesas!$B:$B,$B56,Despesas!$E:$E,O$3)</f>
        <v>0</v>
      </c>
      <c r="P56" s="13">
        <f t="shared" si="16"/>
        <v>9737.48</v>
      </c>
    </row>
    <row r="57" spans="1:16" ht="13.2" outlineLevel="1">
      <c r="A57" s="2"/>
      <c r="B57" s="2" t="s">
        <v>66</v>
      </c>
      <c r="C57" s="9" t="s">
        <v>23</v>
      </c>
      <c r="D57" s="10">
        <f>SUMIF(Entradas!B:B,B57,Entradas!C:C)</f>
        <v>14868</v>
      </c>
      <c r="E57" s="11">
        <f t="shared" si="15"/>
        <v>7612.21</v>
      </c>
      <c r="F57" s="12">
        <f>SUMIFS(Despesas!$C:$C,Despesas!$B:$B,$B57,Despesas!$E:$E,F$3)</f>
        <v>80</v>
      </c>
      <c r="G57" s="12">
        <f>SUMIFS(Despesas!$C:$C,Despesas!$B:$B,$B57,Despesas!$E:$E,G$3)</f>
        <v>0</v>
      </c>
      <c r="H57" s="12">
        <f>SUMIFS(Despesas!$C:$C,Despesas!$B:$B,$B57,Despesas!$E:$E,H$3)</f>
        <v>0</v>
      </c>
      <c r="I57" s="12">
        <f>SUMIFS(Despesas!$C:$C,Despesas!$B:$B,$B57,Despesas!$E:$E,I$3)</f>
        <v>299</v>
      </c>
      <c r="J57" s="12">
        <f>SUMIFS(Despesas!$C:$C,Despesas!$B:$B,$B57,Despesas!$E:$E,J$3)</f>
        <v>728.96</v>
      </c>
      <c r="K57" s="12">
        <f>SUMIFS(Despesas!$C:$C,Despesas!$B:$B,$B57,Despesas!$E:$E,K$3)</f>
        <v>4373.79</v>
      </c>
      <c r="L57" s="12">
        <f>SUMIFS(Despesas!$C:$C,Despesas!$B:$B,$B57,Despesas!$E:$E,L$3)</f>
        <v>600</v>
      </c>
      <c r="M57" s="12">
        <f>SUMIFS(Despesas!$C:$C,Despesas!$B:$B,$B57,Despesas!$E:$E,M$3)</f>
        <v>1530.46</v>
      </c>
      <c r="N57" s="12">
        <f>SUMIFS(Despesas!$C:$C,Despesas!$B:$B,$B57,Despesas!$E:$E,N$3)</f>
        <v>0</v>
      </c>
      <c r="O57" s="12">
        <f>SUMIFS(Despesas!$C:$C,Despesas!$B:$B,$B57,Despesas!$E:$E,O$3)</f>
        <v>0</v>
      </c>
      <c r="P57" s="13">
        <f t="shared" si="16"/>
        <v>7255.79</v>
      </c>
    </row>
    <row r="58" spans="1:16" ht="13.2" outlineLevel="1">
      <c r="A58" s="2"/>
      <c r="B58" s="2" t="s">
        <v>67</v>
      </c>
      <c r="C58" s="9" t="s">
        <v>25</v>
      </c>
      <c r="D58" s="10">
        <f>SUMIF(Entradas!B:B,B58,Entradas!C:C)</f>
        <v>13083</v>
      </c>
      <c r="E58" s="11">
        <f t="shared" si="15"/>
        <v>3865.9</v>
      </c>
      <c r="F58" s="12">
        <f>SUMIFS(Despesas!$C:$C,Despesas!$B:$B,$B58,Despesas!$E:$E,F$3)</f>
        <v>0</v>
      </c>
      <c r="G58" s="12">
        <f>SUMIFS(Despesas!$C:$C,Despesas!$B:$B,$B58,Despesas!$E:$E,G$3)</f>
        <v>0</v>
      </c>
      <c r="H58" s="12">
        <f>SUMIFS(Despesas!$C:$C,Despesas!$B:$B,$B58,Despesas!$E:$E,H$3)</f>
        <v>0</v>
      </c>
      <c r="I58" s="12">
        <f>SUMIFS(Despesas!$C:$C,Despesas!$B:$B,$B58,Despesas!$E:$E,I$3)</f>
        <v>299</v>
      </c>
      <c r="J58" s="12">
        <f>SUMIFS(Despesas!$C:$C,Despesas!$B:$B,$B58,Despesas!$E:$E,J$3)</f>
        <v>0</v>
      </c>
      <c r="K58" s="12">
        <f>SUMIFS(Despesas!$C:$C,Despesas!$B:$B,$B58,Despesas!$E:$E,K$3)</f>
        <v>3500</v>
      </c>
      <c r="L58" s="12">
        <f>SUMIFS(Despesas!$C:$C,Despesas!$B:$B,$B58,Despesas!$E:$E,L$3)</f>
        <v>0</v>
      </c>
      <c r="M58" s="12">
        <f>SUMIFS(Despesas!$C:$C,Despesas!$B:$B,$B58,Despesas!$E:$E,M$3)</f>
        <v>66.900000000000006</v>
      </c>
      <c r="N58" s="12">
        <f>SUMIFS(Despesas!$C:$C,Despesas!$B:$B,$B58,Despesas!$E:$E,N$3)</f>
        <v>0</v>
      </c>
      <c r="O58" s="12">
        <f>SUMIFS(Despesas!$C:$C,Despesas!$B:$B,$B58,Despesas!$E:$E,O$3)</f>
        <v>0</v>
      </c>
      <c r="P58" s="13">
        <f t="shared" si="16"/>
        <v>9217.1</v>
      </c>
    </row>
    <row r="59" spans="1:16" ht="13.2" outlineLevel="1">
      <c r="A59" s="2"/>
      <c r="B59" s="2" t="s">
        <v>68</v>
      </c>
      <c r="C59" s="9" t="s">
        <v>27</v>
      </c>
      <c r="D59" s="10">
        <f>SUMIF(Entradas!B:B,B59,Entradas!C:C)</f>
        <v>8800</v>
      </c>
      <c r="E59" s="11">
        <f t="shared" si="15"/>
        <v>3865.9</v>
      </c>
      <c r="F59" s="12">
        <f>SUMIFS(Despesas!$C:$C,Despesas!$B:$B,$B59,Despesas!$E:$E,F$3)</f>
        <v>0</v>
      </c>
      <c r="G59" s="12">
        <f>SUMIFS(Despesas!$C:$C,Despesas!$B:$B,$B59,Despesas!$E:$E,G$3)</f>
        <v>0</v>
      </c>
      <c r="H59" s="12">
        <f>SUMIFS(Despesas!$C:$C,Despesas!$B:$B,$B59,Despesas!$E:$E,H$3)</f>
        <v>0</v>
      </c>
      <c r="I59" s="12">
        <f>SUMIFS(Despesas!$C:$C,Despesas!$B:$B,$B59,Despesas!$E:$E,I$3)</f>
        <v>299</v>
      </c>
      <c r="J59" s="12">
        <f>SUMIFS(Despesas!$C:$C,Despesas!$B:$B,$B59,Despesas!$E:$E,J$3)</f>
        <v>0</v>
      </c>
      <c r="K59" s="12">
        <f>SUMIFS(Despesas!$C:$C,Despesas!$B:$B,$B59,Despesas!$E:$E,K$3)</f>
        <v>3500</v>
      </c>
      <c r="L59" s="12">
        <f>SUMIFS(Despesas!$C:$C,Despesas!$B:$B,$B59,Despesas!$E:$E,L$3)</f>
        <v>0</v>
      </c>
      <c r="M59" s="12">
        <f>SUMIFS(Despesas!$C:$C,Despesas!$B:$B,$B59,Despesas!$E:$E,M$3)</f>
        <v>66.900000000000006</v>
      </c>
      <c r="N59" s="12">
        <f>SUMIFS(Despesas!$C:$C,Despesas!$B:$B,$B59,Despesas!$E:$E,N$3)</f>
        <v>0</v>
      </c>
      <c r="O59" s="12">
        <f>SUMIFS(Despesas!$C:$C,Despesas!$B:$B,$B59,Despesas!$E:$E,O$3)</f>
        <v>0</v>
      </c>
      <c r="P59" s="13">
        <f t="shared" si="16"/>
        <v>4934.1000000000004</v>
      </c>
    </row>
    <row r="60" spans="1:16" ht="13.2" outlineLevel="1">
      <c r="A60" s="2"/>
      <c r="B60" s="2" t="s">
        <v>69</v>
      </c>
      <c r="C60" s="9" t="s">
        <v>29</v>
      </c>
      <c r="D60" s="10">
        <f>SUMIF(Entradas!B:B,B60,Entradas!C:C)</f>
        <v>13735</v>
      </c>
      <c r="E60" s="11">
        <f t="shared" si="15"/>
        <v>3865.9</v>
      </c>
      <c r="F60" s="12">
        <f>SUMIFS(Despesas!$C:$C,Despesas!$B:$B,$B60,Despesas!$E:$E,F$3)</f>
        <v>0</v>
      </c>
      <c r="G60" s="12">
        <f>SUMIFS(Despesas!$C:$C,Despesas!$B:$B,$B60,Despesas!$E:$E,G$3)</f>
        <v>0</v>
      </c>
      <c r="H60" s="12">
        <f>SUMIFS(Despesas!$C:$C,Despesas!$B:$B,$B60,Despesas!$E:$E,H$3)</f>
        <v>0</v>
      </c>
      <c r="I60" s="12">
        <f>SUMIFS(Despesas!$C:$C,Despesas!$B:$B,$B60,Despesas!$E:$E,I$3)</f>
        <v>299</v>
      </c>
      <c r="J60" s="12">
        <f>SUMIFS(Despesas!$C:$C,Despesas!$B:$B,$B60,Despesas!$E:$E,J$3)</f>
        <v>0</v>
      </c>
      <c r="K60" s="12">
        <f>SUMIFS(Despesas!$C:$C,Despesas!$B:$B,$B60,Despesas!$E:$E,K$3)</f>
        <v>3500</v>
      </c>
      <c r="L60" s="12">
        <f>SUMIFS(Despesas!$C:$C,Despesas!$B:$B,$B60,Despesas!$E:$E,L$3)</f>
        <v>0</v>
      </c>
      <c r="M60" s="12">
        <f>SUMIFS(Despesas!$C:$C,Despesas!$B:$B,$B60,Despesas!$E:$E,M$3)</f>
        <v>66.900000000000006</v>
      </c>
      <c r="N60" s="12">
        <f>SUMIFS(Despesas!$C:$C,Despesas!$B:$B,$B60,Despesas!$E:$E,N$3)</f>
        <v>0</v>
      </c>
      <c r="O60" s="12">
        <f>SUMIFS(Despesas!$C:$C,Despesas!$B:$B,$B60,Despesas!$E:$E,O$3)</f>
        <v>0</v>
      </c>
      <c r="P60" s="13">
        <f t="shared" si="16"/>
        <v>9869.1</v>
      </c>
    </row>
    <row r="61" spans="1:16" ht="13.2" outlineLevel="1">
      <c r="A61" s="2"/>
      <c r="B61" s="2" t="s">
        <v>70</v>
      </c>
      <c r="C61" s="9" t="s">
        <v>31</v>
      </c>
      <c r="D61" s="10">
        <f>SUMIF(Entradas!B:B,B61,Entradas!C:C)</f>
        <v>20775</v>
      </c>
      <c r="E61" s="11">
        <f t="shared" si="15"/>
        <v>7464.4</v>
      </c>
      <c r="F61" s="12">
        <f>SUMIFS(Despesas!$C:$C,Despesas!$B:$B,$B61,Despesas!$E:$E,F$3)</f>
        <v>80</v>
      </c>
      <c r="G61" s="12">
        <f>SUMIFS(Despesas!$C:$C,Despesas!$B:$B,$B61,Despesas!$E:$E,G$3)</f>
        <v>0</v>
      </c>
      <c r="H61" s="12">
        <f>SUMIFS(Despesas!$C:$C,Despesas!$B:$B,$B61,Despesas!$E:$E,H$3)</f>
        <v>0</v>
      </c>
      <c r="I61" s="12">
        <f>SUMIFS(Despesas!$C:$C,Despesas!$B:$B,$B61,Despesas!$E:$E,I$3)</f>
        <v>507.84</v>
      </c>
      <c r="J61" s="12">
        <f>SUMIFS(Despesas!$C:$C,Despesas!$B:$B,$B61,Despesas!$E:$E,J$3)</f>
        <v>511.4</v>
      </c>
      <c r="K61" s="12">
        <f>SUMIFS(Despesas!$C:$C,Despesas!$B:$B,$B61,Despesas!$E:$E,K$3)</f>
        <v>4387.3599999999997</v>
      </c>
      <c r="L61" s="12">
        <f>SUMIFS(Despesas!$C:$C,Despesas!$B:$B,$B61,Despesas!$E:$E,L$3)</f>
        <v>1000</v>
      </c>
      <c r="M61" s="12">
        <f>SUMIFS(Despesas!$C:$C,Despesas!$B:$B,$B61,Despesas!$E:$E,M$3)</f>
        <v>977.8</v>
      </c>
      <c r="N61" s="12">
        <f>SUMIFS(Despesas!$C:$C,Despesas!$B:$B,$B61,Despesas!$E:$E,N$3)</f>
        <v>0</v>
      </c>
      <c r="O61" s="12">
        <f>SUMIFS(Despesas!$C:$C,Despesas!$B:$B,$B61,Despesas!$E:$E,O$3)</f>
        <v>0</v>
      </c>
      <c r="P61" s="13">
        <f t="shared" si="16"/>
        <v>13310.6</v>
      </c>
    </row>
    <row r="62" spans="1:16" ht="13.2" outlineLevel="1">
      <c r="A62" s="2"/>
      <c r="B62" s="2" t="s">
        <v>71</v>
      </c>
      <c r="C62" s="9" t="s">
        <v>33</v>
      </c>
      <c r="D62" s="10">
        <f>SUMIF(Entradas!B:B,B62,Entradas!C:C)</f>
        <v>18585</v>
      </c>
      <c r="E62" s="11">
        <f t="shared" si="15"/>
        <v>4084.83</v>
      </c>
      <c r="F62" s="12">
        <f>SUMIFS(Despesas!$C:$C,Despesas!$B:$B,$B62,Despesas!$E:$E,F$3)</f>
        <v>0</v>
      </c>
      <c r="G62" s="12">
        <f>SUMIFS(Despesas!$C:$C,Despesas!$B:$B,$B62,Despesas!$E:$E,G$3)</f>
        <v>0</v>
      </c>
      <c r="H62" s="12">
        <f>SUMIFS(Despesas!$C:$C,Despesas!$B:$B,$B62,Despesas!$E:$E,H$3)</f>
        <v>0</v>
      </c>
      <c r="I62" s="12">
        <f>SUMIFS(Despesas!$C:$C,Despesas!$B:$B,$B62,Despesas!$E:$E,I$3)</f>
        <v>299</v>
      </c>
      <c r="J62" s="12">
        <f>SUMIFS(Despesas!$C:$C,Despesas!$B:$B,$B62,Despesas!$E:$E,J$3)</f>
        <v>0</v>
      </c>
      <c r="K62" s="12">
        <f>SUMIFS(Despesas!$C:$C,Despesas!$B:$B,$B62,Despesas!$E:$E,K$3)</f>
        <v>3500</v>
      </c>
      <c r="L62" s="12">
        <f>SUMIFS(Despesas!$C:$C,Despesas!$B:$B,$B62,Despesas!$E:$E,L$3)</f>
        <v>0</v>
      </c>
      <c r="M62" s="12">
        <f>SUMIFS(Despesas!$C:$C,Despesas!$B:$B,$B62,Despesas!$E:$E,M$3)</f>
        <v>285.83</v>
      </c>
      <c r="N62" s="12">
        <f>SUMIFS(Despesas!$C:$C,Despesas!$B:$B,$B62,Despesas!$E:$E,N$3)</f>
        <v>0</v>
      </c>
      <c r="O62" s="12">
        <f>SUMIFS(Despesas!$C:$C,Despesas!$B:$B,$B62,Despesas!$E:$E,O$3)</f>
        <v>0</v>
      </c>
      <c r="P62" s="13">
        <f t="shared" si="16"/>
        <v>14500.17</v>
      </c>
    </row>
    <row r="63" spans="1:16" ht="13.2" outlineLevel="1">
      <c r="A63" s="2"/>
      <c r="B63" s="2" t="s">
        <v>72</v>
      </c>
      <c r="C63" s="9" t="s">
        <v>35</v>
      </c>
      <c r="D63" s="10">
        <f>SUMIF(Entradas!B:B,B63,Entradas!C:C)</f>
        <v>12340</v>
      </c>
      <c r="E63" s="11">
        <f t="shared" si="15"/>
        <v>0</v>
      </c>
      <c r="F63" s="12">
        <f>SUMIFS(Despesas!$C:$C,Despesas!$B:$B,$B63,Despesas!$E:$E,F$3)</f>
        <v>0</v>
      </c>
      <c r="G63" s="12">
        <f>SUMIFS(Despesas!$C:$C,Despesas!$B:$B,$B63,Despesas!$E:$E,G$3)</f>
        <v>0</v>
      </c>
      <c r="H63" s="12">
        <f>SUMIFS(Despesas!$C:$C,Despesas!$B:$B,$B63,Despesas!$E:$E,H$3)</f>
        <v>0</v>
      </c>
      <c r="I63" s="12">
        <f>SUMIFS(Despesas!$C:$C,Despesas!$B:$B,$B63,Despesas!$E:$E,I$3)</f>
        <v>0</v>
      </c>
      <c r="J63" s="12">
        <f>SUMIFS(Despesas!$C:$C,Despesas!$B:$B,$B63,Despesas!$E:$E,J$3)</f>
        <v>0</v>
      </c>
      <c r="K63" s="12">
        <f>SUMIFS(Despesas!$C:$C,Despesas!$B:$B,$B63,Despesas!$E:$E,K$3)</f>
        <v>0</v>
      </c>
      <c r="L63" s="12">
        <f>SUMIFS(Despesas!$C:$C,Despesas!$B:$B,$B63,Despesas!$E:$E,L$3)</f>
        <v>0</v>
      </c>
      <c r="M63" s="12">
        <f>SUMIFS(Despesas!$C:$C,Despesas!$B:$B,$B63,Despesas!$E:$E,M$3)</f>
        <v>0</v>
      </c>
      <c r="N63" s="12">
        <f>SUMIFS(Despesas!$C:$C,Despesas!$B:$B,$B63,Despesas!$E:$E,N$3)</f>
        <v>0</v>
      </c>
      <c r="O63" s="12">
        <f>SUMIFS(Despesas!$C:$C,Despesas!$B:$B,$B63,Despesas!$E:$E,O$3)</f>
        <v>0</v>
      </c>
      <c r="P63" s="13">
        <f t="shared" si="16"/>
        <v>12340</v>
      </c>
    </row>
    <row r="64" spans="1:16" ht="13.2">
      <c r="C64" s="14" t="s">
        <v>36</v>
      </c>
      <c r="D64" s="15">
        <f t="shared" ref="D64:P64" si="17">SUM(D52:D63)</f>
        <v>191358.51</v>
      </c>
      <c r="E64" s="15">
        <f t="shared" si="17"/>
        <v>70800.290000000008</v>
      </c>
      <c r="F64" s="15">
        <f t="shared" si="17"/>
        <v>504.71</v>
      </c>
      <c r="G64" s="15">
        <f t="shared" si="17"/>
        <v>768.55</v>
      </c>
      <c r="H64" s="15">
        <f t="shared" si="17"/>
        <v>0</v>
      </c>
      <c r="I64" s="15">
        <f t="shared" si="17"/>
        <v>3737.84</v>
      </c>
      <c r="J64" s="15">
        <f t="shared" si="17"/>
        <v>6404.52</v>
      </c>
      <c r="K64" s="15">
        <f t="shared" si="17"/>
        <v>45288.75</v>
      </c>
      <c r="L64" s="15">
        <f t="shared" si="17"/>
        <v>5620</v>
      </c>
      <c r="M64" s="15">
        <f t="shared" si="17"/>
        <v>8475.92</v>
      </c>
      <c r="N64" s="15">
        <f t="shared" si="17"/>
        <v>0</v>
      </c>
      <c r="O64" s="15">
        <f t="shared" si="17"/>
        <v>0</v>
      </c>
      <c r="P64" s="16">
        <f t="shared" si="17"/>
        <v>120558.22000000002</v>
      </c>
    </row>
  </sheetData>
  <conditionalFormatting sqref="C4:P15 C20:P31 C36:P47 C52:P63">
    <cfRule type="cellIs" dxfId="8" priority="1" operator="equal">
      <formula>0</formula>
    </cfRule>
  </conditionalFormatting>
  <conditionalFormatting sqref="D16:P16 D32:P32 D48:P48 D64:P64">
    <cfRule type="cellIs" dxfId="7" priority="2" operator="greaterThan">
      <formula>0</formula>
    </cfRule>
  </conditionalFormatting>
  <conditionalFormatting sqref="P4:P16 P20:P32 P36:P48 P52:P64">
    <cfRule type="cellIs" dxfId="6" priority="3" operator="lessThan">
      <formula>0</formula>
    </cfRule>
    <cfRule type="cellIs" dxfId="5" priority="4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G99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3" sqref="F13"/>
    </sheetView>
  </sheetViews>
  <sheetFormatPr defaultColWidth="12.6640625" defaultRowHeight="15.75" customHeight="1" outlineLevelCol="1"/>
  <cols>
    <col min="1" max="1" width="2.6640625" customWidth="1"/>
    <col min="2" max="2" width="12.6640625" customWidth="1" outlineLevel="1"/>
    <col min="3" max="3" width="16" customWidth="1" outlineLevel="1"/>
    <col min="4" max="4" width="16" customWidth="1"/>
    <col min="5" max="117" width="12.6640625" customWidth="1" outlineLevel="1"/>
    <col min="118" max="134" width="0" hidden="1" customWidth="1"/>
    <col min="137" max="137" width="3.6640625" customWidth="1"/>
  </cols>
  <sheetData>
    <row r="1" spans="1:137" ht="13.2">
      <c r="A1" s="17"/>
      <c r="B1" s="17"/>
      <c r="C1" s="18">
        <f>IF(SUM(C3:C995)=0,"",SUM(C3:C995))</f>
        <v>752394.88</v>
      </c>
      <c r="D1" s="17"/>
      <c r="E1" s="19">
        <f t="shared" ref="E1:EC1" si="0">IF(SUM(E3:E995)=0,"",SUM(E3:E995))</f>
        <v>4250</v>
      </c>
      <c r="F1" s="18">
        <f t="shared" si="0"/>
        <v>300</v>
      </c>
      <c r="G1" s="18">
        <f t="shared" si="0"/>
        <v>900</v>
      </c>
      <c r="H1" s="18">
        <f t="shared" si="0"/>
        <v>150</v>
      </c>
      <c r="I1" s="18">
        <f t="shared" si="0"/>
        <v>150</v>
      </c>
      <c r="J1" s="18">
        <f t="shared" si="0"/>
        <v>150</v>
      </c>
      <c r="K1" s="18">
        <f t="shared" si="0"/>
        <v>150</v>
      </c>
      <c r="L1" s="18">
        <f t="shared" si="0"/>
        <v>150</v>
      </c>
      <c r="M1" s="18">
        <f t="shared" si="0"/>
        <v>200</v>
      </c>
      <c r="N1" s="18">
        <f t="shared" si="0"/>
        <v>2945</v>
      </c>
      <c r="O1" s="18">
        <f t="shared" si="0"/>
        <v>1050</v>
      </c>
      <c r="P1" s="19">
        <f t="shared" si="0"/>
        <v>1890</v>
      </c>
      <c r="Q1" s="19">
        <f t="shared" si="0"/>
        <v>200</v>
      </c>
      <c r="R1" s="19">
        <f t="shared" si="0"/>
        <v>200</v>
      </c>
      <c r="S1" s="19">
        <f t="shared" si="0"/>
        <v>390</v>
      </c>
      <c r="T1" s="19">
        <f t="shared" si="0"/>
        <v>200</v>
      </c>
      <c r="U1" s="19">
        <f t="shared" si="0"/>
        <v>2000</v>
      </c>
      <c r="V1" s="19">
        <f t="shared" si="0"/>
        <v>575</v>
      </c>
      <c r="W1" s="19">
        <f t="shared" si="0"/>
        <v>600</v>
      </c>
      <c r="X1" s="18">
        <f t="shared" si="0"/>
        <v>2100</v>
      </c>
      <c r="Y1" s="19">
        <f t="shared" si="0"/>
        <v>200</v>
      </c>
      <c r="Z1" s="19">
        <f t="shared" si="0"/>
        <v>350</v>
      </c>
      <c r="AA1" s="19">
        <f t="shared" si="0"/>
        <v>200</v>
      </c>
      <c r="AB1" s="19">
        <f t="shared" si="0"/>
        <v>1949.95</v>
      </c>
      <c r="AC1" s="19">
        <f t="shared" si="0"/>
        <v>1950</v>
      </c>
      <c r="AD1" s="18">
        <f t="shared" si="0"/>
        <v>2450</v>
      </c>
      <c r="AE1" s="18">
        <f t="shared" si="0"/>
        <v>2450</v>
      </c>
      <c r="AF1" s="18">
        <f t="shared" si="0"/>
        <v>5550</v>
      </c>
      <c r="AG1" s="19">
        <f t="shared" si="0"/>
        <v>3000</v>
      </c>
      <c r="AH1" s="19">
        <f t="shared" si="0"/>
        <v>1380</v>
      </c>
      <c r="AI1" s="19">
        <f t="shared" si="0"/>
        <v>450</v>
      </c>
      <c r="AJ1" s="18">
        <f t="shared" si="0"/>
        <v>4050</v>
      </c>
      <c r="AK1" s="19">
        <f t="shared" si="0"/>
        <v>2500</v>
      </c>
      <c r="AL1" s="19">
        <f t="shared" si="0"/>
        <v>2700</v>
      </c>
      <c r="AM1" s="19">
        <f t="shared" si="0"/>
        <v>400</v>
      </c>
      <c r="AN1" s="18">
        <f t="shared" si="0"/>
        <v>5050</v>
      </c>
      <c r="AO1" s="18">
        <f t="shared" si="0"/>
        <v>3010</v>
      </c>
      <c r="AP1" s="19">
        <f t="shared" si="0"/>
        <v>3750</v>
      </c>
      <c r="AQ1" s="18">
        <f t="shared" si="0"/>
        <v>4500</v>
      </c>
      <c r="AR1" s="19">
        <f t="shared" si="0"/>
        <v>2540</v>
      </c>
      <c r="AS1" s="19">
        <f t="shared" si="0"/>
        <v>500</v>
      </c>
      <c r="AT1" s="19">
        <f t="shared" si="0"/>
        <v>250</v>
      </c>
      <c r="AU1" s="19">
        <f t="shared" si="0"/>
        <v>900</v>
      </c>
      <c r="AV1" s="19">
        <f t="shared" si="0"/>
        <v>2900</v>
      </c>
      <c r="AW1" s="19">
        <f t="shared" si="0"/>
        <v>250</v>
      </c>
      <c r="AX1" s="19">
        <f t="shared" si="0"/>
        <v>950</v>
      </c>
      <c r="AY1" s="19">
        <f t="shared" si="0"/>
        <v>250</v>
      </c>
      <c r="AZ1" s="19">
        <f t="shared" si="0"/>
        <v>6851.2400000000007</v>
      </c>
      <c r="BA1" s="19">
        <f t="shared" si="0"/>
        <v>1190</v>
      </c>
      <c r="BB1" s="19">
        <f t="shared" si="0"/>
        <v>3190</v>
      </c>
      <c r="BC1" s="19">
        <f t="shared" si="0"/>
        <v>4740</v>
      </c>
      <c r="BD1" s="19">
        <f t="shared" si="0"/>
        <v>250</v>
      </c>
      <c r="BE1" s="19">
        <f t="shared" si="0"/>
        <v>250</v>
      </c>
      <c r="BF1" s="19">
        <f t="shared" si="0"/>
        <v>250</v>
      </c>
      <c r="BG1" s="19">
        <f t="shared" si="0"/>
        <v>250</v>
      </c>
      <c r="BH1" s="19">
        <f t="shared" si="0"/>
        <v>2000</v>
      </c>
      <c r="BI1" s="19">
        <f t="shared" si="0"/>
        <v>2000</v>
      </c>
      <c r="BJ1" s="19">
        <f t="shared" si="0"/>
        <v>1500</v>
      </c>
      <c r="BK1" s="19">
        <f t="shared" si="0"/>
        <v>250</v>
      </c>
      <c r="BL1" s="18">
        <f t="shared" si="0"/>
        <v>12380</v>
      </c>
      <c r="BM1" s="19">
        <f t="shared" si="0"/>
        <v>3517.74</v>
      </c>
      <c r="BN1" s="19">
        <f t="shared" si="0"/>
        <v>300</v>
      </c>
      <c r="BO1" s="19">
        <f t="shared" si="0"/>
        <v>2700</v>
      </c>
      <c r="BP1" s="19">
        <f t="shared" si="0"/>
        <v>8180</v>
      </c>
      <c r="BQ1" s="19">
        <f t="shared" si="0"/>
        <v>2850</v>
      </c>
      <c r="BR1" s="19">
        <f t="shared" si="0"/>
        <v>12420</v>
      </c>
      <c r="BS1" s="19">
        <f t="shared" si="0"/>
        <v>2000</v>
      </c>
      <c r="BT1" s="19">
        <f t="shared" si="0"/>
        <v>260</v>
      </c>
      <c r="BU1" s="19">
        <f t="shared" si="0"/>
        <v>1320</v>
      </c>
      <c r="BV1" s="19">
        <f t="shared" si="0"/>
        <v>530</v>
      </c>
      <c r="BW1" s="19">
        <f t="shared" si="0"/>
        <v>280</v>
      </c>
      <c r="BX1" s="19">
        <f t="shared" si="0"/>
        <v>835</v>
      </c>
      <c r="BY1" s="19">
        <f t="shared" si="0"/>
        <v>840</v>
      </c>
      <c r="BZ1" s="19">
        <f t="shared" si="0"/>
        <v>2160</v>
      </c>
      <c r="CA1" s="19">
        <f t="shared" si="0"/>
        <v>4900</v>
      </c>
      <c r="CB1" s="19">
        <f t="shared" si="0"/>
        <v>6600</v>
      </c>
      <c r="CC1" s="19">
        <f t="shared" si="0"/>
        <v>800</v>
      </c>
      <c r="CD1" s="19">
        <f t="shared" si="0"/>
        <v>245</v>
      </c>
      <c r="CE1" s="19">
        <f t="shared" si="0"/>
        <v>6720</v>
      </c>
      <c r="CF1" s="18">
        <f t="shared" si="0"/>
        <v>16240</v>
      </c>
      <c r="CG1" s="19">
        <f t="shared" si="0"/>
        <v>3540</v>
      </c>
      <c r="CH1" s="19">
        <f t="shared" si="0"/>
        <v>5600</v>
      </c>
      <c r="CI1" s="19">
        <f t="shared" si="0"/>
        <v>2240</v>
      </c>
      <c r="CJ1" s="19">
        <f t="shared" si="0"/>
        <v>3300</v>
      </c>
      <c r="CK1" s="19">
        <f t="shared" si="0"/>
        <v>4950</v>
      </c>
      <c r="CL1" s="19">
        <f t="shared" si="0"/>
        <v>4950</v>
      </c>
      <c r="CM1" s="19">
        <f t="shared" si="0"/>
        <v>300</v>
      </c>
      <c r="CN1" s="19">
        <f t="shared" si="0"/>
        <v>19108.149999999998</v>
      </c>
      <c r="CO1" s="19">
        <f t="shared" si="0"/>
        <v>2500</v>
      </c>
      <c r="CP1" s="19">
        <f t="shared" si="0"/>
        <v>2400</v>
      </c>
      <c r="CQ1" s="19">
        <f t="shared" si="0"/>
        <v>2700</v>
      </c>
      <c r="CR1" s="19">
        <f t="shared" si="0"/>
        <v>19800</v>
      </c>
      <c r="CS1" s="19">
        <f t="shared" si="0"/>
        <v>4546.62</v>
      </c>
      <c r="CT1" s="19">
        <f t="shared" si="0"/>
        <v>2700</v>
      </c>
      <c r="CU1" s="19">
        <f t="shared" si="0"/>
        <v>18703.800000000003</v>
      </c>
      <c r="CV1" s="19">
        <f t="shared" si="0"/>
        <v>16050</v>
      </c>
      <c r="CW1" s="19">
        <f t="shared" si="0"/>
        <v>600</v>
      </c>
      <c r="CX1" s="19">
        <f t="shared" si="0"/>
        <v>32000</v>
      </c>
      <c r="CY1" s="19">
        <f t="shared" si="0"/>
        <v>8120</v>
      </c>
      <c r="CZ1" s="18">
        <f t="shared" si="0"/>
        <v>14480</v>
      </c>
      <c r="DA1" s="19">
        <f t="shared" si="0"/>
        <v>3700</v>
      </c>
      <c r="DB1" s="19">
        <f t="shared" si="0"/>
        <v>14490</v>
      </c>
      <c r="DC1" s="19">
        <f t="shared" si="0"/>
        <v>3700</v>
      </c>
      <c r="DD1" s="19">
        <f t="shared" si="0"/>
        <v>7450</v>
      </c>
      <c r="DE1" s="19">
        <f t="shared" si="0"/>
        <v>1800</v>
      </c>
      <c r="DF1" s="19">
        <f t="shared" si="0"/>
        <v>1200</v>
      </c>
      <c r="DG1" s="19">
        <f t="shared" si="0"/>
        <v>3700</v>
      </c>
      <c r="DH1" s="19">
        <f t="shared" si="0"/>
        <v>19830</v>
      </c>
      <c r="DI1" s="19">
        <f t="shared" si="0"/>
        <v>4200</v>
      </c>
      <c r="DJ1" s="19">
        <f t="shared" si="0"/>
        <v>1800</v>
      </c>
      <c r="DK1" s="19">
        <f t="shared" si="0"/>
        <v>5950</v>
      </c>
      <c r="DL1" s="19">
        <f t="shared" si="0"/>
        <v>900</v>
      </c>
      <c r="DM1" s="19">
        <f t="shared" si="0"/>
        <v>29775</v>
      </c>
      <c r="DN1" s="18">
        <f t="shared" si="0"/>
        <v>28625</v>
      </c>
      <c r="DO1" s="19">
        <f t="shared" si="0"/>
        <v>21300</v>
      </c>
      <c r="DP1" s="19">
        <f t="shared" si="0"/>
        <v>26970</v>
      </c>
      <c r="DQ1" s="19">
        <f t="shared" si="0"/>
        <v>26080</v>
      </c>
      <c r="DR1" s="19">
        <f t="shared" si="0"/>
        <v>28620</v>
      </c>
      <c r="DS1" s="19">
        <f t="shared" si="0"/>
        <v>19260</v>
      </c>
      <c r="DT1" s="19">
        <f t="shared" si="0"/>
        <v>53099.38</v>
      </c>
      <c r="DU1" s="19">
        <f t="shared" si="0"/>
        <v>10380</v>
      </c>
      <c r="DV1" s="19">
        <f t="shared" si="0"/>
        <v>9299</v>
      </c>
      <c r="DW1" s="19">
        <f t="shared" si="0"/>
        <v>4800</v>
      </c>
      <c r="DX1" s="19">
        <f t="shared" si="0"/>
        <v>3950</v>
      </c>
      <c r="DY1" s="19">
        <f t="shared" si="0"/>
        <v>15100</v>
      </c>
      <c r="DZ1" s="19">
        <f t="shared" si="0"/>
        <v>3900</v>
      </c>
      <c r="EA1" s="19">
        <f t="shared" si="0"/>
        <v>2400</v>
      </c>
      <c r="EB1" s="19">
        <f t="shared" si="0"/>
        <v>1820</v>
      </c>
      <c r="EC1" s="19">
        <f t="shared" si="0"/>
        <v>1500</v>
      </c>
      <c r="ED1" s="19"/>
      <c r="EE1" s="19">
        <f>IF(SUM(EE3:EE995)=0,"",SUM(EE3:EE995))</f>
        <v>46429</v>
      </c>
      <c r="EF1" s="19"/>
      <c r="EG1" s="19"/>
    </row>
    <row r="2" spans="1:137" ht="31.5" customHeight="1">
      <c r="A2" s="20"/>
      <c r="B2" s="21"/>
      <c r="C2" s="22" t="s">
        <v>73</v>
      </c>
      <c r="D2" s="23" t="s">
        <v>74</v>
      </c>
      <c r="E2" s="24" t="s">
        <v>75</v>
      </c>
      <c r="F2" s="25" t="s">
        <v>76</v>
      </c>
      <c r="G2" s="25" t="s">
        <v>77</v>
      </c>
      <c r="H2" s="25" t="s">
        <v>78</v>
      </c>
      <c r="I2" s="25" t="s">
        <v>79</v>
      </c>
      <c r="J2" s="25" t="s">
        <v>80</v>
      </c>
      <c r="K2" s="25" t="s">
        <v>81</v>
      </c>
      <c r="L2" s="25" t="s">
        <v>82</v>
      </c>
      <c r="M2" s="25" t="s">
        <v>83</v>
      </c>
      <c r="N2" s="25" t="s">
        <v>84</v>
      </c>
      <c r="O2" s="25" t="s">
        <v>85</v>
      </c>
      <c r="P2" s="25" t="s">
        <v>86</v>
      </c>
      <c r="Q2" s="24" t="s">
        <v>87</v>
      </c>
      <c r="R2" s="24" t="s">
        <v>88</v>
      </c>
      <c r="S2" s="24" t="s">
        <v>89</v>
      </c>
      <c r="T2" s="24" t="s">
        <v>90</v>
      </c>
      <c r="U2" s="26" t="s">
        <v>91</v>
      </c>
      <c r="V2" s="27" t="s">
        <v>92</v>
      </c>
      <c r="W2" s="28" t="s">
        <v>93</v>
      </c>
      <c r="X2" s="25" t="s">
        <v>94</v>
      </c>
      <c r="Y2" s="24" t="s">
        <v>95</v>
      </c>
      <c r="Z2" s="24" t="s">
        <v>96</v>
      </c>
      <c r="AA2" s="24" t="s">
        <v>97</v>
      </c>
      <c r="AB2" s="26" t="s">
        <v>98</v>
      </c>
      <c r="AC2" s="25" t="s">
        <v>99</v>
      </c>
      <c r="AD2" s="25" t="s">
        <v>100</v>
      </c>
      <c r="AE2" s="25" t="s">
        <v>101</v>
      </c>
      <c r="AF2" s="25" t="s">
        <v>102</v>
      </c>
      <c r="AG2" s="25" t="s">
        <v>103</v>
      </c>
      <c r="AH2" s="24" t="s">
        <v>104</v>
      </c>
      <c r="AI2" s="24" t="s">
        <v>105</v>
      </c>
      <c r="AJ2" s="25" t="s">
        <v>106</v>
      </c>
      <c r="AK2" s="24" t="s">
        <v>107</v>
      </c>
      <c r="AL2" s="24" t="s">
        <v>108</v>
      </c>
      <c r="AM2" s="24" t="s">
        <v>109</v>
      </c>
      <c r="AN2" s="25" t="s">
        <v>110</v>
      </c>
      <c r="AO2" s="25" t="s">
        <v>111</v>
      </c>
      <c r="AP2" s="24" t="s">
        <v>112</v>
      </c>
      <c r="AQ2" s="25" t="s">
        <v>113</v>
      </c>
      <c r="AR2" s="24" t="s">
        <v>114</v>
      </c>
      <c r="AS2" s="24" t="s">
        <v>115</v>
      </c>
      <c r="AT2" s="24" t="s">
        <v>116</v>
      </c>
      <c r="AU2" s="24" t="s">
        <v>117</v>
      </c>
      <c r="AV2" s="24" t="s">
        <v>118</v>
      </c>
      <c r="AW2" s="24" t="s">
        <v>119</v>
      </c>
      <c r="AX2" s="24" t="s">
        <v>120</v>
      </c>
      <c r="AY2" s="24" t="s">
        <v>121</v>
      </c>
      <c r="AZ2" s="24" t="s">
        <v>122</v>
      </c>
      <c r="BA2" s="24" t="s">
        <v>123</v>
      </c>
      <c r="BB2" s="24" t="s">
        <v>124</v>
      </c>
      <c r="BC2" s="24" t="s">
        <v>125</v>
      </c>
      <c r="BD2" s="24" t="s">
        <v>126</v>
      </c>
      <c r="BE2" s="24" t="s">
        <v>127</v>
      </c>
      <c r="BF2" s="24" t="s">
        <v>128</v>
      </c>
      <c r="BG2" s="24" t="s">
        <v>129</v>
      </c>
      <c r="BH2" s="24" t="s">
        <v>130</v>
      </c>
      <c r="BI2" s="24" t="s">
        <v>131</v>
      </c>
      <c r="BJ2" s="24" t="s">
        <v>132</v>
      </c>
      <c r="BK2" s="24" t="s">
        <v>133</v>
      </c>
      <c r="BL2" s="25" t="s">
        <v>134</v>
      </c>
      <c r="BM2" s="24" t="s">
        <v>135</v>
      </c>
      <c r="BN2" s="24" t="s">
        <v>136</v>
      </c>
      <c r="BO2" s="24" t="s">
        <v>137</v>
      </c>
      <c r="BP2" s="24" t="s">
        <v>138</v>
      </c>
      <c r="BQ2" s="24" t="s">
        <v>139</v>
      </c>
      <c r="BR2" s="24" t="s">
        <v>140</v>
      </c>
      <c r="BS2" s="24" t="s">
        <v>141</v>
      </c>
      <c r="BT2" s="24" t="s">
        <v>142</v>
      </c>
      <c r="BU2" s="24" t="s">
        <v>143</v>
      </c>
      <c r="BV2" s="24" t="s">
        <v>144</v>
      </c>
      <c r="BW2" s="24" t="s">
        <v>145</v>
      </c>
      <c r="BX2" s="24" t="s">
        <v>146</v>
      </c>
      <c r="BY2" s="24" t="s">
        <v>147</v>
      </c>
      <c r="BZ2" s="24" t="s">
        <v>148</v>
      </c>
      <c r="CA2" s="24" t="s">
        <v>149</v>
      </c>
      <c r="CB2" s="26" t="s">
        <v>150</v>
      </c>
      <c r="CC2" s="24" t="s">
        <v>151</v>
      </c>
      <c r="CD2" s="24" t="s">
        <v>152</v>
      </c>
      <c r="CE2" s="24" t="s">
        <v>153</v>
      </c>
      <c r="CF2" s="25" t="s">
        <v>154</v>
      </c>
      <c r="CG2" s="24" t="s">
        <v>155</v>
      </c>
      <c r="CH2" s="24" t="s">
        <v>156</v>
      </c>
      <c r="CI2" s="24" t="s">
        <v>157</v>
      </c>
      <c r="CJ2" s="24" t="s">
        <v>158</v>
      </c>
      <c r="CK2" s="24" t="s">
        <v>159</v>
      </c>
      <c r="CL2" s="24" t="s">
        <v>160</v>
      </c>
      <c r="CM2" s="24" t="s">
        <v>161</v>
      </c>
      <c r="CN2" s="24" t="s">
        <v>162</v>
      </c>
      <c r="CO2" s="24" t="s">
        <v>163</v>
      </c>
      <c r="CP2" s="24" t="s">
        <v>164</v>
      </c>
      <c r="CQ2" s="24" t="s">
        <v>165</v>
      </c>
      <c r="CR2" s="24" t="s">
        <v>166</v>
      </c>
      <c r="CS2" s="24" t="s">
        <v>167</v>
      </c>
      <c r="CT2" s="24" t="s">
        <v>168</v>
      </c>
      <c r="CU2" s="24" t="s">
        <v>169</v>
      </c>
      <c r="CV2" s="24" t="s">
        <v>170</v>
      </c>
      <c r="CW2" s="24" t="s">
        <v>171</v>
      </c>
      <c r="CX2" s="24" t="s">
        <v>172</v>
      </c>
      <c r="CY2" s="24" t="s">
        <v>173</v>
      </c>
      <c r="CZ2" s="25" t="s">
        <v>174</v>
      </c>
      <c r="DA2" s="24" t="s">
        <v>175</v>
      </c>
      <c r="DB2" s="24" t="s">
        <v>176</v>
      </c>
      <c r="DC2" s="24" t="s">
        <v>177</v>
      </c>
      <c r="DD2" s="24" t="s">
        <v>178</v>
      </c>
      <c r="DE2" s="24" t="s">
        <v>179</v>
      </c>
      <c r="DF2" s="24" t="s">
        <v>180</v>
      </c>
      <c r="DG2" s="24" t="s">
        <v>181</v>
      </c>
      <c r="DH2" s="24" t="s">
        <v>182</v>
      </c>
      <c r="DI2" s="24" t="s">
        <v>183</v>
      </c>
      <c r="DJ2" s="24" t="s">
        <v>184</v>
      </c>
      <c r="DK2" s="24" t="s">
        <v>185</v>
      </c>
      <c r="DL2" s="24" t="s">
        <v>186</v>
      </c>
      <c r="DM2" s="25" t="s">
        <v>187</v>
      </c>
      <c r="DN2" s="25" t="s">
        <v>188</v>
      </c>
      <c r="DO2" s="24" t="s">
        <v>189</v>
      </c>
      <c r="DP2" s="24" t="s">
        <v>190</v>
      </c>
      <c r="DQ2" s="24" t="s">
        <v>191</v>
      </c>
      <c r="DR2" s="24" t="s">
        <v>192</v>
      </c>
      <c r="DS2" s="24" t="s">
        <v>193</v>
      </c>
      <c r="DT2" s="24" t="s">
        <v>194</v>
      </c>
      <c r="DU2" s="24" t="s">
        <v>195</v>
      </c>
      <c r="DV2" s="24" t="s">
        <v>196</v>
      </c>
      <c r="DW2" s="24" t="s">
        <v>197</v>
      </c>
      <c r="DX2" s="24" t="s">
        <v>198</v>
      </c>
      <c r="DY2" s="24" t="s">
        <v>199</v>
      </c>
      <c r="DZ2" s="24" t="s">
        <v>200</v>
      </c>
      <c r="EA2" s="24" t="s">
        <v>201</v>
      </c>
      <c r="EB2" s="24" t="s">
        <v>202</v>
      </c>
      <c r="EC2" s="24" t="s">
        <v>203</v>
      </c>
      <c r="ED2" s="24"/>
      <c r="EE2" s="24" t="s">
        <v>204</v>
      </c>
      <c r="EF2" s="24"/>
      <c r="EG2" s="29"/>
    </row>
    <row r="3" spans="1:137" ht="13.2">
      <c r="B3" s="30" t="str">
        <f t="shared" ref="B3:B257" si="1">IF(D3&gt;0, CONCATENATE(YEAR(D3),"/",MONTH(D3)),"")</f>
        <v>2022/1</v>
      </c>
      <c r="C3" s="31">
        <f>IF(SUM(E3:EG3)=0,"",SUM(E3:EG3))</f>
        <v>50</v>
      </c>
      <c r="D3" s="32">
        <v>44585</v>
      </c>
      <c r="E3" s="33"/>
      <c r="F3" s="34">
        <v>50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3"/>
      <c r="R3" s="33"/>
      <c r="S3" s="33"/>
      <c r="T3" s="33"/>
      <c r="U3" s="35"/>
      <c r="V3" s="36"/>
      <c r="W3" s="37"/>
      <c r="X3" s="34"/>
      <c r="Y3" s="33"/>
      <c r="Z3" s="33"/>
      <c r="AA3" s="33"/>
      <c r="AB3" s="35"/>
      <c r="AC3" s="34"/>
      <c r="AD3" s="34"/>
      <c r="AE3" s="34"/>
      <c r="AF3" s="34"/>
      <c r="AG3" s="34"/>
      <c r="AH3" s="33"/>
      <c r="AI3" s="33"/>
      <c r="AJ3" s="34"/>
      <c r="AK3" s="33"/>
      <c r="AL3" s="33"/>
      <c r="AM3" s="33"/>
      <c r="AN3" s="34"/>
      <c r="AO3" s="34"/>
      <c r="AP3" s="33"/>
      <c r="AQ3" s="34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4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5"/>
      <c r="CC3" s="33"/>
      <c r="CD3" s="33"/>
      <c r="CE3" s="33"/>
      <c r="CF3" s="34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4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4"/>
      <c r="DN3" s="34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8"/>
    </row>
    <row r="4" spans="1:137" ht="13.2">
      <c r="B4" s="30" t="str">
        <f t="shared" ref="B4:B67" si="2">IF(D4&gt;0, CONCATENATE(YEAR(D4),"/",MONTH(D4)),"")</f>
        <v>2022/2</v>
      </c>
      <c r="C4" s="31">
        <f t="shared" ref="C4:C67" si="3">IF(SUM(E4:EG4)=0,"",SUM(E4:EG4))</f>
        <v>150</v>
      </c>
      <c r="D4" s="32">
        <v>44599</v>
      </c>
      <c r="E4" s="33"/>
      <c r="F4" s="34"/>
      <c r="G4" s="34">
        <v>150</v>
      </c>
      <c r="H4" s="34"/>
      <c r="I4" s="34"/>
      <c r="J4" s="34"/>
      <c r="K4" s="34"/>
      <c r="L4" s="34"/>
      <c r="M4" s="34"/>
      <c r="N4" s="34"/>
      <c r="O4" s="34"/>
      <c r="P4" s="34"/>
      <c r="Q4" s="33"/>
      <c r="R4" s="33"/>
      <c r="S4" s="33"/>
      <c r="T4" s="33"/>
      <c r="U4" s="35"/>
      <c r="V4" s="36"/>
      <c r="W4" s="37"/>
      <c r="X4" s="34"/>
      <c r="Y4" s="33"/>
      <c r="Z4" s="33"/>
      <c r="AA4" s="33"/>
      <c r="AB4" s="35"/>
      <c r="AC4" s="34"/>
      <c r="AD4" s="34"/>
      <c r="AE4" s="34"/>
      <c r="AF4" s="34"/>
      <c r="AG4" s="34"/>
      <c r="AH4" s="33"/>
      <c r="AI4" s="33"/>
      <c r="AJ4" s="34"/>
      <c r="AK4" s="33"/>
      <c r="AL4" s="33"/>
      <c r="AM4" s="33"/>
      <c r="AN4" s="34"/>
      <c r="AO4" s="34"/>
      <c r="AP4" s="33"/>
      <c r="AQ4" s="34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4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5"/>
      <c r="CC4" s="33"/>
      <c r="CD4" s="33"/>
      <c r="CE4" s="33"/>
      <c r="CF4" s="34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4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4"/>
      <c r="DN4" s="34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8"/>
    </row>
    <row r="5" spans="1:137" ht="13.2">
      <c r="B5" s="30" t="str">
        <f t="shared" si="2"/>
        <v>2022/2</v>
      </c>
      <c r="C5" s="31">
        <f t="shared" si="3"/>
        <v>200</v>
      </c>
      <c r="D5" s="32">
        <v>44620</v>
      </c>
      <c r="E5" s="33"/>
      <c r="F5" s="34">
        <v>50</v>
      </c>
      <c r="G5" s="34">
        <v>150</v>
      </c>
      <c r="H5" s="34"/>
      <c r="I5" s="34"/>
      <c r="J5" s="34"/>
      <c r="K5" s="34"/>
      <c r="L5" s="34"/>
      <c r="M5" s="34"/>
      <c r="N5" s="34"/>
      <c r="O5" s="34"/>
      <c r="P5" s="34"/>
      <c r="Q5" s="33"/>
      <c r="R5" s="33"/>
      <c r="S5" s="33"/>
      <c r="T5" s="33"/>
      <c r="U5" s="35"/>
      <c r="V5" s="36"/>
      <c r="W5" s="37"/>
      <c r="X5" s="34"/>
      <c r="Y5" s="33"/>
      <c r="Z5" s="33"/>
      <c r="AA5" s="33"/>
      <c r="AB5" s="35"/>
      <c r="AC5" s="34"/>
      <c r="AD5" s="34"/>
      <c r="AE5" s="34"/>
      <c r="AF5" s="34"/>
      <c r="AG5" s="34"/>
      <c r="AH5" s="33"/>
      <c r="AI5" s="33"/>
      <c r="AJ5" s="34"/>
      <c r="AK5" s="33"/>
      <c r="AL5" s="33"/>
      <c r="AM5" s="33"/>
      <c r="AN5" s="34"/>
      <c r="AO5" s="34"/>
      <c r="AP5" s="33"/>
      <c r="AQ5" s="34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4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5"/>
      <c r="CC5" s="33"/>
      <c r="CD5" s="33"/>
      <c r="CE5" s="33"/>
      <c r="CF5" s="34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4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4"/>
      <c r="DN5" s="34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8"/>
    </row>
    <row r="6" spans="1:137" ht="13.2">
      <c r="B6" s="30" t="str">
        <f t="shared" si="2"/>
        <v>2022/3</v>
      </c>
      <c r="C6" s="31">
        <f t="shared" si="3"/>
        <v>150</v>
      </c>
      <c r="D6" s="32">
        <v>44628</v>
      </c>
      <c r="E6" s="33"/>
      <c r="F6" s="34"/>
      <c r="G6" s="34"/>
      <c r="H6" s="34"/>
      <c r="I6" s="34"/>
      <c r="J6" s="34"/>
      <c r="K6" s="34"/>
      <c r="L6" s="34"/>
      <c r="M6" s="34"/>
      <c r="N6" s="34">
        <v>150</v>
      </c>
      <c r="O6" s="34"/>
      <c r="P6" s="34"/>
      <c r="Q6" s="33"/>
      <c r="R6" s="33"/>
      <c r="S6" s="33"/>
      <c r="T6" s="33"/>
      <c r="U6" s="35"/>
      <c r="V6" s="36"/>
      <c r="W6" s="37"/>
      <c r="X6" s="34"/>
      <c r="Y6" s="33"/>
      <c r="Z6" s="33"/>
      <c r="AA6" s="33"/>
      <c r="AB6" s="35"/>
      <c r="AC6" s="34"/>
      <c r="AD6" s="34"/>
      <c r="AE6" s="34"/>
      <c r="AF6" s="34"/>
      <c r="AG6" s="34"/>
      <c r="AH6" s="33"/>
      <c r="AI6" s="33"/>
      <c r="AJ6" s="34"/>
      <c r="AK6" s="33"/>
      <c r="AL6" s="33"/>
      <c r="AM6" s="33"/>
      <c r="AN6" s="34"/>
      <c r="AO6" s="34"/>
      <c r="AP6" s="33"/>
      <c r="AQ6" s="34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4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5"/>
      <c r="CC6" s="33"/>
      <c r="CD6" s="33"/>
      <c r="CE6" s="33"/>
      <c r="CF6" s="34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4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4"/>
      <c r="DN6" s="34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8"/>
    </row>
    <row r="7" spans="1:137" ht="13.2">
      <c r="B7" s="30" t="str">
        <f t="shared" si="2"/>
        <v>2022/3</v>
      </c>
      <c r="C7" s="31">
        <f t="shared" si="3"/>
        <v>150</v>
      </c>
      <c r="D7" s="32">
        <v>44630</v>
      </c>
      <c r="E7" s="33"/>
      <c r="F7" s="34"/>
      <c r="G7" s="34"/>
      <c r="H7" s="34"/>
      <c r="I7" s="34"/>
      <c r="J7" s="34"/>
      <c r="K7" s="34"/>
      <c r="L7" s="34"/>
      <c r="M7" s="34"/>
      <c r="N7" s="34">
        <v>150</v>
      </c>
      <c r="O7" s="34"/>
      <c r="P7" s="34"/>
      <c r="Q7" s="33"/>
      <c r="R7" s="33"/>
      <c r="S7" s="33"/>
      <c r="T7" s="33"/>
      <c r="U7" s="35"/>
      <c r="V7" s="36"/>
      <c r="W7" s="37"/>
      <c r="X7" s="34"/>
      <c r="Y7" s="33"/>
      <c r="Z7" s="33"/>
      <c r="AA7" s="33"/>
      <c r="AB7" s="35"/>
      <c r="AC7" s="34"/>
      <c r="AD7" s="34"/>
      <c r="AE7" s="34"/>
      <c r="AF7" s="34"/>
      <c r="AG7" s="34"/>
      <c r="AH7" s="33"/>
      <c r="AI7" s="33"/>
      <c r="AJ7" s="34"/>
      <c r="AK7" s="33"/>
      <c r="AL7" s="33"/>
      <c r="AM7" s="33"/>
      <c r="AN7" s="34"/>
      <c r="AO7" s="34"/>
      <c r="AP7" s="33"/>
      <c r="AQ7" s="34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4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5"/>
      <c r="CC7" s="33"/>
      <c r="CD7" s="33"/>
      <c r="CE7" s="33"/>
      <c r="CF7" s="34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4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4"/>
      <c r="DN7" s="34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8"/>
    </row>
    <row r="8" spans="1:137" ht="13.2">
      <c r="B8" s="30" t="str">
        <f t="shared" si="2"/>
        <v>2022/3</v>
      </c>
      <c r="C8" s="31">
        <f t="shared" si="3"/>
        <v>150</v>
      </c>
      <c r="D8" s="32">
        <v>44631</v>
      </c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3"/>
      <c r="R8" s="33"/>
      <c r="S8" s="33"/>
      <c r="T8" s="33"/>
      <c r="U8" s="35"/>
      <c r="V8" s="36"/>
      <c r="W8" s="37"/>
      <c r="X8" s="34"/>
      <c r="Y8" s="33"/>
      <c r="Z8" s="33"/>
      <c r="AA8" s="33"/>
      <c r="AB8" s="35"/>
      <c r="AC8" s="34"/>
      <c r="AD8" s="34"/>
      <c r="AE8" s="34"/>
      <c r="AF8" s="34"/>
      <c r="AG8" s="34"/>
      <c r="AH8" s="33"/>
      <c r="AI8" s="33"/>
      <c r="AJ8" s="34"/>
      <c r="AK8" s="33"/>
      <c r="AL8" s="33"/>
      <c r="AM8" s="33"/>
      <c r="AN8" s="34"/>
      <c r="AO8" s="34"/>
      <c r="AP8" s="33"/>
      <c r="AQ8" s="34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4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5"/>
      <c r="CC8" s="33"/>
      <c r="CD8" s="33"/>
      <c r="CE8" s="33"/>
      <c r="CF8" s="34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4">
        <v>150</v>
      </c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4"/>
      <c r="DN8" s="34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8"/>
    </row>
    <row r="9" spans="1:137" ht="13.2">
      <c r="B9" s="30" t="str">
        <f t="shared" si="2"/>
        <v>2022/3</v>
      </c>
      <c r="C9" s="31">
        <f t="shared" si="3"/>
        <v>350</v>
      </c>
      <c r="D9" s="32">
        <v>44634</v>
      </c>
      <c r="E9" s="33"/>
      <c r="F9" s="34">
        <v>50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3"/>
      <c r="R9" s="33"/>
      <c r="S9" s="33"/>
      <c r="T9" s="33"/>
      <c r="U9" s="35"/>
      <c r="V9" s="36"/>
      <c r="W9" s="37"/>
      <c r="X9" s="34"/>
      <c r="Y9" s="33"/>
      <c r="Z9" s="33"/>
      <c r="AA9" s="33"/>
      <c r="AB9" s="35"/>
      <c r="AC9" s="34"/>
      <c r="AD9" s="34"/>
      <c r="AE9" s="34"/>
      <c r="AF9" s="34"/>
      <c r="AG9" s="34"/>
      <c r="AH9" s="33"/>
      <c r="AI9" s="33"/>
      <c r="AJ9" s="34">
        <v>300</v>
      </c>
      <c r="AK9" s="33"/>
      <c r="AL9" s="33"/>
      <c r="AM9" s="33"/>
      <c r="AN9" s="34"/>
      <c r="AO9" s="34"/>
      <c r="AP9" s="33"/>
      <c r="AQ9" s="34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4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5"/>
      <c r="CC9" s="33"/>
      <c r="CD9" s="33"/>
      <c r="CE9" s="33"/>
      <c r="CF9" s="34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4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4"/>
      <c r="DN9" s="34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8"/>
    </row>
    <row r="10" spans="1:137" ht="13.2">
      <c r="B10" s="30" t="str">
        <f t="shared" si="2"/>
        <v>2022/3</v>
      </c>
      <c r="C10" s="31">
        <f t="shared" si="3"/>
        <v>150</v>
      </c>
      <c r="D10" s="32">
        <v>44637</v>
      </c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3"/>
      <c r="R10" s="33"/>
      <c r="S10" s="33"/>
      <c r="T10" s="33"/>
      <c r="U10" s="35"/>
      <c r="V10" s="36"/>
      <c r="W10" s="37"/>
      <c r="X10" s="34"/>
      <c r="Y10" s="33"/>
      <c r="Z10" s="33"/>
      <c r="AA10" s="33"/>
      <c r="AB10" s="35"/>
      <c r="AC10" s="34"/>
      <c r="AD10" s="34"/>
      <c r="AE10" s="34"/>
      <c r="AF10" s="34"/>
      <c r="AG10" s="34"/>
      <c r="AH10" s="33"/>
      <c r="AI10" s="33"/>
      <c r="AJ10" s="34"/>
      <c r="AK10" s="33"/>
      <c r="AL10" s="33"/>
      <c r="AM10" s="33"/>
      <c r="AN10" s="34"/>
      <c r="AO10" s="34"/>
      <c r="AP10" s="33"/>
      <c r="AQ10" s="34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4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5"/>
      <c r="CC10" s="33"/>
      <c r="CD10" s="33"/>
      <c r="CE10" s="33"/>
      <c r="CF10" s="34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4">
        <v>150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4"/>
      <c r="DN10" s="34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8"/>
    </row>
    <row r="11" spans="1:137" ht="13.2">
      <c r="B11" s="30" t="str">
        <f t="shared" si="2"/>
        <v>2022/3</v>
      </c>
      <c r="C11" s="31">
        <f t="shared" si="3"/>
        <v>450</v>
      </c>
      <c r="D11" s="32">
        <v>44644</v>
      </c>
      <c r="E11" s="33"/>
      <c r="F11" s="34"/>
      <c r="G11" s="34"/>
      <c r="H11" s="34"/>
      <c r="I11" s="34"/>
      <c r="J11" s="34"/>
      <c r="K11" s="34"/>
      <c r="L11" s="34"/>
      <c r="M11" s="34"/>
      <c r="N11" s="34">
        <v>300</v>
      </c>
      <c r="O11" s="34"/>
      <c r="P11" s="34"/>
      <c r="Q11" s="33"/>
      <c r="R11" s="33"/>
      <c r="S11" s="33"/>
      <c r="T11" s="33"/>
      <c r="U11" s="35"/>
      <c r="V11" s="36"/>
      <c r="W11" s="37"/>
      <c r="X11" s="34"/>
      <c r="Y11" s="33"/>
      <c r="Z11" s="33"/>
      <c r="AA11" s="33"/>
      <c r="AB11" s="35"/>
      <c r="AC11" s="34"/>
      <c r="AD11" s="34"/>
      <c r="AE11" s="34"/>
      <c r="AF11" s="34"/>
      <c r="AG11" s="34"/>
      <c r="AH11" s="33"/>
      <c r="AI11" s="33"/>
      <c r="AJ11" s="34"/>
      <c r="AK11" s="33"/>
      <c r="AL11" s="33"/>
      <c r="AM11" s="33"/>
      <c r="AN11" s="34"/>
      <c r="AO11" s="34"/>
      <c r="AP11" s="33"/>
      <c r="AQ11" s="34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4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5"/>
      <c r="CC11" s="33"/>
      <c r="CD11" s="33"/>
      <c r="CE11" s="33"/>
      <c r="CF11" s="34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4">
        <v>150</v>
      </c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4"/>
      <c r="DN11" s="34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8"/>
    </row>
    <row r="12" spans="1:137" ht="13.2">
      <c r="B12" s="30" t="str">
        <f t="shared" si="2"/>
        <v>2022/3</v>
      </c>
      <c r="C12" s="31">
        <f t="shared" si="3"/>
        <v>195</v>
      </c>
      <c r="D12" s="32">
        <v>44649</v>
      </c>
      <c r="E12" s="33"/>
      <c r="F12" s="34"/>
      <c r="G12" s="34"/>
      <c r="H12" s="34"/>
      <c r="I12" s="34"/>
      <c r="J12" s="34"/>
      <c r="K12" s="34"/>
      <c r="L12" s="34"/>
      <c r="M12" s="34"/>
      <c r="N12" s="34">
        <v>195</v>
      </c>
      <c r="O12" s="34"/>
      <c r="P12" s="34"/>
      <c r="Q12" s="33"/>
      <c r="R12" s="33"/>
      <c r="S12" s="33"/>
      <c r="T12" s="33"/>
      <c r="U12" s="35"/>
      <c r="V12" s="36"/>
      <c r="W12" s="37"/>
      <c r="X12" s="34"/>
      <c r="Y12" s="33"/>
      <c r="Z12" s="33"/>
      <c r="AA12" s="33"/>
      <c r="AB12" s="35"/>
      <c r="AC12" s="34"/>
      <c r="AD12" s="34"/>
      <c r="AE12" s="34"/>
      <c r="AF12" s="34"/>
      <c r="AG12" s="34"/>
      <c r="AH12" s="33"/>
      <c r="AI12" s="33"/>
      <c r="AJ12" s="34"/>
      <c r="AK12" s="33"/>
      <c r="AL12" s="33"/>
      <c r="AM12" s="33"/>
      <c r="AN12" s="34"/>
      <c r="AO12" s="34"/>
      <c r="AP12" s="33"/>
      <c r="AQ12" s="34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4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5"/>
      <c r="CC12" s="33"/>
      <c r="CD12" s="33"/>
      <c r="CE12" s="33"/>
      <c r="CF12" s="34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4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4"/>
      <c r="DN12" s="34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8"/>
    </row>
    <row r="13" spans="1:137" ht="13.2">
      <c r="B13" s="30" t="str">
        <f t="shared" si="2"/>
        <v>2022/3</v>
      </c>
      <c r="C13" s="31">
        <f t="shared" si="3"/>
        <v>150</v>
      </c>
      <c r="D13" s="32">
        <v>44651</v>
      </c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3"/>
      <c r="R13" s="33"/>
      <c r="S13" s="33"/>
      <c r="T13" s="33"/>
      <c r="U13" s="35"/>
      <c r="V13" s="36"/>
      <c r="W13" s="37"/>
      <c r="X13" s="34"/>
      <c r="Y13" s="33"/>
      <c r="Z13" s="33"/>
      <c r="AA13" s="33"/>
      <c r="AB13" s="35"/>
      <c r="AC13" s="34"/>
      <c r="AD13" s="34"/>
      <c r="AE13" s="34"/>
      <c r="AF13" s="34"/>
      <c r="AG13" s="34"/>
      <c r="AH13" s="33"/>
      <c r="AI13" s="33"/>
      <c r="AJ13" s="34"/>
      <c r="AK13" s="33"/>
      <c r="AL13" s="33"/>
      <c r="AM13" s="33"/>
      <c r="AN13" s="34"/>
      <c r="AO13" s="34"/>
      <c r="AP13" s="33"/>
      <c r="AQ13" s="34">
        <v>150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4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5"/>
      <c r="CC13" s="33"/>
      <c r="CD13" s="33"/>
      <c r="CE13" s="33"/>
      <c r="CF13" s="34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4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4"/>
      <c r="DN13" s="34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8"/>
    </row>
    <row r="14" spans="1:137" ht="13.2">
      <c r="B14" s="30" t="str">
        <f t="shared" si="2"/>
        <v>2022/4</v>
      </c>
      <c r="C14" s="31">
        <f t="shared" si="3"/>
        <v>150</v>
      </c>
      <c r="D14" s="32">
        <v>44655</v>
      </c>
      <c r="E14" s="33"/>
      <c r="F14" s="34"/>
      <c r="G14" s="34"/>
      <c r="H14" s="34">
        <v>150</v>
      </c>
      <c r="I14" s="34"/>
      <c r="J14" s="34"/>
      <c r="K14" s="34"/>
      <c r="L14" s="34"/>
      <c r="M14" s="34"/>
      <c r="N14" s="34"/>
      <c r="O14" s="34"/>
      <c r="P14" s="34"/>
      <c r="Q14" s="33"/>
      <c r="R14" s="33"/>
      <c r="S14" s="33"/>
      <c r="T14" s="33"/>
      <c r="U14" s="35"/>
      <c r="V14" s="36"/>
      <c r="W14" s="37"/>
      <c r="X14" s="34"/>
      <c r="Y14" s="33"/>
      <c r="Z14" s="33"/>
      <c r="AA14" s="33"/>
      <c r="AB14" s="35"/>
      <c r="AC14" s="34"/>
      <c r="AD14" s="34"/>
      <c r="AE14" s="34"/>
      <c r="AF14" s="34"/>
      <c r="AG14" s="34"/>
      <c r="AH14" s="33"/>
      <c r="AI14" s="33"/>
      <c r="AJ14" s="34"/>
      <c r="AK14" s="33"/>
      <c r="AL14" s="33"/>
      <c r="AM14" s="33"/>
      <c r="AN14" s="34"/>
      <c r="AO14" s="34"/>
      <c r="AP14" s="33"/>
      <c r="AQ14" s="34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4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5"/>
      <c r="CC14" s="33"/>
      <c r="CD14" s="33"/>
      <c r="CE14" s="33"/>
      <c r="CF14" s="34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4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4"/>
      <c r="DN14" s="34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8"/>
    </row>
    <row r="15" spans="1:137" ht="13.2">
      <c r="B15" s="30" t="str">
        <f t="shared" si="2"/>
        <v>2022/4</v>
      </c>
      <c r="C15" s="31">
        <f t="shared" si="3"/>
        <v>450</v>
      </c>
      <c r="D15" s="32">
        <v>44658</v>
      </c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3"/>
      <c r="R15" s="33"/>
      <c r="S15" s="33"/>
      <c r="T15" s="33"/>
      <c r="U15" s="35"/>
      <c r="V15" s="36"/>
      <c r="W15" s="37"/>
      <c r="X15" s="34"/>
      <c r="Y15" s="33"/>
      <c r="Z15" s="33"/>
      <c r="AA15" s="33"/>
      <c r="AB15" s="35"/>
      <c r="AC15" s="34"/>
      <c r="AD15" s="34"/>
      <c r="AE15" s="34"/>
      <c r="AF15" s="34"/>
      <c r="AG15" s="34"/>
      <c r="AH15" s="33"/>
      <c r="AI15" s="33"/>
      <c r="AJ15" s="34"/>
      <c r="AK15" s="33"/>
      <c r="AL15" s="33"/>
      <c r="AM15" s="33"/>
      <c r="AN15" s="34"/>
      <c r="AO15" s="34"/>
      <c r="AP15" s="33"/>
      <c r="AQ15" s="34">
        <v>300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4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5"/>
      <c r="CC15" s="33"/>
      <c r="CD15" s="33"/>
      <c r="CE15" s="33"/>
      <c r="CF15" s="34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4">
        <v>150</v>
      </c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4"/>
      <c r="DN15" s="34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8"/>
    </row>
    <row r="16" spans="1:137" ht="13.2">
      <c r="B16" s="30" t="str">
        <f t="shared" si="2"/>
        <v>2022/4</v>
      </c>
      <c r="C16" s="31">
        <f t="shared" si="3"/>
        <v>450</v>
      </c>
      <c r="D16" s="32">
        <v>44662</v>
      </c>
      <c r="E16" s="33"/>
      <c r="F16" s="34"/>
      <c r="G16" s="34"/>
      <c r="H16" s="34"/>
      <c r="I16" s="34"/>
      <c r="J16" s="34"/>
      <c r="K16" s="34"/>
      <c r="L16" s="34"/>
      <c r="M16" s="34"/>
      <c r="N16" s="34">
        <v>150</v>
      </c>
      <c r="O16" s="34"/>
      <c r="P16" s="34"/>
      <c r="Q16" s="33"/>
      <c r="R16" s="33"/>
      <c r="S16" s="33"/>
      <c r="T16" s="33"/>
      <c r="U16" s="35"/>
      <c r="V16" s="36"/>
      <c r="W16" s="37"/>
      <c r="X16" s="34"/>
      <c r="Y16" s="33"/>
      <c r="Z16" s="33"/>
      <c r="AA16" s="33"/>
      <c r="AB16" s="35"/>
      <c r="AC16" s="34"/>
      <c r="AD16" s="34"/>
      <c r="AE16" s="34"/>
      <c r="AF16" s="34">
        <v>300</v>
      </c>
      <c r="AG16" s="34"/>
      <c r="AH16" s="33"/>
      <c r="AI16" s="33"/>
      <c r="AJ16" s="34"/>
      <c r="AK16" s="33"/>
      <c r="AL16" s="33"/>
      <c r="AM16" s="33"/>
      <c r="AN16" s="34"/>
      <c r="AO16" s="34"/>
      <c r="AP16" s="33"/>
      <c r="AQ16" s="34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4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5"/>
      <c r="CC16" s="33"/>
      <c r="CD16" s="33"/>
      <c r="CE16" s="33"/>
      <c r="CF16" s="34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4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4"/>
      <c r="DN16" s="34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8"/>
    </row>
    <row r="17" spans="2:137" ht="13.2">
      <c r="B17" s="30" t="str">
        <f t="shared" si="2"/>
        <v>2022/4</v>
      </c>
      <c r="C17" s="31">
        <f t="shared" si="3"/>
        <v>150</v>
      </c>
      <c r="D17" s="32">
        <v>44664</v>
      </c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3"/>
      <c r="R17" s="33"/>
      <c r="S17" s="33"/>
      <c r="T17" s="33"/>
      <c r="U17" s="35"/>
      <c r="V17" s="36"/>
      <c r="W17" s="37"/>
      <c r="X17" s="34"/>
      <c r="Y17" s="33"/>
      <c r="Z17" s="33"/>
      <c r="AA17" s="33"/>
      <c r="AB17" s="35"/>
      <c r="AC17" s="34"/>
      <c r="AD17" s="34"/>
      <c r="AE17" s="34"/>
      <c r="AF17" s="34"/>
      <c r="AG17" s="34"/>
      <c r="AH17" s="33"/>
      <c r="AI17" s="33"/>
      <c r="AJ17" s="34"/>
      <c r="AK17" s="33"/>
      <c r="AL17" s="33"/>
      <c r="AM17" s="33"/>
      <c r="AN17" s="34"/>
      <c r="AO17" s="34"/>
      <c r="AP17" s="33"/>
      <c r="AQ17" s="34">
        <v>150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4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5"/>
      <c r="CC17" s="33"/>
      <c r="CD17" s="33"/>
      <c r="CE17" s="33"/>
      <c r="CF17" s="34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4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4"/>
      <c r="DN17" s="34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8"/>
    </row>
    <row r="18" spans="2:137" ht="13.2">
      <c r="B18" s="30" t="str">
        <f t="shared" si="2"/>
        <v>2022/4</v>
      </c>
      <c r="C18" s="31">
        <f t="shared" si="3"/>
        <v>150</v>
      </c>
      <c r="D18" s="32">
        <v>44665</v>
      </c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3"/>
      <c r="R18" s="33"/>
      <c r="S18" s="33"/>
      <c r="T18" s="33"/>
      <c r="U18" s="35"/>
      <c r="V18" s="36"/>
      <c r="W18" s="37"/>
      <c r="X18" s="34"/>
      <c r="Y18" s="33"/>
      <c r="Z18" s="33"/>
      <c r="AA18" s="33"/>
      <c r="AB18" s="35"/>
      <c r="AC18" s="34"/>
      <c r="AD18" s="34"/>
      <c r="AE18" s="34"/>
      <c r="AF18" s="34"/>
      <c r="AG18" s="34"/>
      <c r="AH18" s="33"/>
      <c r="AI18" s="33"/>
      <c r="AJ18" s="34"/>
      <c r="AK18" s="33"/>
      <c r="AL18" s="33"/>
      <c r="AM18" s="33"/>
      <c r="AN18" s="34"/>
      <c r="AO18" s="34"/>
      <c r="AP18" s="33"/>
      <c r="AQ18" s="34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4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5"/>
      <c r="CC18" s="33"/>
      <c r="CD18" s="33"/>
      <c r="CE18" s="33"/>
      <c r="CF18" s="34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4">
        <v>150</v>
      </c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4"/>
      <c r="DN18" s="34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8"/>
    </row>
    <row r="19" spans="2:137" ht="13.2">
      <c r="B19" s="30" t="str">
        <f t="shared" si="2"/>
        <v>2022/4</v>
      </c>
      <c r="C19" s="31">
        <f t="shared" si="3"/>
        <v>200</v>
      </c>
      <c r="D19" s="32">
        <v>44669</v>
      </c>
      <c r="E19" s="33"/>
      <c r="F19" s="34">
        <v>50</v>
      </c>
      <c r="G19" s="34">
        <v>150</v>
      </c>
      <c r="H19" s="34"/>
      <c r="I19" s="34"/>
      <c r="J19" s="34"/>
      <c r="K19" s="34"/>
      <c r="L19" s="34"/>
      <c r="M19" s="34"/>
      <c r="N19" s="34"/>
      <c r="O19" s="34"/>
      <c r="P19" s="34"/>
      <c r="Q19" s="33"/>
      <c r="R19" s="33"/>
      <c r="S19" s="33"/>
      <c r="T19" s="33"/>
      <c r="U19" s="35"/>
      <c r="V19" s="36"/>
      <c r="W19" s="37"/>
      <c r="X19" s="34"/>
      <c r="Y19" s="33"/>
      <c r="Z19" s="33"/>
      <c r="AA19" s="33"/>
      <c r="AB19" s="35"/>
      <c r="AC19" s="34"/>
      <c r="AD19" s="34"/>
      <c r="AE19" s="34"/>
      <c r="AF19" s="34"/>
      <c r="AG19" s="34"/>
      <c r="AH19" s="33"/>
      <c r="AI19" s="33"/>
      <c r="AJ19" s="34"/>
      <c r="AK19" s="33"/>
      <c r="AL19" s="33"/>
      <c r="AM19" s="33"/>
      <c r="AN19" s="34"/>
      <c r="AO19" s="34"/>
      <c r="AP19" s="33"/>
      <c r="AQ19" s="34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4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5"/>
      <c r="CC19" s="33"/>
      <c r="CD19" s="33"/>
      <c r="CE19" s="33"/>
      <c r="CF19" s="34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4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4"/>
      <c r="DN19" s="34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8"/>
    </row>
    <row r="20" spans="2:137" ht="13.2">
      <c r="B20" s="30" t="str">
        <f t="shared" si="2"/>
        <v>2022/4</v>
      </c>
      <c r="C20" s="31">
        <f t="shared" si="3"/>
        <v>600</v>
      </c>
      <c r="D20" s="32">
        <v>44670</v>
      </c>
      <c r="E20" s="33"/>
      <c r="F20" s="34"/>
      <c r="G20" s="34"/>
      <c r="H20" s="34"/>
      <c r="I20" s="34"/>
      <c r="J20" s="34"/>
      <c r="K20" s="34"/>
      <c r="L20" s="34"/>
      <c r="M20" s="34"/>
      <c r="N20" s="34">
        <v>300</v>
      </c>
      <c r="O20" s="34"/>
      <c r="P20" s="34"/>
      <c r="Q20" s="33"/>
      <c r="R20" s="33"/>
      <c r="S20" s="33"/>
      <c r="T20" s="33"/>
      <c r="U20" s="35"/>
      <c r="V20" s="36"/>
      <c r="W20" s="37"/>
      <c r="X20" s="34"/>
      <c r="Y20" s="33"/>
      <c r="Z20" s="33"/>
      <c r="AA20" s="33"/>
      <c r="AB20" s="35"/>
      <c r="AC20" s="34"/>
      <c r="AD20" s="34"/>
      <c r="AE20" s="34"/>
      <c r="AF20" s="34"/>
      <c r="AG20" s="34"/>
      <c r="AH20" s="33"/>
      <c r="AI20" s="33"/>
      <c r="AJ20" s="34">
        <v>300</v>
      </c>
      <c r="AK20" s="33"/>
      <c r="AL20" s="33"/>
      <c r="AM20" s="33"/>
      <c r="AN20" s="34"/>
      <c r="AO20" s="34"/>
      <c r="AP20" s="33"/>
      <c r="AQ20" s="34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4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5"/>
      <c r="CC20" s="33"/>
      <c r="CD20" s="33"/>
      <c r="CE20" s="33"/>
      <c r="CF20" s="34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4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4"/>
      <c r="DN20" s="34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8"/>
    </row>
    <row r="21" spans="2:137" ht="13.2">
      <c r="B21" s="30" t="str">
        <f t="shared" si="2"/>
        <v>2022/4</v>
      </c>
      <c r="C21" s="31" t="str">
        <f t="shared" si="3"/>
        <v/>
      </c>
      <c r="D21" s="32">
        <v>44676</v>
      </c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3"/>
      <c r="R21" s="33"/>
      <c r="S21" s="33"/>
      <c r="T21" s="33"/>
      <c r="U21" s="35"/>
      <c r="V21" s="36"/>
      <c r="W21" s="37"/>
      <c r="X21" s="34"/>
      <c r="Y21" s="33"/>
      <c r="Z21" s="33"/>
      <c r="AA21" s="33"/>
      <c r="AB21" s="35"/>
      <c r="AC21" s="34"/>
      <c r="AD21" s="34"/>
      <c r="AE21" s="34"/>
      <c r="AF21" s="34"/>
      <c r="AG21" s="34"/>
      <c r="AH21" s="33"/>
      <c r="AI21" s="33"/>
      <c r="AJ21" s="34"/>
      <c r="AK21" s="33"/>
      <c r="AL21" s="33"/>
      <c r="AM21" s="33"/>
      <c r="AN21" s="34"/>
      <c r="AO21" s="34"/>
      <c r="AP21" s="33"/>
      <c r="AQ21" s="34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4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5"/>
      <c r="CC21" s="33"/>
      <c r="CD21" s="33"/>
      <c r="CE21" s="33"/>
      <c r="CF21" s="34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4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4"/>
      <c r="DN21" s="34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8"/>
    </row>
    <row r="22" spans="2:137" ht="13.2">
      <c r="B22" s="30" t="str">
        <f t="shared" si="2"/>
        <v>2022/4</v>
      </c>
      <c r="C22" s="31">
        <f t="shared" si="3"/>
        <v>150</v>
      </c>
      <c r="D22" s="32">
        <v>44677</v>
      </c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3"/>
      <c r="R22" s="33"/>
      <c r="S22" s="33"/>
      <c r="T22" s="33"/>
      <c r="U22" s="35"/>
      <c r="V22" s="36"/>
      <c r="W22" s="37"/>
      <c r="X22" s="34"/>
      <c r="Y22" s="33"/>
      <c r="Z22" s="33"/>
      <c r="AA22" s="33"/>
      <c r="AB22" s="35"/>
      <c r="AC22" s="34"/>
      <c r="AD22" s="34"/>
      <c r="AE22" s="34"/>
      <c r="AF22" s="34"/>
      <c r="AG22" s="34"/>
      <c r="AH22" s="33"/>
      <c r="AI22" s="33"/>
      <c r="AJ22" s="34"/>
      <c r="AK22" s="33"/>
      <c r="AL22" s="33"/>
      <c r="AM22" s="33"/>
      <c r="AN22" s="34"/>
      <c r="AO22" s="34"/>
      <c r="AP22" s="33"/>
      <c r="AQ22" s="34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4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5"/>
      <c r="CC22" s="33"/>
      <c r="CD22" s="33"/>
      <c r="CE22" s="33"/>
      <c r="CF22" s="34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4">
        <v>150</v>
      </c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4"/>
      <c r="DN22" s="34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8"/>
    </row>
    <row r="23" spans="2:137" ht="13.2">
      <c r="B23" s="30" t="str">
        <f t="shared" si="2"/>
        <v>2022/4</v>
      </c>
      <c r="C23" s="31">
        <f t="shared" si="3"/>
        <v>150</v>
      </c>
      <c r="D23" s="32">
        <v>44679</v>
      </c>
      <c r="E23" s="33"/>
      <c r="F23" s="34"/>
      <c r="G23" s="34" t="s">
        <v>205</v>
      </c>
      <c r="H23" s="34"/>
      <c r="I23" s="34"/>
      <c r="J23" s="34"/>
      <c r="K23" s="34"/>
      <c r="L23" s="34"/>
      <c r="M23" s="34"/>
      <c r="N23" s="34"/>
      <c r="O23" s="34"/>
      <c r="P23" s="34"/>
      <c r="Q23" s="33"/>
      <c r="R23" s="33"/>
      <c r="S23" s="33"/>
      <c r="T23" s="33"/>
      <c r="U23" s="35"/>
      <c r="V23" s="36"/>
      <c r="W23" s="37"/>
      <c r="X23" s="34"/>
      <c r="Y23" s="33"/>
      <c r="Z23" s="33"/>
      <c r="AA23" s="33"/>
      <c r="AB23" s="35"/>
      <c r="AC23" s="34"/>
      <c r="AD23" s="34"/>
      <c r="AE23" s="34"/>
      <c r="AF23" s="34"/>
      <c r="AG23" s="34"/>
      <c r="AH23" s="33"/>
      <c r="AI23" s="33"/>
      <c r="AJ23" s="34"/>
      <c r="AK23" s="33"/>
      <c r="AL23" s="33"/>
      <c r="AM23" s="33"/>
      <c r="AN23" s="34"/>
      <c r="AO23" s="34"/>
      <c r="AP23" s="33"/>
      <c r="AQ23" s="34">
        <v>150</v>
      </c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4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5"/>
      <c r="CC23" s="33"/>
      <c r="CD23" s="33"/>
      <c r="CE23" s="33"/>
      <c r="CF23" s="34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4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4"/>
      <c r="DN23" s="34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8"/>
    </row>
    <row r="24" spans="2:137" ht="13.2">
      <c r="B24" s="30" t="str">
        <f t="shared" si="2"/>
        <v>2022/5</v>
      </c>
      <c r="C24" s="31">
        <f t="shared" si="3"/>
        <v>200</v>
      </c>
      <c r="D24" s="32">
        <v>44683</v>
      </c>
      <c r="E24" s="33"/>
      <c r="F24" s="34">
        <v>50</v>
      </c>
      <c r="G24" s="34">
        <v>150</v>
      </c>
      <c r="H24" s="34"/>
      <c r="I24" s="34"/>
      <c r="J24" s="34"/>
      <c r="K24" s="34"/>
      <c r="L24" s="34"/>
      <c r="M24" s="34"/>
      <c r="N24" s="34"/>
      <c r="O24" s="34"/>
      <c r="P24" s="34"/>
      <c r="Q24" s="33"/>
      <c r="R24" s="33"/>
      <c r="S24" s="33"/>
      <c r="T24" s="33"/>
      <c r="U24" s="35"/>
      <c r="V24" s="36"/>
      <c r="W24" s="37"/>
      <c r="X24" s="34"/>
      <c r="Y24" s="33"/>
      <c r="Z24" s="33"/>
      <c r="AA24" s="33"/>
      <c r="AB24" s="35"/>
      <c r="AC24" s="34"/>
      <c r="AD24" s="34"/>
      <c r="AE24" s="34"/>
      <c r="AF24" s="34"/>
      <c r="AG24" s="34"/>
      <c r="AH24" s="33"/>
      <c r="AI24" s="33"/>
      <c r="AJ24" s="34"/>
      <c r="AK24" s="33"/>
      <c r="AL24" s="33"/>
      <c r="AM24" s="33"/>
      <c r="AN24" s="34"/>
      <c r="AO24" s="34"/>
      <c r="AP24" s="33"/>
      <c r="AQ24" s="34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4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5"/>
      <c r="CC24" s="33"/>
      <c r="CD24" s="33"/>
      <c r="CE24" s="33"/>
      <c r="CF24" s="34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4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4"/>
      <c r="DN24" s="34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8"/>
    </row>
    <row r="25" spans="2:137" ht="13.2">
      <c r="B25" s="30" t="str">
        <f t="shared" si="2"/>
        <v>2022/5</v>
      </c>
      <c r="C25" s="31">
        <f t="shared" si="3"/>
        <v>750</v>
      </c>
      <c r="D25" s="32">
        <v>44686</v>
      </c>
      <c r="E25" s="33"/>
      <c r="F25" s="34"/>
      <c r="G25" s="34"/>
      <c r="H25" s="34"/>
      <c r="I25" s="34"/>
      <c r="J25" s="34"/>
      <c r="K25" s="34"/>
      <c r="L25" s="34"/>
      <c r="M25" s="34"/>
      <c r="N25" s="34">
        <v>300</v>
      </c>
      <c r="O25" s="34"/>
      <c r="P25" s="34"/>
      <c r="Q25" s="33"/>
      <c r="R25" s="33"/>
      <c r="S25" s="33"/>
      <c r="T25" s="33"/>
      <c r="U25" s="35"/>
      <c r="V25" s="36"/>
      <c r="W25" s="37"/>
      <c r="X25" s="34"/>
      <c r="Y25" s="33"/>
      <c r="Z25" s="33"/>
      <c r="AA25" s="33"/>
      <c r="AB25" s="35"/>
      <c r="AC25" s="34"/>
      <c r="AD25" s="34"/>
      <c r="AE25" s="34"/>
      <c r="AF25" s="34">
        <v>450</v>
      </c>
      <c r="AG25" s="34"/>
      <c r="AH25" s="33"/>
      <c r="AI25" s="33"/>
      <c r="AJ25" s="34"/>
      <c r="AK25" s="33"/>
      <c r="AL25" s="33"/>
      <c r="AM25" s="33"/>
      <c r="AN25" s="34"/>
      <c r="AO25" s="34"/>
      <c r="AP25" s="33"/>
      <c r="AQ25" s="34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4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5"/>
      <c r="CC25" s="33"/>
      <c r="CD25" s="33"/>
      <c r="CE25" s="33"/>
      <c r="CF25" s="34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4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4"/>
      <c r="DN25" s="34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8"/>
    </row>
    <row r="26" spans="2:137" ht="13.2">
      <c r="B26" s="30" t="str">
        <f t="shared" si="2"/>
        <v>2022/5</v>
      </c>
      <c r="C26" s="31" t="str">
        <f t="shared" si="3"/>
        <v/>
      </c>
      <c r="D26" s="32">
        <v>44687</v>
      </c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3"/>
      <c r="R26" s="33"/>
      <c r="S26" s="33"/>
      <c r="T26" s="33"/>
      <c r="U26" s="35"/>
      <c r="V26" s="36"/>
      <c r="W26" s="37"/>
      <c r="X26" s="34"/>
      <c r="Y26" s="33"/>
      <c r="Z26" s="33"/>
      <c r="AA26" s="33"/>
      <c r="AB26" s="35"/>
      <c r="AC26" s="34"/>
      <c r="AD26" s="34"/>
      <c r="AE26" s="34"/>
      <c r="AF26" s="34"/>
      <c r="AG26" s="34"/>
      <c r="AH26" s="33"/>
      <c r="AI26" s="33"/>
      <c r="AJ26" s="34"/>
      <c r="AK26" s="33"/>
      <c r="AL26" s="33"/>
      <c r="AM26" s="33"/>
      <c r="AN26" s="34"/>
      <c r="AO26" s="34"/>
      <c r="AP26" s="33"/>
      <c r="AQ26" s="34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4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5"/>
      <c r="CC26" s="33"/>
      <c r="CD26" s="33"/>
      <c r="CE26" s="33"/>
      <c r="CF26" s="34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4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4"/>
      <c r="DN26" s="34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8"/>
    </row>
    <row r="27" spans="2:137" ht="13.2">
      <c r="B27" s="30" t="str">
        <f t="shared" si="2"/>
        <v>2022/5</v>
      </c>
      <c r="C27" s="31">
        <f t="shared" si="3"/>
        <v>300</v>
      </c>
      <c r="D27" s="32">
        <v>44690</v>
      </c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3"/>
      <c r="R27" s="33"/>
      <c r="S27" s="33"/>
      <c r="T27" s="33"/>
      <c r="U27" s="35"/>
      <c r="V27" s="36"/>
      <c r="W27" s="37"/>
      <c r="X27" s="34"/>
      <c r="Y27" s="33"/>
      <c r="Z27" s="33"/>
      <c r="AA27" s="33"/>
      <c r="AB27" s="35"/>
      <c r="AC27" s="34"/>
      <c r="AD27" s="34"/>
      <c r="AE27" s="34"/>
      <c r="AF27" s="34"/>
      <c r="AG27" s="34"/>
      <c r="AH27" s="33"/>
      <c r="AI27" s="33"/>
      <c r="AJ27" s="34"/>
      <c r="AK27" s="33"/>
      <c r="AL27" s="33"/>
      <c r="AM27" s="33"/>
      <c r="AN27" s="34"/>
      <c r="AO27" s="34"/>
      <c r="AP27" s="33"/>
      <c r="AQ27" s="34">
        <v>150</v>
      </c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4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5"/>
      <c r="CC27" s="33"/>
      <c r="CD27" s="33"/>
      <c r="CE27" s="33"/>
      <c r="CF27" s="34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4">
        <v>150</v>
      </c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4"/>
      <c r="DN27" s="34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8"/>
    </row>
    <row r="28" spans="2:137" ht="13.2">
      <c r="B28" s="30" t="str">
        <f t="shared" si="2"/>
        <v>2022/5</v>
      </c>
      <c r="C28" s="31">
        <f t="shared" si="3"/>
        <v>300</v>
      </c>
      <c r="D28" s="32">
        <v>44693</v>
      </c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3"/>
      <c r="R28" s="33"/>
      <c r="S28" s="33"/>
      <c r="T28" s="33"/>
      <c r="U28" s="35"/>
      <c r="V28" s="36"/>
      <c r="W28" s="37"/>
      <c r="X28" s="34"/>
      <c r="Y28" s="33"/>
      <c r="Z28" s="33"/>
      <c r="AA28" s="33"/>
      <c r="AB28" s="35"/>
      <c r="AC28" s="34"/>
      <c r="AD28" s="34"/>
      <c r="AE28" s="34"/>
      <c r="AF28" s="34"/>
      <c r="AG28" s="34"/>
      <c r="AH28" s="33"/>
      <c r="AI28" s="33"/>
      <c r="AJ28" s="34">
        <v>300</v>
      </c>
      <c r="AK28" s="33"/>
      <c r="AL28" s="33"/>
      <c r="AM28" s="33"/>
      <c r="AN28" s="34"/>
      <c r="AO28" s="34"/>
      <c r="AP28" s="33"/>
      <c r="AQ28" s="34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4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5"/>
      <c r="CC28" s="33"/>
      <c r="CD28" s="33"/>
      <c r="CE28" s="33"/>
      <c r="CF28" s="34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4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4"/>
      <c r="DN28" s="34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8"/>
    </row>
    <row r="29" spans="2:137" ht="13.2">
      <c r="B29" s="30" t="str">
        <f t="shared" si="2"/>
        <v>2022/5</v>
      </c>
      <c r="C29" s="31">
        <f t="shared" si="3"/>
        <v>150</v>
      </c>
      <c r="D29" s="32">
        <v>44694</v>
      </c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3"/>
      <c r="R29" s="33"/>
      <c r="S29" s="33"/>
      <c r="T29" s="33"/>
      <c r="U29" s="35"/>
      <c r="V29" s="36"/>
      <c r="W29" s="37"/>
      <c r="X29" s="34"/>
      <c r="Y29" s="33"/>
      <c r="Z29" s="33"/>
      <c r="AA29" s="33"/>
      <c r="AB29" s="35"/>
      <c r="AC29" s="34"/>
      <c r="AD29" s="34"/>
      <c r="AE29" s="34"/>
      <c r="AF29" s="34"/>
      <c r="AG29" s="34"/>
      <c r="AH29" s="33"/>
      <c r="AI29" s="33"/>
      <c r="AJ29" s="34"/>
      <c r="AK29" s="33"/>
      <c r="AL29" s="33"/>
      <c r="AM29" s="33"/>
      <c r="AN29" s="34"/>
      <c r="AO29" s="34"/>
      <c r="AP29" s="33"/>
      <c r="AQ29" s="34">
        <v>150</v>
      </c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4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5"/>
      <c r="CC29" s="33"/>
      <c r="CD29" s="33"/>
      <c r="CE29" s="33"/>
      <c r="CF29" s="34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4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4"/>
      <c r="DN29" s="34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8"/>
    </row>
    <row r="30" spans="2:137" ht="13.2">
      <c r="B30" s="30" t="str">
        <f t="shared" si="2"/>
        <v>2022/5</v>
      </c>
      <c r="C30" s="31">
        <f t="shared" si="3"/>
        <v>150</v>
      </c>
      <c r="D30" s="32">
        <v>44697</v>
      </c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3"/>
      <c r="R30" s="33"/>
      <c r="S30" s="33"/>
      <c r="T30" s="33"/>
      <c r="U30" s="35"/>
      <c r="V30" s="36"/>
      <c r="W30" s="37"/>
      <c r="X30" s="34"/>
      <c r="Y30" s="33"/>
      <c r="Z30" s="33"/>
      <c r="AA30" s="33"/>
      <c r="AB30" s="35"/>
      <c r="AC30" s="34"/>
      <c r="AD30" s="34"/>
      <c r="AE30" s="34"/>
      <c r="AF30" s="34"/>
      <c r="AG30" s="34"/>
      <c r="AH30" s="33"/>
      <c r="AI30" s="33"/>
      <c r="AJ30" s="34"/>
      <c r="AK30" s="33"/>
      <c r="AL30" s="33"/>
      <c r="AM30" s="33"/>
      <c r="AN30" s="34"/>
      <c r="AO30" s="34"/>
      <c r="AP30" s="33"/>
      <c r="AQ30" s="34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4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5"/>
      <c r="CC30" s="33"/>
      <c r="CD30" s="33"/>
      <c r="CE30" s="33"/>
      <c r="CF30" s="34">
        <v>150</v>
      </c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4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4"/>
      <c r="DN30" s="34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8"/>
    </row>
    <row r="31" spans="2:137" ht="13.2">
      <c r="B31" s="30" t="str">
        <f t="shared" si="2"/>
        <v>2022/5</v>
      </c>
      <c r="C31" s="31" t="str">
        <f t="shared" si="3"/>
        <v/>
      </c>
      <c r="D31" s="32">
        <v>44700</v>
      </c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3"/>
      <c r="R31" s="33"/>
      <c r="S31" s="33"/>
      <c r="T31" s="33"/>
      <c r="U31" s="35"/>
      <c r="V31" s="36"/>
      <c r="W31" s="37"/>
      <c r="X31" s="34"/>
      <c r="Y31" s="33"/>
      <c r="Z31" s="33"/>
      <c r="AA31" s="33"/>
      <c r="AB31" s="35"/>
      <c r="AC31" s="34"/>
      <c r="AD31" s="34"/>
      <c r="AE31" s="34"/>
      <c r="AF31" s="34"/>
      <c r="AG31" s="34"/>
      <c r="AH31" s="33"/>
      <c r="AI31" s="33"/>
      <c r="AJ31" s="34"/>
      <c r="AK31" s="33"/>
      <c r="AL31" s="33"/>
      <c r="AM31" s="33"/>
      <c r="AN31" s="34"/>
      <c r="AO31" s="34"/>
      <c r="AP31" s="33"/>
      <c r="AQ31" s="34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4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5"/>
      <c r="CC31" s="33"/>
      <c r="CD31" s="33"/>
      <c r="CE31" s="33"/>
      <c r="CF31" s="34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4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4"/>
      <c r="DN31" s="34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8"/>
    </row>
    <row r="32" spans="2:137" ht="13.2">
      <c r="B32" s="30" t="str">
        <f t="shared" si="2"/>
        <v>2022/5</v>
      </c>
      <c r="C32" s="31">
        <f t="shared" si="3"/>
        <v>750</v>
      </c>
      <c r="D32" s="32">
        <v>44707</v>
      </c>
      <c r="E32" s="33"/>
      <c r="F32" s="34"/>
      <c r="G32" s="34"/>
      <c r="H32" s="34"/>
      <c r="I32" s="34">
        <v>150</v>
      </c>
      <c r="J32" s="34"/>
      <c r="K32" s="34"/>
      <c r="L32" s="34"/>
      <c r="M32" s="34"/>
      <c r="N32" s="34"/>
      <c r="O32" s="34"/>
      <c r="P32" s="34"/>
      <c r="Q32" s="33"/>
      <c r="R32" s="33"/>
      <c r="S32" s="33"/>
      <c r="T32" s="33"/>
      <c r="U32" s="35"/>
      <c r="V32" s="36"/>
      <c r="W32" s="37"/>
      <c r="X32" s="34"/>
      <c r="Y32" s="33"/>
      <c r="Z32" s="33"/>
      <c r="AA32" s="33"/>
      <c r="AB32" s="35"/>
      <c r="AC32" s="34"/>
      <c r="AD32" s="34"/>
      <c r="AE32" s="34"/>
      <c r="AF32" s="34"/>
      <c r="AG32" s="34"/>
      <c r="AH32" s="33"/>
      <c r="AI32" s="33"/>
      <c r="AJ32" s="34"/>
      <c r="AK32" s="33"/>
      <c r="AL32" s="33"/>
      <c r="AM32" s="33"/>
      <c r="AN32" s="34">
        <v>150</v>
      </c>
      <c r="AO32" s="34"/>
      <c r="AP32" s="33"/>
      <c r="AQ32" s="34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4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5"/>
      <c r="CC32" s="33"/>
      <c r="CD32" s="33"/>
      <c r="CE32" s="33"/>
      <c r="CF32" s="34">
        <v>450</v>
      </c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4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4"/>
      <c r="DN32" s="34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8"/>
    </row>
    <row r="33" spans="2:137" ht="13.2">
      <c r="B33" s="30" t="str">
        <f t="shared" si="2"/>
        <v>2022/5</v>
      </c>
      <c r="C33" s="31">
        <f t="shared" si="3"/>
        <v>300</v>
      </c>
      <c r="D33" s="32">
        <v>44708</v>
      </c>
      <c r="E33" s="33"/>
      <c r="F33" s="34"/>
      <c r="G33" s="34"/>
      <c r="H33" s="34"/>
      <c r="I33" s="34"/>
      <c r="J33" s="34"/>
      <c r="K33" s="34"/>
      <c r="L33" s="34"/>
      <c r="M33" s="34"/>
      <c r="N33" s="34">
        <v>150</v>
      </c>
      <c r="O33" s="34"/>
      <c r="P33" s="34"/>
      <c r="Q33" s="33"/>
      <c r="R33" s="33"/>
      <c r="S33" s="33"/>
      <c r="T33" s="33"/>
      <c r="U33" s="35"/>
      <c r="V33" s="36"/>
      <c r="W33" s="37"/>
      <c r="X33" s="34"/>
      <c r="Y33" s="33"/>
      <c r="Z33" s="33"/>
      <c r="AA33" s="33"/>
      <c r="AB33" s="35"/>
      <c r="AC33" s="34"/>
      <c r="AD33" s="34"/>
      <c r="AE33" s="34"/>
      <c r="AF33" s="34"/>
      <c r="AG33" s="34"/>
      <c r="AH33" s="33"/>
      <c r="AI33" s="33"/>
      <c r="AJ33" s="34"/>
      <c r="AK33" s="33"/>
      <c r="AL33" s="33"/>
      <c r="AM33" s="33"/>
      <c r="AN33" s="34"/>
      <c r="AO33" s="34"/>
      <c r="AP33" s="33"/>
      <c r="AQ33" s="34">
        <v>150</v>
      </c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4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5"/>
      <c r="CC33" s="33"/>
      <c r="CD33" s="33"/>
      <c r="CE33" s="33"/>
      <c r="CF33" s="34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4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4"/>
      <c r="DN33" s="34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8"/>
    </row>
    <row r="34" spans="2:137" ht="13.2">
      <c r="B34" s="30" t="str">
        <f t="shared" si="2"/>
        <v>2022/5</v>
      </c>
      <c r="C34" s="31">
        <f t="shared" si="3"/>
        <v>150</v>
      </c>
      <c r="D34" s="32">
        <v>44711</v>
      </c>
      <c r="E34" s="33"/>
      <c r="F34" s="34"/>
      <c r="G34" s="34"/>
      <c r="H34" s="34"/>
      <c r="I34" s="34"/>
      <c r="J34" s="34">
        <v>150</v>
      </c>
      <c r="K34" s="34"/>
      <c r="L34" s="34"/>
      <c r="M34" s="34"/>
      <c r="N34" s="34"/>
      <c r="O34" s="34"/>
      <c r="P34" s="34"/>
      <c r="Q34" s="33"/>
      <c r="R34" s="33"/>
      <c r="S34" s="33"/>
      <c r="T34" s="33"/>
      <c r="U34" s="35"/>
      <c r="V34" s="36"/>
      <c r="W34" s="37"/>
      <c r="X34" s="34"/>
      <c r="Y34" s="33"/>
      <c r="Z34" s="33"/>
      <c r="AA34" s="33"/>
      <c r="AB34" s="35"/>
      <c r="AC34" s="34"/>
      <c r="AD34" s="34"/>
      <c r="AE34" s="34"/>
      <c r="AF34" s="34"/>
      <c r="AG34" s="34"/>
      <c r="AH34" s="33"/>
      <c r="AI34" s="33"/>
      <c r="AJ34" s="34"/>
      <c r="AK34" s="33"/>
      <c r="AL34" s="33"/>
      <c r="AM34" s="33"/>
      <c r="AN34" s="34"/>
      <c r="AO34" s="34"/>
      <c r="AP34" s="33"/>
      <c r="AQ34" s="34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4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5"/>
      <c r="CC34" s="33"/>
      <c r="CD34" s="33"/>
      <c r="CE34" s="33"/>
      <c r="CF34" s="34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4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4"/>
      <c r="DN34" s="34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8"/>
    </row>
    <row r="35" spans="2:137" ht="13.2">
      <c r="B35" s="30" t="str">
        <f t="shared" si="2"/>
        <v>2022/5</v>
      </c>
      <c r="C35" s="31">
        <f t="shared" si="3"/>
        <v>300</v>
      </c>
      <c r="D35" s="32">
        <v>44712</v>
      </c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3"/>
      <c r="R35" s="33"/>
      <c r="S35" s="33"/>
      <c r="T35" s="33"/>
      <c r="U35" s="35"/>
      <c r="V35" s="36"/>
      <c r="W35" s="37"/>
      <c r="X35" s="34"/>
      <c r="Y35" s="33"/>
      <c r="Z35" s="33"/>
      <c r="AA35" s="33"/>
      <c r="AB35" s="35"/>
      <c r="AC35" s="34"/>
      <c r="AD35" s="34"/>
      <c r="AE35" s="34"/>
      <c r="AF35" s="34"/>
      <c r="AG35" s="34"/>
      <c r="AH35" s="33"/>
      <c r="AI35" s="33"/>
      <c r="AJ35" s="34"/>
      <c r="AK35" s="33"/>
      <c r="AL35" s="33"/>
      <c r="AM35" s="33"/>
      <c r="AN35" s="34">
        <v>150</v>
      </c>
      <c r="AO35" s="34"/>
      <c r="AP35" s="33"/>
      <c r="AQ35" s="34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4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5"/>
      <c r="CC35" s="33"/>
      <c r="CD35" s="33"/>
      <c r="CE35" s="33"/>
      <c r="CF35" s="34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4">
        <v>150</v>
      </c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4"/>
      <c r="DN35" s="34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8"/>
    </row>
    <row r="36" spans="2:137" ht="13.2">
      <c r="B36" s="30" t="str">
        <f t="shared" si="2"/>
        <v>2022/6</v>
      </c>
      <c r="C36" s="31">
        <f t="shared" si="3"/>
        <v>150</v>
      </c>
      <c r="D36" s="32">
        <v>44713</v>
      </c>
      <c r="E36" s="33"/>
      <c r="F36" s="34"/>
      <c r="G36" s="34"/>
      <c r="H36" s="34"/>
      <c r="I36" s="34"/>
      <c r="J36" s="34"/>
      <c r="K36" s="34">
        <v>150</v>
      </c>
      <c r="L36" s="34"/>
      <c r="M36" s="34"/>
      <c r="N36" s="34"/>
      <c r="O36" s="34"/>
      <c r="P36" s="34"/>
      <c r="Q36" s="33"/>
      <c r="R36" s="33"/>
      <c r="S36" s="33"/>
      <c r="T36" s="33"/>
      <c r="U36" s="35"/>
      <c r="V36" s="36"/>
      <c r="W36" s="37"/>
      <c r="X36" s="34"/>
      <c r="Y36" s="33"/>
      <c r="Z36" s="33"/>
      <c r="AA36" s="33"/>
      <c r="AB36" s="35"/>
      <c r="AC36" s="34"/>
      <c r="AD36" s="34"/>
      <c r="AE36" s="34"/>
      <c r="AF36" s="34"/>
      <c r="AG36" s="34"/>
      <c r="AH36" s="33"/>
      <c r="AI36" s="33"/>
      <c r="AJ36" s="34"/>
      <c r="AK36" s="33"/>
      <c r="AL36" s="33"/>
      <c r="AM36" s="33"/>
      <c r="AN36" s="34"/>
      <c r="AO36" s="34"/>
      <c r="AP36" s="33"/>
      <c r="AQ36" s="34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4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5"/>
      <c r="CC36" s="33"/>
      <c r="CD36" s="33"/>
      <c r="CE36" s="33"/>
      <c r="CF36" s="34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4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4"/>
      <c r="DN36" s="34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8"/>
    </row>
    <row r="37" spans="2:137" ht="13.2">
      <c r="B37" s="30" t="str">
        <f t="shared" si="2"/>
        <v>2022/6</v>
      </c>
      <c r="C37" s="31" t="str">
        <f t="shared" si="3"/>
        <v/>
      </c>
      <c r="D37" s="32">
        <v>44715</v>
      </c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3"/>
      <c r="R37" s="33"/>
      <c r="S37" s="33"/>
      <c r="T37" s="33"/>
      <c r="U37" s="35"/>
      <c r="V37" s="36"/>
      <c r="W37" s="37"/>
      <c r="X37" s="34"/>
      <c r="Y37" s="33"/>
      <c r="Z37" s="33"/>
      <c r="AA37" s="33"/>
      <c r="AB37" s="35"/>
      <c r="AC37" s="34"/>
      <c r="AD37" s="34"/>
      <c r="AE37" s="34"/>
      <c r="AF37" s="34"/>
      <c r="AG37" s="34"/>
      <c r="AH37" s="33"/>
      <c r="AI37" s="33"/>
      <c r="AJ37" s="34"/>
      <c r="AK37" s="33"/>
      <c r="AL37" s="33"/>
      <c r="AM37" s="33"/>
      <c r="AN37" s="34"/>
      <c r="AO37" s="34"/>
      <c r="AP37" s="33"/>
      <c r="AQ37" s="34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4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5"/>
      <c r="CC37" s="33"/>
      <c r="CD37" s="33"/>
      <c r="CE37" s="33"/>
      <c r="CF37" s="34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4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4"/>
      <c r="DN37" s="34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8"/>
    </row>
    <row r="38" spans="2:137" ht="13.2">
      <c r="B38" s="30" t="str">
        <f t="shared" si="2"/>
        <v>2022/6</v>
      </c>
      <c r="C38" s="31">
        <f t="shared" si="3"/>
        <v>150</v>
      </c>
      <c r="D38" s="32">
        <v>44718</v>
      </c>
      <c r="E38" s="33"/>
      <c r="F38" s="34"/>
      <c r="G38" s="34"/>
      <c r="H38" s="34"/>
      <c r="I38" s="34"/>
      <c r="J38" s="34"/>
      <c r="K38" s="34"/>
      <c r="L38" s="34">
        <v>150</v>
      </c>
      <c r="M38" s="34"/>
      <c r="N38" s="34"/>
      <c r="O38" s="34"/>
      <c r="P38" s="34"/>
      <c r="Q38" s="33"/>
      <c r="R38" s="33"/>
      <c r="S38" s="33"/>
      <c r="T38" s="33"/>
      <c r="U38" s="35"/>
      <c r="V38" s="36"/>
      <c r="W38" s="37"/>
      <c r="X38" s="34"/>
      <c r="Y38" s="33"/>
      <c r="Z38" s="33"/>
      <c r="AA38" s="33"/>
      <c r="AB38" s="35"/>
      <c r="AC38" s="34"/>
      <c r="AD38" s="34"/>
      <c r="AE38" s="34"/>
      <c r="AF38" s="34"/>
      <c r="AG38" s="34"/>
      <c r="AH38" s="33"/>
      <c r="AI38" s="33"/>
      <c r="AJ38" s="34"/>
      <c r="AK38" s="33"/>
      <c r="AL38" s="33"/>
      <c r="AM38" s="33"/>
      <c r="AN38" s="34"/>
      <c r="AO38" s="34"/>
      <c r="AP38" s="33"/>
      <c r="AQ38" s="34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4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5"/>
      <c r="CC38" s="33"/>
      <c r="CD38" s="33"/>
      <c r="CE38" s="33"/>
      <c r="CF38" s="34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4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4"/>
      <c r="DN38" s="34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8"/>
    </row>
    <row r="39" spans="2:137" ht="13.2">
      <c r="B39" s="30" t="str">
        <f t="shared" si="2"/>
        <v>2022/6</v>
      </c>
      <c r="C39" s="31">
        <f t="shared" si="3"/>
        <v>600</v>
      </c>
      <c r="D39" s="32">
        <v>44719</v>
      </c>
      <c r="E39" s="33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3"/>
      <c r="R39" s="33"/>
      <c r="S39" s="33"/>
      <c r="T39" s="33"/>
      <c r="U39" s="35"/>
      <c r="V39" s="36"/>
      <c r="W39" s="37"/>
      <c r="X39" s="34"/>
      <c r="Y39" s="33"/>
      <c r="Z39" s="33"/>
      <c r="AA39" s="33"/>
      <c r="AB39" s="35"/>
      <c r="AC39" s="34"/>
      <c r="AD39" s="34"/>
      <c r="AE39" s="34"/>
      <c r="AF39" s="34">
        <v>600</v>
      </c>
      <c r="AG39" s="34"/>
      <c r="AH39" s="33"/>
      <c r="AI39" s="33"/>
      <c r="AJ39" s="34"/>
      <c r="AK39" s="33"/>
      <c r="AL39" s="33"/>
      <c r="AM39" s="33"/>
      <c r="AN39" s="34"/>
      <c r="AO39" s="34"/>
      <c r="AP39" s="33"/>
      <c r="AQ39" s="34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4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5"/>
      <c r="CC39" s="33"/>
      <c r="CD39" s="33"/>
      <c r="CE39" s="33"/>
      <c r="CF39" s="34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4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4"/>
      <c r="DN39" s="34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8"/>
    </row>
    <row r="40" spans="2:137" ht="13.2">
      <c r="B40" s="30" t="str">
        <f t="shared" si="2"/>
        <v>2022/6</v>
      </c>
      <c r="C40" s="31">
        <f t="shared" si="3"/>
        <v>600</v>
      </c>
      <c r="D40" s="32">
        <v>44721</v>
      </c>
      <c r="E40" s="33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3"/>
      <c r="R40" s="33"/>
      <c r="S40" s="33"/>
      <c r="T40" s="33"/>
      <c r="U40" s="35"/>
      <c r="V40" s="36"/>
      <c r="W40" s="37"/>
      <c r="X40" s="34"/>
      <c r="Y40" s="33"/>
      <c r="Z40" s="33"/>
      <c r="AA40" s="33"/>
      <c r="AB40" s="35"/>
      <c r="AC40" s="34"/>
      <c r="AD40" s="34"/>
      <c r="AE40" s="34"/>
      <c r="AF40" s="34"/>
      <c r="AG40" s="34"/>
      <c r="AH40" s="33"/>
      <c r="AI40" s="33"/>
      <c r="AJ40" s="34"/>
      <c r="AK40" s="33"/>
      <c r="AL40" s="33"/>
      <c r="AM40" s="33"/>
      <c r="AN40" s="34"/>
      <c r="AO40" s="34"/>
      <c r="AP40" s="33"/>
      <c r="AQ40" s="34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4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5"/>
      <c r="CC40" s="33"/>
      <c r="CD40" s="33"/>
      <c r="CE40" s="33"/>
      <c r="CF40" s="34">
        <v>600</v>
      </c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4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4"/>
      <c r="DN40" s="34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8"/>
    </row>
    <row r="41" spans="2:137" ht="13.2">
      <c r="B41" s="30" t="str">
        <f t="shared" si="2"/>
        <v>2022/6</v>
      </c>
      <c r="C41" s="31">
        <f t="shared" si="3"/>
        <v>450</v>
      </c>
      <c r="D41" s="32">
        <v>44722</v>
      </c>
      <c r="E41" s="33"/>
      <c r="F41" s="34"/>
      <c r="G41" s="34"/>
      <c r="H41" s="34"/>
      <c r="I41" s="34"/>
      <c r="J41" s="34"/>
      <c r="K41" s="34"/>
      <c r="L41" s="34"/>
      <c r="M41" s="34"/>
      <c r="N41" s="34">
        <v>150</v>
      </c>
      <c r="O41" s="34"/>
      <c r="P41" s="34"/>
      <c r="Q41" s="33"/>
      <c r="R41" s="33"/>
      <c r="S41" s="33"/>
      <c r="T41" s="33"/>
      <c r="U41" s="35"/>
      <c r="V41" s="36"/>
      <c r="W41" s="37"/>
      <c r="X41" s="34"/>
      <c r="Y41" s="33"/>
      <c r="Z41" s="33"/>
      <c r="AA41" s="33"/>
      <c r="AB41" s="35"/>
      <c r="AC41" s="34"/>
      <c r="AD41" s="34"/>
      <c r="AE41" s="34"/>
      <c r="AF41" s="34"/>
      <c r="AG41" s="34"/>
      <c r="AH41" s="33"/>
      <c r="AI41" s="33"/>
      <c r="AJ41" s="34"/>
      <c r="AK41" s="33"/>
      <c r="AL41" s="33"/>
      <c r="AM41" s="33"/>
      <c r="AN41" s="34">
        <v>150</v>
      </c>
      <c r="AO41" s="34"/>
      <c r="AP41" s="33"/>
      <c r="AQ41" s="34">
        <v>150</v>
      </c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4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5"/>
      <c r="CC41" s="33"/>
      <c r="CD41" s="33"/>
      <c r="CE41" s="33"/>
      <c r="CF41" s="34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4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4"/>
      <c r="DN41" s="34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8"/>
    </row>
    <row r="42" spans="2:137" ht="13.2">
      <c r="B42" s="30" t="str">
        <f t="shared" si="2"/>
        <v>2022/6</v>
      </c>
      <c r="C42" s="31">
        <f t="shared" si="3"/>
        <v>350</v>
      </c>
      <c r="D42" s="32">
        <v>44725</v>
      </c>
      <c r="E42" s="33"/>
      <c r="F42" s="34">
        <v>50</v>
      </c>
      <c r="G42" s="34">
        <v>150</v>
      </c>
      <c r="H42" s="34"/>
      <c r="I42" s="34"/>
      <c r="J42" s="34"/>
      <c r="K42" s="34"/>
      <c r="L42" s="34"/>
      <c r="M42" s="34"/>
      <c r="N42" s="34"/>
      <c r="O42" s="34"/>
      <c r="P42" s="34"/>
      <c r="Q42" s="33"/>
      <c r="R42" s="33"/>
      <c r="S42" s="33"/>
      <c r="T42" s="33"/>
      <c r="U42" s="35"/>
      <c r="V42" s="36"/>
      <c r="W42" s="37"/>
      <c r="X42" s="34"/>
      <c r="Y42" s="33"/>
      <c r="Z42" s="33"/>
      <c r="AA42" s="33"/>
      <c r="AB42" s="35"/>
      <c r="AC42" s="34"/>
      <c r="AD42" s="34"/>
      <c r="AE42" s="34"/>
      <c r="AF42" s="34"/>
      <c r="AG42" s="34"/>
      <c r="AH42" s="33"/>
      <c r="AI42" s="33"/>
      <c r="AJ42" s="34"/>
      <c r="AK42" s="33"/>
      <c r="AL42" s="33"/>
      <c r="AM42" s="33"/>
      <c r="AN42" s="34"/>
      <c r="AO42" s="34"/>
      <c r="AP42" s="33"/>
      <c r="AQ42" s="34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4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5"/>
      <c r="CC42" s="33"/>
      <c r="CD42" s="33"/>
      <c r="CE42" s="33"/>
      <c r="CF42" s="34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4">
        <v>150</v>
      </c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4"/>
      <c r="DN42" s="34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8"/>
    </row>
    <row r="43" spans="2:137" ht="13.2">
      <c r="B43" s="30" t="str">
        <f t="shared" si="2"/>
        <v>2022/6</v>
      </c>
      <c r="C43" s="31">
        <f t="shared" si="3"/>
        <v>300</v>
      </c>
      <c r="D43" s="32">
        <v>44726</v>
      </c>
      <c r="E43" s="33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3"/>
      <c r="R43" s="33"/>
      <c r="S43" s="33"/>
      <c r="T43" s="33"/>
      <c r="U43" s="35"/>
      <c r="V43" s="36"/>
      <c r="W43" s="37"/>
      <c r="X43" s="34"/>
      <c r="Y43" s="33"/>
      <c r="Z43" s="33"/>
      <c r="AA43" s="33"/>
      <c r="AB43" s="35"/>
      <c r="AC43" s="34"/>
      <c r="AD43" s="34"/>
      <c r="AE43" s="34"/>
      <c r="AF43" s="34"/>
      <c r="AG43" s="34"/>
      <c r="AH43" s="33"/>
      <c r="AI43" s="33"/>
      <c r="AJ43" s="34">
        <v>300</v>
      </c>
      <c r="AK43" s="33"/>
      <c r="AL43" s="33"/>
      <c r="AM43" s="33"/>
      <c r="AN43" s="34"/>
      <c r="AO43" s="34"/>
      <c r="AP43" s="33"/>
      <c r="AQ43" s="34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4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5"/>
      <c r="CC43" s="33"/>
      <c r="CD43" s="33"/>
      <c r="CE43" s="33"/>
      <c r="CF43" s="34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4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4"/>
      <c r="DN43" s="34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8"/>
    </row>
    <row r="44" spans="2:137" ht="13.2">
      <c r="B44" s="30" t="str">
        <f t="shared" si="2"/>
        <v>2022/6</v>
      </c>
      <c r="C44" s="31">
        <f t="shared" si="3"/>
        <v>150</v>
      </c>
      <c r="D44" s="32">
        <v>44729</v>
      </c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3"/>
      <c r="R44" s="33"/>
      <c r="S44" s="33"/>
      <c r="T44" s="33"/>
      <c r="U44" s="35"/>
      <c r="V44" s="36"/>
      <c r="W44" s="37"/>
      <c r="X44" s="34"/>
      <c r="Y44" s="33"/>
      <c r="Z44" s="33"/>
      <c r="AA44" s="33"/>
      <c r="AB44" s="35"/>
      <c r="AC44" s="34"/>
      <c r="AD44" s="34"/>
      <c r="AE44" s="34"/>
      <c r="AF44" s="34"/>
      <c r="AG44" s="34"/>
      <c r="AH44" s="33"/>
      <c r="AI44" s="33"/>
      <c r="AJ44" s="34"/>
      <c r="AK44" s="33"/>
      <c r="AL44" s="33"/>
      <c r="AM44" s="33"/>
      <c r="AN44" s="34">
        <v>150</v>
      </c>
      <c r="AO44" s="34"/>
      <c r="AP44" s="33"/>
      <c r="AQ44" s="34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4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5"/>
      <c r="CC44" s="33"/>
      <c r="CD44" s="33"/>
      <c r="CE44" s="33"/>
      <c r="CF44" s="34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4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4"/>
      <c r="DN44" s="34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8"/>
    </row>
    <row r="45" spans="2:137" ht="13.2">
      <c r="B45" s="30" t="str">
        <f t="shared" si="2"/>
        <v>2022/6</v>
      </c>
      <c r="C45" s="31">
        <f t="shared" si="3"/>
        <v>150</v>
      </c>
      <c r="D45" s="32">
        <v>44732</v>
      </c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3"/>
      <c r="R45" s="33"/>
      <c r="S45" s="33"/>
      <c r="T45" s="33"/>
      <c r="U45" s="35"/>
      <c r="V45" s="36"/>
      <c r="W45" s="37"/>
      <c r="X45" s="34"/>
      <c r="Y45" s="33"/>
      <c r="Z45" s="33"/>
      <c r="AA45" s="33"/>
      <c r="AB45" s="35"/>
      <c r="AC45" s="34"/>
      <c r="AD45" s="34"/>
      <c r="AE45" s="34"/>
      <c r="AF45" s="34"/>
      <c r="AG45" s="34"/>
      <c r="AH45" s="33"/>
      <c r="AI45" s="33"/>
      <c r="AJ45" s="34"/>
      <c r="AK45" s="33"/>
      <c r="AL45" s="33"/>
      <c r="AM45" s="33"/>
      <c r="AN45" s="34"/>
      <c r="AO45" s="34"/>
      <c r="AP45" s="33"/>
      <c r="AQ45" s="34">
        <v>150</v>
      </c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4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5"/>
      <c r="CC45" s="33"/>
      <c r="CD45" s="33"/>
      <c r="CE45" s="33"/>
      <c r="CF45" s="34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4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4"/>
      <c r="DN45" s="34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8"/>
    </row>
    <row r="46" spans="2:137" ht="13.2">
      <c r="B46" s="30" t="str">
        <f t="shared" si="2"/>
        <v>2022/6</v>
      </c>
      <c r="C46" s="31">
        <f t="shared" si="3"/>
        <v>150</v>
      </c>
      <c r="D46" s="32">
        <v>44734</v>
      </c>
      <c r="E46" s="33"/>
      <c r="F46" s="34"/>
      <c r="G46" s="34"/>
      <c r="H46" s="34"/>
      <c r="I46" s="34"/>
      <c r="J46" s="34"/>
      <c r="K46" s="34"/>
      <c r="L46" s="34"/>
      <c r="M46" s="34"/>
      <c r="N46" s="34"/>
      <c r="O46" s="34">
        <v>150</v>
      </c>
      <c r="P46" s="34"/>
      <c r="Q46" s="33"/>
      <c r="R46" s="33"/>
      <c r="S46" s="33"/>
      <c r="T46" s="33"/>
      <c r="U46" s="35"/>
      <c r="V46" s="36"/>
      <c r="W46" s="37"/>
      <c r="X46" s="34"/>
      <c r="Y46" s="33"/>
      <c r="Z46" s="33"/>
      <c r="AA46" s="33"/>
      <c r="AB46" s="35"/>
      <c r="AC46" s="34"/>
      <c r="AD46" s="34"/>
      <c r="AE46" s="34"/>
      <c r="AF46" s="34"/>
      <c r="AG46" s="34"/>
      <c r="AH46" s="33"/>
      <c r="AI46" s="33"/>
      <c r="AJ46" s="34"/>
      <c r="AK46" s="33"/>
      <c r="AL46" s="33"/>
      <c r="AM46" s="33"/>
      <c r="AN46" s="34"/>
      <c r="AO46" s="34"/>
      <c r="AP46" s="33"/>
      <c r="AQ46" s="34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4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5"/>
      <c r="CC46" s="33"/>
      <c r="CD46" s="33"/>
      <c r="CE46" s="33"/>
      <c r="CF46" s="34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4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4"/>
      <c r="DN46" s="34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8"/>
    </row>
    <row r="47" spans="2:137" ht="13.2">
      <c r="B47" s="30" t="str">
        <f t="shared" si="2"/>
        <v>2022/6</v>
      </c>
      <c r="C47" s="31">
        <f t="shared" si="3"/>
        <v>750</v>
      </c>
      <c r="D47" s="32">
        <v>44735</v>
      </c>
      <c r="E47" s="33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3"/>
      <c r="R47" s="33"/>
      <c r="S47" s="33"/>
      <c r="T47" s="33"/>
      <c r="U47" s="35"/>
      <c r="V47" s="36"/>
      <c r="W47" s="37"/>
      <c r="X47" s="34"/>
      <c r="Y47" s="33"/>
      <c r="Z47" s="33"/>
      <c r="AA47" s="33"/>
      <c r="AB47" s="35"/>
      <c r="AC47" s="34"/>
      <c r="AD47" s="34"/>
      <c r="AE47" s="34"/>
      <c r="AF47" s="34"/>
      <c r="AG47" s="34"/>
      <c r="AH47" s="33"/>
      <c r="AI47" s="33"/>
      <c r="AJ47" s="34"/>
      <c r="AK47" s="33"/>
      <c r="AL47" s="33"/>
      <c r="AM47" s="33"/>
      <c r="AN47" s="34">
        <v>150</v>
      </c>
      <c r="AO47" s="34"/>
      <c r="AP47" s="33"/>
      <c r="AQ47" s="34">
        <v>150</v>
      </c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4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5"/>
      <c r="CC47" s="33"/>
      <c r="CD47" s="33"/>
      <c r="CE47" s="33"/>
      <c r="CF47" s="34">
        <v>450</v>
      </c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4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4"/>
      <c r="DN47" s="34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8"/>
    </row>
    <row r="48" spans="2:137" ht="13.2">
      <c r="B48" s="30" t="str">
        <f t="shared" si="2"/>
        <v>2022/6</v>
      </c>
      <c r="C48" s="31">
        <f t="shared" si="3"/>
        <v>150</v>
      </c>
      <c r="D48" s="32">
        <v>44739</v>
      </c>
      <c r="E48" s="33"/>
      <c r="F48" s="34"/>
      <c r="G48" s="34"/>
      <c r="H48" s="34"/>
      <c r="I48" s="34"/>
      <c r="J48" s="34"/>
      <c r="K48" s="34"/>
      <c r="L48" s="34"/>
      <c r="M48" s="34"/>
      <c r="N48" s="34"/>
      <c r="O48" s="34">
        <v>150</v>
      </c>
      <c r="P48" s="34"/>
      <c r="Q48" s="33"/>
      <c r="R48" s="33"/>
      <c r="S48" s="33"/>
      <c r="T48" s="33"/>
      <c r="U48" s="35"/>
      <c r="V48" s="36"/>
      <c r="W48" s="37"/>
      <c r="X48" s="34"/>
      <c r="Y48" s="33"/>
      <c r="Z48" s="33"/>
      <c r="AA48" s="33"/>
      <c r="AB48" s="35"/>
      <c r="AC48" s="34"/>
      <c r="AD48" s="34"/>
      <c r="AE48" s="34"/>
      <c r="AF48" s="34"/>
      <c r="AG48" s="34"/>
      <c r="AH48" s="33"/>
      <c r="AI48" s="33"/>
      <c r="AJ48" s="34"/>
      <c r="AK48" s="33"/>
      <c r="AL48" s="33"/>
      <c r="AM48" s="33"/>
      <c r="AN48" s="34"/>
      <c r="AO48" s="34"/>
      <c r="AP48" s="33"/>
      <c r="AQ48" s="34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4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5"/>
      <c r="CC48" s="33"/>
      <c r="CD48" s="33"/>
      <c r="CE48" s="33"/>
      <c r="CF48" s="34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4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4"/>
      <c r="DN48" s="34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8"/>
    </row>
    <row r="49" spans="2:137" ht="13.2">
      <c r="B49" s="30" t="str">
        <f t="shared" si="2"/>
        <v>2022/6</v>
      </c>
      <c r="C49" s="31">
        <f t="shared" si="3"/>
        <v>300</v>
      </c>
      <c r="D49" s="32">
        <v>44742</v>
      </c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3"/>
      <c r="R49" s="33"/>
      <c r="S49" s="33"/>
      <c r="T49" s="33"/>
      <c r="U49" s="35"/>
      <c r="V49" s="36"/>
      <c r="W49" s="37"/>
      <c r="X49" s="34"/>
      <c r="Y49" s="33"/>
      <c r="Z49" s="33"/>
      <c r="AA49" s="33"/>
      <c r="AB49" s="35"/>
      <c r="AC49" s="34"/>
      <c r="AD49" s="34"/>
      <c r="AE49" s="34"/>
      <c r="AF49" s="34"/>
      <c r="AG49" s="34"/>
      <c r="AH49" s="33"/>
      <c r="AI49" s="33"/>
      <c r="AJ49" s="34"/>
      <c r="AK49" s="33"/>
      <c r="AL49" s="33"/>
      <c r="AM49" s="33"/>
      <c r="AN49" s="34">
        <v>150</v>
      </c>
      <c r="AO49" s="34"/>
      <c r="AP49" s="33"/>
      <c r="AQ49" s="34">
        <v>150</v>
      </c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4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5"/>
      <c r="CC49" s="33"/>
      <c r="CD49" s="33"/>
      <c r="CE49" s="33"/>
      <c r="CF49" s="34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4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4"/>
      <c r="DN49" s="34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8"/>
    </row>
    <row r="50" spans="2:137" ht="13.2">
      <c r="B50" s="30" t="str">
        <f t="shared" si="2"/>
        <v>2022/7</v>
      </c>
      <c r="C50" s="31">
        <f t="shared" si="3"/>
        <v>150</v>
      </c>
      <c r="D50" s="32">
        <v>44748</v>
      </c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>
        <v>150</v>
      </c>
      <c r="P50" s="34"/>
      <c r="Q50" s="33"/>
      <c r="R50" s="33"/>
      <c r="S50" s="33"/>
      <c r="T50" s="33"/>
      <c r="U50" s="35"/>
      <c r="V50" s="36"/>
      <c r="W50" s="37"/>
      <c r="X50" s="34"/>
      <c r="Y50" s="33"/>
      <c r="Z50" s="33"/>
      <c r="AA50" s="33"/>
      <c r="AB50" s="35"/>
      <c r="AC50" s="34"/>
      <c r="AD50" s="34"/>
      <c r="AE50" s="34"/>
      <c r="AF50" s="34"/>
      <c r="AG50" s="34"/>
      <c r="AH50" s="33"/>
      <c r="AI50" s="33"/>
      <c r="AJ50" s="34"/>
      <c r="AK50" s="33"/>
      <c r="AL50" s="33"/>
      <c r="AM50" s="33"/>
      <c r="AN50" s="34"/>
      <c r="AO50" s="34"/>
      <c r="AP50" s="33"/>
      <c r="AQ50" s="34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4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5"/>
      <c r="CC50" s="33"/>
      <c r="CD50" s="33"/>
      <c r="CE50" s="33"/>
      <c r="CF50" s="34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4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4"/>
      <c r="DN50" s="34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8"/>
    </row>
    <row r="51" spans="2:137" ht="13.2">
      <c r="B51" s="30" t="str">
        <f t="shared" si="2"/>
        <v>2022/7</v>
      </c>
      <c r="C51" s="31">
        <f t="shared" si="3"/>
        <v>900</v>
      </c>
      <c r="D51" s="32">
        <v>44749</v>
      </c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3"/>
      <c r="R51" s="33"/>
      <c r="S51" s="33"/>
      <c r="T51" s="33"/>
      <c r="U51" s="35"/>
      <c r="V51" s="36"/>
      <c r="W51" s="37"/>
      <c r="X51" s="34"/>
      <c r="Y51" s="33"/>
      <c r="Z51" s="33"/>
      <c r="AA51" s="33"/>
      <c r="AB51" s="35"/>
      <c r="AC51" s="34"/>
      <c r="AD51" s="34"/>
      <c r="AE51" s="34"/>
      <c r="AF51" s="34">
        <v>600</v>
      </c>
      <c r="AG51" s="34"/>
      <c r="AH51" s="33"/>
      <c r="AI51" s="33"/>
      <c r="AJ51" s="34"/>
      <c r="AK51" s="33"/>
      <c r="AL51" s="33"/>
      <c r="AM51" s="33"/>
      <c r="AN51" s="34">
        <v>150</v>
      </c>
      <c r="AO51" s="34"/>
      <c r="AP51" s="33"/>
      <c r="AQ51" s="34">
        <v>150</v>
      </c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4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5"/>
      <c r="CC51" s="33"/>
      <c r="CD51" s="33"/>
      <c r="CE51" s="33"/>
      <c r="CF51" s="34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4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4"/>
      <c r="DN51" s="34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8"/>
    </row>
    <row r="52" spans="2:137" ht="13.2">
      <c r="B52" s="30" t="str">
        <f t="shared" si="2"/>
        <v>2022/7</v>
      </c>
      <c r="C52" s="31">
        <f t="shared" si="3"/>
        <v>600</v>
      </c>
      <c r="D52" s="32">
        <v>44750</v>
      </c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3"/>
      <c r="R52" s="33"/>
      <c r="S52" s="33"/>
      <c r="T52" s="33"/>
      <c r="U52" s="35"/>
      <c r="V52" s="36"/>
      <c r="W52" s="37"/>
      <c r="X52" s="34"/>
      <c r="Y52" s="33"/>
      <c r="Z52" s="33"/>
      <c r="AA52" s="33"/>
      <c r="AB52" s="35"/>
      <c r="AC52" s="34"/>
      <c r="AD52" s="34"/>
      <c r="AE52" s="34"/>
      <c r="AF52" s="34"/>
      <c r="AG52" s="34"/>
      <c r="AH52" s="33"/>
      <c r="AI52" s="33"/>
      <c r="AJ52" s="34"/>
      <c r="AK52" s="33"/>
      <c r="AL52" s="33"/>
      <c r="AM52" s="33"/>
      <c r="AN52" s="34"/>
      <c r="AO52" s="34"/>
      <c r="AP52" s="33"/>
      <c r="AQ52" s="34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4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5"/>
      <c r="CC52" s="33"/>
      <c r="CD52" s="33"/>
      <c r="CE52" s="33"/>
      <c r="CF52" s="34">
        <v>600</v>
      </c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4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4"/>
      <c r="DN52" s="34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8"/>
    </row>
    <row r="53" spans="2:137" ht="13.2">
      <c r="B53" s="30" t="str">
        <f t="shared" si="2"/>
        <v>2022/7</v>
      </c>
      <c r="C53" s="31">
        <f t="shared" si="3"/>
        <v>150</v>
      </c>
      <c r="D53" s="32">
        <v>44753</v>
      </c>
      <c r="E53" s="33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3"/>
      <c r="R53" s="33"/>
      <c r="S53" s="33"/>
      <c r="T53" s="33"/>
      <c r="U53" s="35"/>
      <c r="V53" s="36"/>
      <c r="W53" s="37"/>
      <c r="X53" s="34"/>
      <c r="Y53" s="33"/>
      <c r="Z53" s="33"/>
      <c r="AA53" s="33"/>
      <c r="AB53" s="35"/>
      <c r="AC53" s="34"/>
      <c r="AD53" s="34"/>
      <c r="AE53" s="34"/>
      <c r="AF53" s="34"/>
      <c r="AG53" s="34"/>
      <c r="AH53" s="33"/>
      <c r="AI53" s="33"/>
      <c r="AJ53" s="34"/>
      <c r="AK53" s="33"/>
      <c r="AL53" s="33"/>
      <c r="AM53" s="33"/>
      <c r="AN53" s="34"/>
      <c r="AO53" s="34"/>
      <c r="AP53" s="33"/>
      <c r="AQ53" s="34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4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5"/>
      <c r="CC53" s="33"/>
      <c r="CD53" s="33"/>
      <c r="CE53" s="33"/>
      <c r="CF53" s="34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4">
        <v>150</v>
      </c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4"/>
      <c r="DN53" s="34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8"/>
    </row>
    <row r="54" spans="2:137" ht="13.2">
      <c r="B54" s="30" t="str">
        <f t="shared" si="2"/>
        <v>2022/7</v>
      </c>
      <c r="C54" s="31">
        <f t="shared" si="3"/>
        <v>300</v>
      </c>
      <c r="D54" s="32">
        <v>44755</v>
      </c>
      <c r="E54" s="33"/>
      <c r="F54" s="34"/>
      <c r="G54" s="34"/>
      <c r="H54" s="34"/>
      <c r="I54" s="34"/>
      <c r="J54" s="34"/>
      <c r="K54" s="34"/>
      <c r="L54" s="34"/>
      <c r="M54" s="34"/>
      <c r="N54" s="34"/>
      <c r="O54" s="34">
        <v>150</v>
      </c>
      <c r="P54" s="34"/>
      <c r="Q54" s="33"/>
      <c r="R54" s="33"/>
      <c r="S54" s="33"/>
      <c r="T54" s="33"/>
      <c r="U54" s="35"/>
      <c r="V54" s="36"/>
      <c r="W54" s="37"/>
      <c r="X54" s="34"/>
      <c r="Y54" s="33"/>
      <c r="Z54" s="33"/>
      <c r="AA54" s="33"/>
      <c r="AB54" s="35"/>
      <c r="AC54" s="34"/>
      <c r="AD54" s="34"/>
      <c r="AE54" s="34"/>
      <c r="AF54" s="34"/>
      <c r="AG54" s="34"/>
      <c r="AH54" s="33"/>
      <c r="AI54" s="33"/>
      <c r="AJ54" s="34"/>
      <c r="AK54" s="33"/>
      <c r="AL54" s="33"/>
      <c r="AM54" s="33"/>
      <c r="AN54" s="34">
        <v>150</v>
      </c>
      <c r="AO54" s="34"/>
      <c r="AP54" s="33"/>
      <c r="AQ54" s="34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4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5"/>
      <c r="CC54" s="33"/>
      <c r="CD54" s="33"/>
      <c r="CE54" s="33"/>
      <c r="CF54" s="34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4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4"/>
      <c r="DN54" s="34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8"/>
    </row>
    <row r="55" spans="2:137" ht="13.2">
      <c r="B55" s="30" t="str">
        <f t="shared" si="2"/>
        <v>2022/7</v>
      </c>
      <c r="C55" s="31" t="str">
        <f t="shared" si="3"/>
        <v/>
      </c>
      <c r="D55" s="32">
        <v>44756</v>
      </c>
      <c r="E55" s="33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3"/>
      <c r="R55" s="33"/>
      <c r="S55" s="33"/>
      <c r="T55" s="33"/>
      <c r="U55" s="35"/>
      <c r="V55" s="36"/>
      <c r="W55" s="37"/>
      <c r="X55" s="34"/>
      <c r="Y55" s="33"/>
      <c r="Z55" s="33"/>
      <c r="AA55" s="33"/>
      <c r="AB55" s="35"/>
      <c r="AC55" s="34"/>
      <c r="AD55" s="34"/>
      <c r="AE55" s="34"/>
      <c r="AF55" s="34"/>
      <c r="AG55" s="34"/>
      <c r="AH55" s="33"/>
      <c r="AI55" s="33"/>
      <c r="AJ55" s="34"/>
      <c r="AK55" s="33"/>
      <c r="AL55" s="33"/>
      <c r="AM55" s="33"/>
      <c r="AN55" s="34"/>
      <c r="AO55" s="34"/>
      <c r="AP55" s="33"/>
      <c r="AQ55" s="34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4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5"/>
      <c r="CC55" s="33"/>
      <c r="CD55" s="33"/>
      <c r="CE55" s="33"/>
      <c r="CF55" s="34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4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4"/>
      <c r="DN55" s="34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8"/>
    </row>
    <row r="56" spans="2:137" ht="13.2">
      <c r="B56" s="30" t="str">
        <f t="shared" si="2"/>
        <v>2022/7</v>
      </c>
      <c r="C56" s="31">
        <f t="shared" si="3"/>
        <v>1000</v>
      </c>
      <c r="D56" s="32">
        <v>44757</v>
      </c>
      <c r="E56" s="33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3"/>
      <c r="R56" s="33"/>
      <c r="S56" s="33"/>
      <c r="T56" s="33"/>
      <c r="U56" s="35"/>
      <c r="V56" s="36"/>
      <c r="W56" s="37"/>
      <c r="X56" s="34"/>
      <c r="Y56" s="33"/>
      <c r="Z56" s="33"/>
      <c r="AA56" s="33"/>
      <c r="AB56" s="35"/>
      <c r="AC56" s="34"/>
      <c r="AD56" s="34"/>
      <c r="AE56" s="34"/>
      <c r="AF56" s="34"/>
      <c r="AG56" s="34"/>
      <c r="AH56" s="33"/>
      <c r="AI56" s="33"/>
      <c r="AJ56" s="34">
        <v>300</v>
      </c>
      <c r="AK56" s="33"/>
      <c r="AL56" s="33"/>
      <c r="AM56" s="33"/>
      <c r="AN56" s="34"/>
      <c r="AO56" s="34"/>
      <c r="AP56" s="33"/>
      <c r="AQ56" s="34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4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5"/>
      <c r="CC56" s="33"/>
      <c r="CD56" s="33"/>
      <c r="CE56" s="33"/>
      <c r="CF56" s="34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4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4"/>
      <c r="DN56" s="34">
        <v>700</v>
      </c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8"/>
    </row>
    <row r="57" spans="2:137" ht="13.2">
      <c r="B57" s="30" t="str">
        <f t="shared" si="2"/>
        <v>2022/7</v>
      </c>
      <c r="C57" s="31">
        <f t="shared" si="3"/>
        <v>200</v>
      </c>
      <c r="D57" s="32">
        <v>44763</v>
      </c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3"/>
      <c r="R57" s="33"/>
      <c r="S57" s="33"/>
      <c r="T57" s="33"/>
      <c r="U57" s="35"/>
      <c r="V57" s="36"/>
      <c r="W57" s="37"/>
      <c r="X57" s="34">
        <v>200</v>
      </c>
      <c r="Y57" s="33"/>
      <c r="Z57" s="33"/>
      <c r="AA57" s="33"/>
      <c r="AB57" s="35"/>
      <c r="AC57" s="34"/>
      <c r="AD57" s="34"/>
      <c r="AE57" s="34"/>
      <c r="AF57" s="34"/>
      <c r="AG57" s="34"/>
      <c r="AH57" s="33"/>
      <c r="AI57" s="33"/>
      <c r="AJ57" s="34"/>
      <c r="AK57" s="33"/>
      <c r="AL57" s="33"/>
      <c r="AM57" s="33"/>
      <c r="AN57" s="34"/>
      <c r="AO57" s="34"/>
      <c r="AP57" s="33"/>
      <c r="AQ57" s="34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4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5"/>
      <c r="CC57" s="33"/>
      <c r="CD57" s="33"/>
      <c r="CE57" s="33"/>
      <c r="CF57" s="34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4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4"/>
      <c r="DN57" s="34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8"/>
    </row>
    <row r="58" spans="2:137" ht="13.2">
      <c r="B58" s="30" t="str">
        <f t="shared" si="2"/>
        <v>2022/7</v>
      </c>
      <c r="C58" s="31">
        <f t="shared" si="3"/>
        <v>750</v>
      </c>
      <c r="D58" s="32">
        <v>44764</v>
      </c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>
        <v>150</v>
      </c>
      <c r="P58" s="34"/>
      <c r="Q58" s="33"/>
      <c r="R58" s="33"/>
      <c r="S58" s="33"/>
      <c r="T58" s="33"/>
      <c r="U58" s="35"/>
      <c r="V58" s="36"/>
      <c r="W58" s="37"/>
      <c r="X58" s="34"/>
      <c r="Y58" s="33"/>
      <c r="Z58" s="33"/>
      <c r="AA58" s="33"/>
      <c r="AB58" s="35"/>
      <c r="AC58" s="34"/>
      <c r="AD58" s="34"/>
      <c r="AE58" s="34"/>
      <c r="AF58" s="34"/>
      <c r="AG58" s="34"/>
      <c r="AH58" s="33"/>
      <c r="AI58" s="33"/>
      <c r="AJ58" s="34"/>
      <c r="AK58" s="33"/>
      <c r="AL58" s="33"/>
      <c r="AM58" s="33"/>
      <c r="AN58" s="34"/>
      <c r="AO58" s="34"/>
      <c r="AP58" s="33"/>
      <c r="AQ58" s="34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4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5"/>
      <c r="CC58" s="33"/>
      <c r="CD58" s="33"/>
      <c r="CE58" s="33"/>
      <c r="CF58" s="34">
        <v>600</v>
      </c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4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4"/>
      <c r="DN58" s="34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8"/>
    </row>
    <row r="59" spans="2:137" ht="13.2">
      <c r="B59" s="30" t="str">
        <f t="shared" si="2"/>
        <v>2022/7</v>
      </c>
      <c r="C59" s="31">
        <f t="shared" si="3"/>
        <v>450</v>
      </c>
      <c r="D59" s="32">
        <v>44767</v>
      </c>
      <c r="E59" s="33"/>
      <c r="F59" s="34"/>
      <c r="G59" s="34">
        <v>150</v>
      </c>
      <c r="H59" s="34"/>
      <c r="I59" s="34"/>
      <c r="J59" s="34"/>
      <c r="K59" s="34"/>
      <c r="L59" s="34"/>
      <c r="M59" s="34"/>
      <c r="N59" s="34"/>
      <c r="O59" s="34"/>
      <c r="P59" s="34"/>
      <c r="Q59" s="33"/>
      <c r="R59" s="33"/>
      <c r="S59" s="33"/>
      <c r="T59" s="33"/>
      <c r="U59" s="35"/>
      <c r="V59" s="36"/>
      <c r="W59" s="37"/>
      <c r="X59" s="34"/>
      <c r="Y59" s="33"/>
      <c r="Z59" s="33"/>
      <c r="AA59" s="33"/>
      <c r="AB59" s="35"/>
      <c r="AC59" s="34"/>
      <c r="AD59" s="34"/>
      <c r="AE59" s="34"/>
      <c r="AF59" s="34"/>
      <c r="AG59" s="34"/>
      <c r="AH59" s="33"/>
      <c r="AI59" s="33"/>
      <c r="AJ59" s="34"/>
      <c r="AK59" s="33"/>
      <c r="AL59" s="33"/>
      <c r="AM59" s="33"/>
      <c r="AN59" s="34">
        <v>150</v>
      </c>
      <c r="AO59" s="34"/>
      <c r="AP59" s="33"/>
      <c r="AQ59" s="34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4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5"/>
      <c r="CC59" s="33"/>
      <c r="CD59" s="33"/>
      <c r="CE59" s="33"/>
      <c r="CF59" s="34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4">
        <v>150</v>
      </c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4"/>
      <c r="DN59" s="34" t="s">
        <v>206</v>
      </c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8"/>
    </row>
    <row r="60" spans="2:137" ht="13.2">
      <c r="B60" s="30" t="str">
        <f t="shared" si="2"/>
        <v>2022/7</v>
      </c>
      <c r="C60" s="31" t="str">
        <f t="shared" si="3"/>
        <v/>
      </c>
      <c r="D60" s="32">
        <v>44768</v>
      </c>
      <c r="E60" s="33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3"/>
      <c r="R60" s="33"/>
      <c r="S60" s="33"/>
      <c r="T60" s="33"/>
      <c r="U60" s="35"/>
      <c r="V60" s="36"/>
      <c r="W60" s="37"/>
      <c r="X60" s="34"/>
      <c r="Y60" s="33"/>
      <c r="Z60" s="33"/>
      <c r="AA60" s="33"/>
      <c r="AB60" s="35"/>
      <c r="AC60" s="34"/>
      <c r="AD60" s="34"/>
      <c r="AE60" s="34"/>
      <c r="AF60" s="34"/>
      <c r="AG60" s="34"/>
      <c r="AH60" s="33"/>
      <c r="AI60" s="33"/>
      <c r="AJ60" s="34"/>
      <c r="AK60" s="33"/>
      <c r="AL60" s="33"/>
      <c r="AM60" s="33"/>
      <c r="AN60" s="34"/>
      <c r="AO60" s="34"/>
      <c r="AP60" s="33"/>
      <c r="AQ60" s="34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4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5"/>
      <c r="CC60" s="33"/>
      <c r="CD60" s="33"/>
      <c r="CE60" s="33"/>
      <c r="CF60" s="34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4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4"/>
      <c r="DN60" s="34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8"/>
    </row>
    <row r="61" spans="2:137" ht="13.2">
      <c r="B61" s="30" t="str">
        <f t="shared" si="2"/>
        <v>2022/7</v>
      </c>
      <c r="C61" s="31">
        <f t="shared" si="3"/>
        <v>150</v>
      </c>
      <c r="D61" s="32">
        <v>44769</v>
      </c>
      <c r="E61" s="33"/>
      <c r="F61" s="34"/>
      <c r="G61" s="34"/>
      <c r="H61" s="34"/>
      <c r="I61" s="34"/>
      <c r="J61" s="34"/>
      <c r="K61" s="34"/>
      <c r="L61" s="34"/>
      <c r="M61" s="34"/>
      <c r="N61" s="34"/>
      <c r="O61" s="34">
        <v>150</v>
      </c>
      <c r="P61" s="34"/>
      <c r="Q61" s="33"/>
      <c r="R61" s="33"/>
      <c r="S61" s="33"/>
      <c r="T61" s="33"/>
      <c r="U61" s="35"/>
      <c r="V61" s="36"/>
      <c r="W61" s="37"/>
      <c r="X61" s="34"/>
      <c r="Y61" s="33"/>
      <c r="Z61" s="33"/>
      <c r="AA61" s="33"/>
      <c r="AB61" s="35"/>
      <c r="AC61" s="34"/>
      <c r="AD61" s="34"/>
      <c r="AE61" s="34"/>
      <c r="AF61" s="34"/>
      <c r="AG61" s="34"/>
      <c r="AH61" s="33"/>
      <c r="AI61" s="33"/>
      <c r="AJ61" s="34"/>
      <c r="AK61" s="33"/>
      <c r="AL61" s="33"/>
      <c r="AM61" s="33"/>
      <c r="AN61" s="34"/>
      <c r="AO61" s="34"/>
      <c r="AP61" s="33"/>
      <c r="AQ61" s="34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4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5"/>
      <c r="CC61" s="33"/>
      <c r="CD61" s="33"/>
      <c r="CE61" s="33"/>
      <c r="CF61" s="34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4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4"/>
      <c r="DN61" s="34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8"/>
    </row>
    <row r="62" spans="2:137" ht="13.2">
      <c r="B62" s="30" t="str">
        <f t="shared" si="2"/>
        <v>2022/8</v>
      </c>
      <c r="C62" s="31">
        <f t="shared" si="3"/>
        <v>2050</v>
      </c>
      <c r="D62" s="32">
        <v>44778</v>
      </c>
      <c r="E62" s="33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3"/>
      <c r="R62" s="33"/>
      <c r="S62" s="33"/>
      <c r="T62" s="33"/>
      <c r="U62" s="35"/>
      <c r="V62" s="36"/>
      <c r="W62" s="37"/>
      <c r="X62" s="34"/>
      <c r="Y62" s="33"/>
      <c r="Z62" s="33"/>
      <c r="AA62" s="33"/>
      <c r="AB62" s="35"/>
      <c r="AC62" s="34"/>
      <c r="AD62" s="34"/>
      <c r="AE62" s="34"/>
      <c r="AF62" s="34" t="s">
        <v>207</v>
      </c>
      <c r="AG62" s="34"/>
      <c r="AH62" s="33"/>
      <c r="AI62" s="33"/>
      <c r="AJ62" s="34"/>
      <c r="AK62" s="33"/>
      <c r="AL62" s="33"/>
      <c r="AM62" s="33"/>
      <c r="AN62" s="34"/>
      <c r="AO62" s="34">
        <v>1600</v>
      </c>
      <c r="AP62" s="33"/>
      <c r="AQ62" s="34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4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5"/>
      <c r="CC62" s="33"/>
      <c r="CD62" s="33"/>
      <c r="CE62" s="33"/>
      <c r="CF62" s="34">
        <v>450</v>
      </c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4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4"/>
      <c r="DN62" s="34" t="s">
        <v>207</v>
      </c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8"/>
    </row>
    <row r="63" spans="2:137" ht="13.2">
      <c r="B63" s="30" t="str">
        <f t="shared" si="2"/>
        <v>2022/8</v>
      </c>
      <c r="C63" s="31">
        <f t="shared" si="3"/>
        <v>150</v>
      </c>
      <c r="D63" s="32">
        <v>44781</v>
      </c>
      <c r="E63" s="33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3"/>
      <c r="R63" s="33"/>
      <c r="S63" s="33"/>
      <c r="T63" s="33"/>
      <c r="U63" s="35"/>
      <c r="V63" s="36"/>
      <c r="W63" s="37"/>
      <c r="X63" s="34"/>
      <c r="Y63" s="33"/>
      <c r="Z63" s="33"/>
      <c r="AA63" s="33"/>
      <c r="AB63" s="35"/>
      <c r="AC63" s="34"/>
      <c r="AD63" s="34"/>
      <c r="AE63" s="34"/>
      <c r="AF63" s="34"/>
      <c r="AG63" s="34"/>
      <c r="AH63" s="33"/>
      <c r="AI63" s="33"/>
      <c r="AJ63" s="34"/>
      <c r="AK63" s="33"/>
      <c r="AL63" s="33"/>
      <c r="AM63" s="33"/>
      <c r="AN63" s="34"/>
      <c r="AO63" s="34"/>
      <c r="AP63" s="33"/>
      <c r="AQ63" s="34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4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5"/>
      <c r="CC63" s="33"/>
      <c r="CD63" s="33"/>
      <c r="CE63" s="33"/>
      <c r="CF63" s="34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4">
        <v>150</v>
      </c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4"/>
      <c r="DN63" s="34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8"/>
    </row>
    <row r="64" spans="2:137" ht="13.2">
      <c r="B64" s="30" t="str">
        <f t="shared" si="2"/>
        <v>2022/8</v>
      </c>
      <c r="C64" s="31" t="str">
        <f t="shared" si="3"/>
        <v/>
      </c>
      <c r="D64" s="32">
        <v>44782</v>
      </c>
      <c r="E64" s="33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3"/>
      <c r="R64" s="33"/>
      <c r="S64" s="33"/>
      <c r="T64" s="33"/>
      <c r="U64" s="35"/>
      <c r="V64" s="36"/>
      <c r="W64" s="37"/>
      <c r="X64" s="34"/>
      <c r="Y64" s="33"/>
      <c r="Z64" s="33"/>
      <c r="AA64" s="33"/>
      <c r="AB64" s="35"/>
      <c r="AC64" s="34"/>
      <c r="AD64" s="34"/>
      <c r="AE64" s="34"/>
      <c r="AF64" s="34" t="s">
        <v>208</v>
      </c>
      <c r="AG64" s="34"/>
      <c r="AH64" s="33"/>
      <c r="AI64" s="33"/>
      <c r="AJ64" s="34"/>
      <c r="AK64" s="33"/>
      <c r="AL64" s="33"/>
      <c r="AM64" s="33"/>
      <c r="AN64" s="34"/>
      <c r="AO64" s="34"/>
      <c r="AP64" s="33"/>
      <c r="AQ64" s="34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4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5"/>
      <c r="CC64" s="33"/>
      <c r="CD64" s="33"/>
      <c r="CE64" s="33"/>
      <c r="CF64" s="34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4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4"/>
      <c r="DN64" s="34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8"/>
    </row>
    <row r="65" spans="2:137" ht="13.2">
      <c r="B65" s="30" t="str">
        <f t="shared" si="2"/>
        <v>2022/8</v>
      </c>
      <c r="C65" s="31">
        <f t="shared" si="3"/>
        <v>300</v>
      </c>
      <c r="D65" s="32">
        <v>44783</v>
      </c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3"/>
      <c r="R65" s="33"/>
      <c r="S65" s="33"/>
      <c r="T65" s="33"/>
      <c r="U65" s="35"/>
      <c r="V65" s="36"/>
      <c r="W65" s="37"/>
      <c r="X65" s="34"/>
      <c r="Y65" s="33"/>
      <c r="Z65" s="33"/>
      <c r="AA65" s="33"/>
      <c r="AB65" s="35"/>
      <c r="AC65" s="34"/>
      <c r="AD65" s="34"/>
      <c r="AE65" s="34"/>
      <c r="AF65" s="34" t="s">
        <v>209</v>
      </c>
      <c r="AG65" s="34"/>
      <c r="AH65" s="33"/>
      <c r="AI65" s="33"/>
      <c r="AJ65" s="34"/>
      <c r="AK65" s="33"/>
      <c r="AL65" s="33"/>
      <c r="AM65" s="33"/>
      <c r="AN65" s="34">
        <v>150</v>
      </c>
      <c r="AO65" s="34"/>
      <c r="AP65" s="33"/>
      <c r="AQ65" s="34">
        <v>150</v>
      </c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4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5"/>
      <c r="CC65" s="33"/>
      <c r="CD65" s="33"/>
      <c r="CE65" s="33"/>
      <c r="CF65" s="34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4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4"/>
      <c r="DN65" s="34" t="s">
        <v>208</v>
      </c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8"/>
    </row>
    <row r="66" spans="2:137" ht="13.2">
      <c r="B66" s="30" t="str">
        <f t="shared" si="2"/>
        <v>2022/8</v>
      </c>
      <c r="C66" s="31" t="str">
        <f t="shared" si="3"/>
        <v/>
      </c>
      <c r="D66" s="32">
        <v>44784</v>
      </c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3"/>
      <c r="R66" s="33"/>
      <c r="S66" s="33"/>
      <c r="T66" s="33"/>
      <c r="U66" s="35"/>
      <c r="V66" s="36"/>
      <c r="W66" s="37"/>
      <c r="X66" s="34"/>
      <c r="Y66" s="33"/>
      <c r="Z66" s="33"/>
      <c r="AA66" s="33"/>
      <c r="AB66" s="35"/>
      <c r="AC66" s="34"/>
      <c r="AD66" s="34"/>
      <c r="AE66" s="34"/>
      <c r="AF66" s="34"/>
      <c r="AG66" s="34"/>
      <c r="AH66" s="33"/>
      <c r="AI66" s="33"/>
      <c r="AJ66" s="34"/>
      <c r="AK66" s="33"/>
      <c r="AL66" s="33"/>
      <c r="AM66" s="33"/>
      <c r="AN66" s="34"/>
      <c r="AO66" s="34"/>
      <c r="AP66" s="33"/>
      <c r="AQ66" s="34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4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5"/>
      <c r="CC66" s="33"/>
      <c r="CD66" s="33"/>
      <c r="CE66" s="33"/>
      <c r="CF66" s="34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4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4"/>
      <c r="DN66" s="34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8"/>
    </row>
    <row r="67" spans="2:137" ht="13.2">
      <c r="B67" s="30" t="str">
        <f t="shared" si="2"/>
        <v>2022/8</v>
      </c>
      <c r="C67" s="31">
        <f t="shared" si="3"/>
        <v>150</v>
      </c>
      <c r="D67" s="32">
        <v>44785</v>
      </c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>
        <v>150</v>
      </c>
      <c r="P67" s="34"/>
      <c r="Q67" s="33"/>
      <c r="R67" s="33"/>
      <c r="S67" s="33"/>
      <c r="T67" s="33"/>
      <c r="U67" s="35"/>
      <c r="V67" s="36"/>
      <c r="W67" s="37"/>
      <c r="X67" s="34"/>
      <c r="Y67" s="33"/>
      <c r="Z67" s="33"/>
      <c r="AA67" s="33"/>
      <c r="AB67" s="35"/>
      <c r="AC67" s="34"/>
      <c r="AD67" s="34"/>
      <c r="AE67" s="34"/>
      <c r="AF67" s="34"/>
      <c r="AG67" s="34"/>
      <c r="AH67" s="33"/>
      <c r="AI67" s="33"/>
      <c r="AJ67" s="34"/>
      <c r="AK67" s="33"/>
      <c r="AL67" s="33"/>
      <c r="AM67" s="33"/>
      <c r="AN67" s="34"/>
      <c r="AO67" s="34"/>
      <c r="AP67" s="33"/>
      <c r="AQ67" s="34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4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5"/>
      <c r="CC67" s="33"/>
      <c r="CD67" s="33"/>
      <c r="CE67" s="33"/>
      <c r="CF67" s="34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4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4"/>
      <c r="DN67" s="34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8"/>
    </row>
    <row r="68" spans="2:137" ht="13.2">
      <c r="B68" s="30" t="str">
        <f t="shared" ref="B68:B131" si="4">IF(D68&gt;0, CONCATENATE(YEAR(D68),"/",MONTH(D68)),"")</f>
        <v>2022/8</v>
      </c>
      <c r="C68" s="31">
        <f t="shared" ref="C68:C131" si="5">IF(SUM(E68:EG68)=0,"",SUM(E68:EG68))</f>
        <v>700</v>
      </c>
      <c r="D68" s="32">
        <v>44788</v>
      </c>
      <c r="E68" s="33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3"/>
      <c r="R68" s="33"/>
      <c r="S68" s="33"/>
      <c r="T68" s="33"/>
      <c r="U68" s="35"/>
      <c r="V68" s="36"/>
      <c r="W68" s="37"/>
      <c r="X68" s="34"/>
      <c r="Y68" s="33"/>
      <c r="Z68" s="33"/>
      <c r="AA68" s="33"/>
      <c r="AB68" s="35"/>
      <c r="AC68" s="34"/>
      <c r="AD68" s="34"/>
      <c r="AE68" s="34"/>
      <c r="AF68" s="34"/>
      <c r="AG68" s="34"/>
      <c r="AH68" s="33"/>
      <c r="AI68" s="33"/>
      <c r="AJ68" s="34"/>
      <c r="AK68" s="33"/>
      <c r="AL68" s="33"/>
      <c r="AM68" s="33"/>
      <c r="AN68" s="34"/>
      <c r="AO68" s="34"/>
      <c r="AP68" s="33"/>
      <c r="AQ68" s="34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4">
        <v>700</v>
      </c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5"/>
      <c r="CC68" s="33"/>
      <c r="CD68" s="33"/>
      <c r="CE68" s="33"/>
      <c r="CF68" s="34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4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4"/>
      <c r="DN68" s="34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8"/>
    </row>
    <row r="69" spans="2:137" ht="13.2">
      <c r="B69" s="30" t="str">
        <f t="shared" si="4"/>
        <v>2022/8</v>
      </c>
      <c r="C69" s="31">
        <f t="shared" si="5"/>
        <v>800</v>
      </c>
      <c r="D69" s="32">
        <v>44789</v>
      </c>
      <c r="E69" s="33"/>
      <c r="F69" s="34"/>
      <c r="G69" s="34"/>
      <c r="H69" s="34"/>
      <c r="I69" s="34"/>
      <c r="J69" s="34"/>
      <c r="K69" s="34"/>
      <c r="L69" s="34"/>
      <c r="M69" s="34"/>
      <c r="N69" s="34">
        <v>200</v>
      </c>
      <c r="O69" s="34"/>
      <c r="P69" s="34"/>
      <c r="Q69" s="33"/>
      <c r="R69" s="33"/>
      <c r="S69" s="33"/>
      <c r="T69" s="33"/>
      <c r="U69" s="35"/>
      <c r="V69" s="36"/>
      <c r="W69" s="37"/>
      <c r="X69" s="34"/>
      <c r="Y69" s="33"/>
      <c r="Z69" s="33"/>
      <c r="AA69" s="33"/>
      <c r="AB69" s="35"/>
      <c r="AC69" s="34"/>
      <c r="AD69" s="34"/>
      <c r="AE69" s="34"/>
      <c r="AF69" s="34">
        <v>600</v>
      </c>
      <c r="AG69" s="34"/>
      <c r="AH69" s="33"/>
      <c r="AI69" s="33"/>
      <c r="AJ69" s="34"/>
      <c r="AK69" s="33"/>
      <c r="AL69" s="33"/>
      <c r="AM69" s="33"/>
      <c r="AN69" s="34"/>
      <c r="AO69" s="34"/>
      <c r="AP69" s="33"/>
      <c r="AQ69" s="34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4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5"/>
      <c r="CC69" s="33"/>
      <c r="CD69" s="33"/>
      <c r="CE69" s="33"/>
      <c r="CF69" s="34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4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4"/>
      <c r="DN69" s="34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8"/>
    </row>
    <row r="70" spans="2:137" ht="13.2">
      <c r="B70" s="30" t="str">
        <f t="shared" si="4"/>
        <v>2022/8</v>
      </c>
      <c r="C70" s="31">
        <f t="shared" si="5"/>
        <v>1900</v>
      </c>
      <c r="D70" s="32">
        <v>44790</v>
      </c>
      <c r="E70" s="33"/>
      <c r="F70" s="34"/>
      <c r="G70" s="34"/>
      <c r="H70" s="34"/>
      <c r="I70" s="34"/>
      <c r="J70" s="34"/>
      <c r="K70" s="34"/>
      <c r="L70" s="34"/>
      <c r="M70" s="34"/>
      <c r="N70" s="34">
        <v>200</v>
      </c>
      <c r="O70" s="34"/>
      <c r="P70" s="34"/>
      <c r="Q70" s="33"/>
      <c r="R70" s="33"/>
      <c r="S70" s="33"/>
      <c r="T70" s="33"/>
      <c r="U70" s="35"/>
      <c r="V70" s="36"/>
      <c r="W70" s="37"/>
      <c r="X70" s="34"/>
      <c r="Y70" s="33"/>
      <c r="Z70" s="33"/>
      <c r="AA70" s="33"/>
      <c r="AB70" s="35"/>
      <c r="AC70" s="34"/>
      <c r="AD70" s="34">
        <v>200</v>
      </c>
      <c r="AE70" s="34">
        <v>200</v>
      </c>
      <c r="AF70" s="34" t="s">
        <v>206</v>
      </c>
      <c r="AG70" s="34"/>
      <c r="AH70" s="33"/>
      <c r="AI70" s="33"/>
      <c r="AJ70" s="34">
        <v>300</v>
      </c>
      <c r="AK70" s="33"/>
      <c r="AL70" s="33"/>
      <c r="AM70" s="33"/>
      <c r="AN70" s="34">
        <v>150</v>
      </c>
      <c r="AO70" s="34"/>
      <c r="AP70" s="33"/>
      <c r="AQ70" s="34">
        <v>150</v>
      </c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4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5"/>
      <c r="CC70" s="33"/>
      <c r="CD70" s="33"/>
      <c r="CE70" s="33"/>
      <c r="CF70" s="34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4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4"/>
      <c r="DN70" s="34">
        <v>700</v>
      </c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8"/>
    </row>
    <row r="71" spans="2:137" ht="13.2">
      <c r="B71" s="30" t="str">
        <f t="shared" si="4"/>
        <v>2022/8</v>
      </c>
      <c r="C71" s="31">
        <f t="shared" si="5"/>
        <v>800</v>
      </c>
      <c r="D71" s="32">
        <v>44791</v>
      </c>
      <c r="E71" s="33"/>
      <c r="F71" s="34"/>
      <c r="G71" s="34"/>
      <c r="H71" s="34"/>
      <c r="I71" s="34"/>
      <c r="J71" s="34"/>
      <c r="K71" s="34"/>
      <c r="L71" s="34"/>
      <c r="M71" s="34">
        <v>200</v>
      </c>
      <c r="N71" s="34"/>
      <c r="O71" s="34"/>
      <c r="P71" s="34"/>
      <c r="Q71" s="33"/>
      <c r="R71" s="33"/>
      <c r="S71" s="33"/>
      <c r="T71" s="33"/>
      <c r="U71" s="35"/>
      <c r="V71" s="36"/>
      <c r="W71" s="37"/>
      <c r="X71" s="34"/>
      <c r="Y71" s="33"/>
      <c r="Z71" s="33"/>
      <c r="AA71" s="33"/>
      <c r="AB71" s="35"/>
      <c r="AC71" s="34"/>
      <c r="AD71" s="34"/>
      <c r="AE71" s="34"/>
      <c r="AF71" s="34"/>
      <c r="AG71" s="34"/>
      <c r="AH71" s="33"/>
      <c r="AI71" s="33"/>
      <c r="AJ71" s="34"/>
      <c r="AK71" s="33"/>
      <c r="AL71" s="33"/>
      <c r="AM71" s="33"/>
      <c r="AN71" s="34"/>
      <c r="AO71" s="34"/>
      <c r="AP71" s="33"/>
      <c r="AQ71" s="34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4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5"/>
      <c r="CC71" s="33"/>
      <c r="CD71" s="33"/>
      <c r="CE71" s="33"/>
      <c r="CF71" s="34">
        <v>600</v>
      </c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4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4"/>
      <c r="DN71" s="34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8"/>
    </row>
    <row r="72" spans="2:137" ht="13.2">
      <c r="B72" s="30" t="str">
        <f t="shared" si="4"/>
        <v>2022/8</v>
      </c>
      <c r="C72" s="31" t="str">
        <f t="shared" si="5"/>
        <v/>
      </c>
      <c r="D72" s="32">
        <v>44796</v>
      </c>
      <c r="E72" s="33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3"/>
      <c r="R72" s="33"/>
      <c r="S72" s="33"/>
      <c r="T72" s="33"/>
      <c r="U72" s="35"/>
      <c r="V72" s="36"/>
      <c r="W72" s="37"/>
      <c r="X72" s="34"/>
      <c r="Y72" s="33"/>
      <c r="Z72" s="33"/>
      <c r="AA72" s="33"/>
      <c r="AB72" s="35"/>
      <c r="AC72" s="34"/>
      <c r="AD72" s="34"/>
      <c r="AE72" s="34"/>
      <c r="AF72" s="34"/>
      <c r="AG72" s="34"/>
      <c r="AH72" s="33"/>
      <c r="AI72" s="33"/>
      <c r="AJ72" s="34"/>
      <c r="AK72" s="33"/>
      <c r="AL72" s="33"/>
      <c r="AM72" s="33"/>
      <c r="AN72" s="34"/>
      <c r="AO72" s="34"/>
      <c r="AP72" s="33"/>
      <c r="AQ72" s="34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4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5"/>
      <c r="CC72" s="33"/>
      <c r="CD72" s="33"/>
      <c r="CE72" s="33"/>
      <c r="CF72" s="34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4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4"/>
      <c r="DN72" s="34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8"/>
    </row>
    <row r="73" spans="2:137" ht="13.2">
      <c r="B73" s="30" t="str">
        <f t="shared" si="4"/>
        <v>2022/8</v>
      </c>
      <c r="C73" s="31" t="str">
        <f t="shared" si="5"/>
        <v/>
      </c>
      <c r="D73" s="32">
        <v>44797</v>
      </c>
      <c r="E73" s="33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3"/>
      <c r="R73" s="33"/>
      <c r="S73" s="33"/>
      <c r="T73" s="33"/>
      <c r="U73" s="35"/>
      <c r="V73" s="36"/>
      <c r="W73" s="37"/>
      <c r="X73" s="34"/>
      <c r="Y73" s="33"/>
      <c r="Z73" s="33"/>
      <c r="AA73" s="33"/>
      <c r="AB73" s="35"/>
      <c r="AC73" s="34"/>
      <c r="AD73" s="34"/>
      <c r="AE73" s="34"/>
      <c r="AF73" s="34"/>
      <c r="AG73" s="34"/>
      <c r="AH73" s="33"/>
      <c r="AI73" s="33"/>
      <c r="AJ73" s="34"/>
      <c r="AK73" s="33"/>
      <c r="AL73" s="33"/>
      <c r="AM73" s="33"/>
      <c r="AN73" s="34"/>
      <c r="AO73" s="34"/>
      <c r="AP73" s="33"/>
      <c r="AQ73" s="34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4" t="s">
        <v>209</v>
      </c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5"/>
      <c r="CC73" s="33"/>
      <c r="CD73" s="33"/>
      <c r="CE73" s="33"/>
      <c r="CF73" s="34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4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4"/>
      <c r="DN73" s="34" t="s">
        <v>206</v>
      </c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8"/>
    </row>
    <row r="74" spans="2:137" ht="13.2">
      <c r="B74" s="30" t="str">
        <f t="shared" si="4"/>
        <v>2022/8</v>
      </c>
      <c r="C74" s="31">
        <f t="shared" si="5"/>
        <v>200</v>
      </c>
      <c r="D74" s="32">
        <v>44798</v>
      </c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3"/>
      <c r="R74" s="33"/>
      <c r="S74" s="33"/>
      <c r="T74" s="33"/>
      <c r="U74" s="35"/>
      <c r="V74" s="36"/>
      <c r="W74" s="37"/>
      <c r="X74" s="34"/>
      <c r="Y74" s="33"/>
      <c r="Z74" s="33"/>
      <c r="AA74" s="33"/>
      <c r="AB74" s="35"/>
      <c r="AC74" s="34"/>
      <c r="AD74" s="34"/>
      <c r="AE74" s="34"/>
      <c r="AF74" s="34" t="s">
        <v>207</v>
      </c>
      <c r="AG74" s="34">
        <v>200</v>
      </c>
      <c r="AH74" s="33"/>
      <c r="AI74" s="33"/>
      <c r="AJ74" s="34"/>
      <c r="AK74" s="33"/>
      <c r="AL74" s="33"/>
      <c r="AM74" s="33"/>
      <c r="AN74" s="34"/>
      <c r="AO74" s="34"/>
      <c r="AP74" s="33"/>
      <c r="AQ74" s="34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4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5"/>
      <c r="CC74" s="33"/>
      <c r="CD74" s="33"/>
      <c r="CE74" s="33"/>
      <c r="CF74" s="34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4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4"/>
      <c r="DN74" s="34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8"/>
    </row>
    <row r="75" spans="2:137" ht="13.2">
      <c r="B75" s="30" t="str">
        <f t="shared" si="4"/>
        <v>2022/8</v>
      </c>
      <c r="C75" s="31">
        <f t="shared" si="5"/>
        <v>300</v>
      </c>
      <c r="D75" s="32">
        <v>44799</v>
      </c>
      <c r="E75" s="33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3"/>
      <c r="R75" s="33"/>
      <c r="S75" s="33"/>
      <c r="T75" s="33"/>
      <c r="U75" s="35"/>
      <c r="V75" s="36"/>
      <c r="W75" s="37"/>
      <c r="X75" s="34"/>
      <c r="Y75" s="33"/>
      <c r="Z75" s="33"/>
      <c r="AA75" s="33"/>
      <c r="AB75" s="35"/>
      <c r="AC75" s="34"/>
      <c r="AD75" s="34" t="s">
        <v>209</v>
      </c>
      <c r="AE75" s="34" t="s">
        <v>209</v>
      </c>
      <c r="AF75" s="34"/>
      <c r="AG75" s="34"/>
      <c r="AH75" s="33"/>
      <c r="AI75" s="33"/>
      <c r="AJ75" s="34"/>
      <c r="AK75" s="33"/>
      <c r="AL75" s="33"/>
      <c r="AM75" s="33"/>
      <c r="AN75" s="34">
        <v>150</v>
      </c>
      <c r="AO75" s="34"/>
      <c r="AP75" s="33"/>
      <c r="AQ75" s="34">
        <v>150</v>
      </c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4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5"/>
      <c r="CC75" s="33"/>
      <c r="CD75" s="33"/>
      <c r="CE75" s="33"/>
      <c r="CF75" s="34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4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4"/>
      <c r="DN75" s="34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8"/>
    </row>
    <row r="76" spans="2:137" ht="13.2">
      <c r="B76" s="30" t="str">
        <f t="shared" si="4"/>
        <v>2022/8</v>
      </c>
      <c r="C76" s="31">
        <f t="shared" si="5"/>
        <v>1500</v>
      </c>
      <c r="D76" s="32">
        <v>44803</v>
      </c>
      <c r="E76" s="33"/>
      <c r="F76" s="34"/>
      <c r="G76" s="34"/>
      <c r="H76" s="34"/>
      <c r="I76" s="34"/>
      <c r="J76" s="34"/>
      <c r="K76" s="34"/>
      <c r="L76" s="34"/>
      <c r="M76" s="34"/>
      <c r="N76" s="34" t="s">
        <v>209</v>
      </c>
      <c r="O76" s="34"/>
      <c r="P76" s="34"/>
      <c r="Q76" s="33"/>
      <c r="R76" s="33"/>
      <c r="S76" s="33"/>
      <c r="T76" s="33"/>
      <c r="U76" s="35"/>
      <c r="V76" s="36"/>
      <c r="W76" s="37"/>
      <c r="X76" s="34"/>
      <c r="Y76" s="33"/>
      <c r="Z76" s="33"/>
      <c r="AA76" s="33"/>
      <c r="AB76" s="35"/>
      <c r="AC76" s="34"/>
      <c r="AD76" s="34">
        <v>750</v>
      </c>
      <c r="AE76" s="34">
        <v>750</v>
      </c>
      <c r="AF76" s="34" t="s">
        <v>208</v>
      </c>
      <c r="AG76" s="34"/>
      <c r="AH76" s="33"/>
      <c r="AI76" s="33"/>
      <c r="AJ76" s="34"/>
      <c r="AK76" s="33"/>
      <c r="AL76" s="33"/>
      <c r="AM76" s="33"/>
      <c r="AN76" s="34"/>
      <c r="AO76" s="34"/>
      <c r="AP76" s="33"/>
      <c r="AQ76" s="34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4" t="s">
        <v>206</v>
      </c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5"/>
      <c r="CC76" s="33"/>
      <c r="CD76" s="33"/>
      <c r="CE76" s="33"/>
      <c r="CF76" s="34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4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4"/>
      <c r="DN76" s="34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8"/>
    </row>
    <row r="77" spans="2:137" ht="13.2">
      <c r="B77" s="30" t="str">
        <f t="shared" si="4"/>
        <v>2022/8</v>
      </c>
      <c r="C77" s="31">
        <f t="shared" si="5"/>
        <v>850</v>
      </c>
      <c r="D77" s="32">
        <v>44804</v>
      </c>
      <c r="E77" s="33"/>
      <c r="F77" s="34"/>
      <c r="G77" s="34"/>
      <c r="H77" s="34"/>
      <c r="I77" s="34"/>
      <c r="J77" s="34"/>
      <c r="K77" s="34"/>
      <c r="L77" s="34"/>
      <c r="M77" s="34"/>
      <c r="N77" s="34">
        <v>700</v>
      </c>
      <c r="O77" s="34"/>
      <c r="P77" s="34"/>
      <c r="Q77" s="33"/>
      <c r="R77" s="33"/>
      <c r="S77" s="33"/>
      <c r="T77" s="33"/>
      <c r="U77" s="35"/>
      <c r="V77" s="36"/>
      <c r="W77" s="37"/>
      <c r="X77" s="34"/>
      <c r="Y77" s="33"/>
      <c r="Z77" s="33"/>
      <c r="AA77" s="33"/>
      <c r="AB77" s="35"/>
      <c r="AC77" s="34"/>
      <c r="AD77" s="34" t="s">
        <v>206</v>
      </c>
      <c r="AE77" s="34" t="s">
        <v>206</v>
      </c>
      <c r="AF77" s="34"/>
      <c r="AG77" s="34"/>
      <c r="AH77" s="33"/>
      <c r="AI77" s="33"/>
      <c r="AJ77" s="34"/>
      <c r="AK77" s="33"/>
      <c r="AL77" s="33"/>
      <c r="AM77" s="33"/>
      <c r="AN77" s="34"/>
      <c r="AO77" s="34"/>
      <c r="AP77" s="33"/>
      <c r="AQ77" s="34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4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5"/>
      <c r="CC77" s="33"/>
      <c r="CD77" s="33"/>
      <c r="CE77" s="33"/>
      <c r="CF77" s="34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4">
        <v>150</v>
      </c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4"/>
      <c r="DN77" s="34" t="s">
        <v>207</v>
      </c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8"/>
    </row>
    <row r="78" spans="2:137" ht="13.2">
      <c r="B78" s="30" t="str">
        <f t="shared" si="4"/>
        <v>2022/9</v>
      </c>
      <c r="C78" s="31">
        <f t="shared" si="5"/>
        <v>800</v>
      </c>
      <c r="D78" s="32">
        <v>44805</v>
      </c>
      <c r="E78" s="33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3"/>
      <c r="R78" s="33"/>
      <c r="S78" s="33"/>
      <c r="T78" s="33"/>
      <c r="U78" s="35"/>
      <c r="V78" s="36"/>
      <c r="W78" s="37"/>
      <c r="X78" s="34"/>
      <c r="Y78" s="33"/>
      <c r="Z78" s="33"/>
      <c r="AA78" s="33"/>
      <c r="AB78" s="35"/>
      <c r="AC78" s="34"/>
      <c r="AD78" s="34"/>
      <c r="AE78" s="34"/>
      <c r="AF78" s="34"/>
      <c r="AG78" s="34">
        <v>200</v>
      </c>
      <c r="AH78" s="33"/>
      <c r="AI78" s="33"/>
      <c r="AJ78" s="34"/>
      <c r="AK78" s="33"/>
      <c r="AL78" s="33"/>
      <c r="AM78" s="33"/>
      <c r="AN78" s="34">
        <v>150</v>
      </c>
      <c r="AO78" s="34"/>
      <c r="AP78" s="33"/>
      <c r="AQ78" s="34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4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5"/>
      <c r="CC78" s="33"/>
      <c r="CD78" s="33"/>
      <c r="CE78" s="33"/>
      <c r="CF78" s="34">
        <v>450</v>
      </c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4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4"/>
      <c r="DN78" s="34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8"/>
    </row>
    <row r="79" spans="2:137" ht="13.2">
      <c r="B79" s="30" t="str">
        <f t="shared" si="4"/>
        <v>2022/9</v>
      </c>
      <c r="C79" s="31">
        <f t="shared" si="5"/>
        <v>350</v>
      </c>
      <c r="D79" s="32">
        <v>44810</v>
      </c>
      <c r="E79" s="33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3"/>
      <c r="R79" s="33"/>
      <c r="S79" s="33"/>
      <c r="T79" s="33"/>
      <c r="U79" s="35"/>
      <c r="V79" s="36"/>
      <c r="W79" s="37"/>
      <c r="X79" s="34"/>
      <c r="Y79" s="33"/>
      <c r="Z79" s="33"/>
      <c r="AA79" s="33"/>
      <c r="AB79" s="35"/>
      <c r="AC79" s="34"/>
      <c r="AD79" s="34"/>
      <c r="AE79" s="34"/>
      <c r="AF79" s="34"/>
      <c r="AG79" s="34"/>
      <c r="AH79" s="33"/>
      <c r="AI79" s="33"/>
      <c r="AJ79" s="34"/>
      <c r="AK79" s="33"/>
      <c r="AL79" s="33"/>
      <c r="AM79" s="33"/>
      <c r="AN79" s="34"/>
      <c r="AO79" s="34"/>
      <c r="AP79" s="33"/>
      <c r="AQ79" s="34">
        <v>150</v>
      </c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4" t="s">
        <v>207</v>
      </c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5"/>
      <c r="CC79" s="33"/>
      <c r="CD79" s="33"/>
      <c r="CE79" s="33"/>
      <c r="CF79" s="34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4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4">
        <v>200</v>
      </c>
      <c r="DN79" s="34" t="s">
        <v>208</v>
      </c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8"/>
    </row>
    <row r="80" spans="2:137" ht="13.2">
      <c r="B80" s="30" t="str">
        <f t="shared" si="4"/>
        <v>2022/9</v>
      </c>
      <c r="C80" s="31" t="str">
        <f t="shared" si="5"/>
        <v/>
      </c>
      <c r="D80" s="32">
        <v>44811</v>
      </c>
      <c r="E80" s="33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3"/>
      <c r="R80" s="33"/>
      <c r="S80" s="33"/>
      <c r="T80" s="33"/>
      <c r="U80" s="35"/>
      <c r="V80" s="36"/>
      <c r="W80" s="37"/>
      <c r="X80" s="34"/>
      <c r="Y80" s="33"/>
      <c r="Z80" s="33"/>
      <c r="AA80" s="33"/>
      <c r="AB80" s="35"/>
      <c r="AC80" s="34"/>
      <c r="AD80" s="34"/>
      <c r="AE80" s="34"/>
      <c r="AF80" s="34"/>
      <c r="AG80" s="34"/>
      <c r="AH80" s="33"/>
      <c r="AI80" s="33"/>
      <c r="AJ80" s="34"/>
      <c r="AK80" s="33"/>
      <c r="AL80" s="33"/>
      <c r="AM80" s="33"/>
      <c r="AN80" s="34"/>
      <c r="AO80" s="34"/>
      <c r="AP80" s="33"/>
      <c r="AQ80" s="34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4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5"/>
      <c r="CC80" s="33"/>
      <c r="CD80" s="33"/>
      <c r="CE80" s="33"/>
      <c r="CF80" s="34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4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4"/>
      <c r="DN80" s="34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8"/>
    </row>
    <row r="81" spans="2:137" ht="13.2">
      <c r="B81" s="30" t="str">
        <f t="shared" si="4"/>
        <v>2022/9</v>
      </c>
      <c r="C81" s="31">
        <f t="shared" si="5"/>
        <v>400</v>
      </c>
      <c r="D81" s="32">
        <v>44812</v>
      </c>
      <c r="E81" s="33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>
        <v>200</v>
      </c>
      <c r="Q81" s="33"/>
      <c r="R81" s="33"/>
      <c r="S81" s="33"/>
      <c r="T81" s="33"/>
      <c r="U81" s="35"/>
      <c r="V81" s="36"/>
      <c r="W81" s="37"/>
      <c r="X81" s="34"/>
      <c r="Y81" s="33"/>
      <c r="Z81" s="33"/>
      <c r="AA81" s="33"/>
      <c r="AB81" s="35"/>
      <c r="AC81" s="34"/>
      <c r="AD81" s="34"/>
      <c r="AE81" s="34"/>
      <c r="AF81" s="34"/>
      <c r="AG81" s="34">
        <v>200</v>
      </c>
      <c r="AH81" s="33"/>
      <c r="AI81" s="33"/>
      <c r="AJ81" s="34"/>
      <c r="AK81" s="33"/>
      <c r="AL81" s="33"/>
      <c r="AM81" s="33"/>
      <c r="AN81" s="34"/>
      <c r="AO81" s="34"/>
      <c r="AP81" s="33"/>
      <c r="AQ81" s="34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4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5"/>
      <c r="CC81" s="33"/>
      <c r="CD81" s="33"/>
      <c r="CE81" s="33"/>
      <c r="CF81" s="34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4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4"/>
      <c r="DN81" s="34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8"/>
    </row>
    <row r="82" spans="2:137" ht="13.2">
      <c r="B82" s="30" t="str">
        <f t="shared" si="4"/>
        <v>2022/9</v>
      </c>
      <c r="C82" s="31">
        <f t="shared" si="5"/>
        <v>200</v>
      </c>
      <c r="D82" s="32">
        <v>44813</v>
      </c>
      <c r="E82" s="33"/>
      <c r="F82" s="34"/>
      <c r="G82" s="34"/>
      <c r="H82" s="34"/>
      <c r="I82" s="34"/>
      <c r="J82" s="34"/>
      <c r="K82" s="34"/>
      <c r="L82" s="34"/>
      <c r="M82" s="34"/>
      <c r="N82" s="34" t="s">
        <v>206</v>
      </c>
      <c r="O82" s="34"/>
      <c r="P82" s="34"/>
      <c r="Q82" s="33"/>
      <c r="R82" s="33"/>
      <c r="S82" s="33"/>
      <c r="T82" s="33"/>
      <c r="U82" s="35"/>
      <c r="V82" s="36"/>
      <c r="W82" s="37"/>
      <c r="X82" s="34"/>
      <c r="Y82" s="33"/>
      <c r="Z82" s="33"/>
      <c r="AA82" s="33"/>
      <c r="AB82" s="35"/>
      <c r="AC82" s="34"/>
      <c r="AD82" s="34" t="s">
        <v>207</v>
      </c>
      <c r="AE82" s="34" t="s">
        <v>207</v>
      </c>
      <c r="AF82" s="34"/>
      <c r="AG82" s="34"/>
      <c r="AH82" s="33"/>
      <c r="AI82" s="33"/>
      <c r="AJ82" s="34"/>
      <c r="AK82" s="33"/>
      <c r="AL82" s="33"/>
      <c r="AM82" s="33"/>
      <c r="AN82" s="34"/>
      <c r="AO82" s="34"/>
      <c r="AP82" s="33"/>
      <c r="AQ82" s="34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4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5"/>
      <c r="CC82" s="33"/>
      <c r="CD82" s="33"/>
      <c r="CE82" s="33"/>
      <c r="CF82" s="34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4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4">
        <v>200</v>
      </c>
      <c r="DN82" s="34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8"/>
    </row>
    <row r="83" spans="2:137" ht="13.2">
      <c r="B83" s="30" t="str">
        <f t="shared" si="4"/>
        <v>2022/9</v>
      </c>
      <c r="C83" s="31">
        <f t="shared" si="5"/>
        <v>350</v>
      </c>
      <c r="D83" s="32">
        <v>44817</v>
      </c>
      <c r="E83" s="33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3"/>
      <c r="R83" s="33"/>
      <c r="S83" s="33"/>
      <c r="T83" s="33"/>
      <c r="U83" s="35"/>
      <c r="V83" s="36"/>
      <c r="W83" s="37"/>
      <c r="X83" s="34"/>
      <c r="Y83" s="33"/>
      <c r="Z83" s="33"/>
      <c r="AA83" s="33"/>
      <c r="AB83" s="35"/>
      <c r="AC83" s="34"/>
      <c r="AD83" s="34"/>
      <c r="AE83" s="34"/>
      <c r="AF83" s="34" t="s">
        <v>209</v>
      </c>
      <c r="AG83" s="34"/>
      <c r="AH83" s="33"/>
      <c r="AI83" s="33"/>
      <c r="AJ83" s="34"/>
      <c r="AK83" s="33"/>
      <c r="AL83" s="33"/>
      <c r="AM83" s="33"/>
      <c r="AN83" s="34"/>
      <c r="AO83" s="34"/>
      <c r="AP83" s="33"/>
      <c r="AQ83" s="34">
        <v>150</v>
      </c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4" t="s">
        <v>208</v>
      </c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5"/>
      <c r="CC83" s="33"/>
      <c r="CD83" s="33"/>
      <c r="CE83" s="33"/>
      <c r="CF83" s="34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4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4"/>
      <c r="DN83" s="34">
        <v>200</v>
      </c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8"/>
    </row>
    <row r="84" spans="2:137" ht="13.2">
      <c r="B84" s="30" t="str">
        <f t="shared" si="4"/>
        <v>2022/9</v>
      </c>
      <c r="C84" s="31">
        <f t="shared" si="5"/>
        <v>500</v>
      </c>
      <c r="D84" s="32">
        <v>44818</v>
      </c>
      <c r="E84" s="33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3"/>
      <c r="R84" s="33"/>
      <c r="S84" s="33"/>
      <c r="T84" s="33"/>
      <c r="U84" s="35"/>
      <c r="V84" s="36"/>
      <c r="W84" s="37"/>
      <c r="X84" s="34"/>
      <c r="Y84" s="33"/>
      <c r="Z84" s="33"/>
      <c r="AA84" s="33"/>
      <c r="AB84" s="35"/>
      <c r="AC84" s="34"/>
      <c r="AD84" s="34"/>
      <c r="AE84" s="34"/>
      <c r="AF84" s="34"/>
      <c r="AG84" s="34"/>
      <c r="AH84" s="33"/>
      <c r="AI84" s="33"/>
      <c r="AJ84" s="34"/>
      <c r="AK84" s="33"/>
      <c r="AL84" s="33"/>
      <c r="AM84" s="33"/>
      <c r="AN84" s="34"/>
      <c r="AO84" s="34"/>
      <c r="AP84" s="33"/>
      <c r="AQ84" s="34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4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5"/>
      <c r="CC84" s="33"/>
      <c r="CD84" s="33"/>
      <c r="CE84" s="33"/>
      <c r="CF84" s="34">
        <v>350</v>
      </c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4">
        <v>150</v>
      </c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4"/>
      <c r="DN84" s="34" t="s">
        <v>209</v>
      </c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8"/>
    </row>
    <row r="85" spans="2:137" ht="13.2">
      <c r="B85" s="30" t="str">
        <f t="shared" si="4"/>
        <v>2022/9</v>
      </c>
      <c r="C85" s="31">
        <f t="shared" si="5"/>
        <v>200</v>
      </c>
      <c r="D85" s="32">
        <v>44819</v>
      </c>
      <c r="E85" s="33"/>
      <c r="F85" s="34"/>
      <c r="G85" s="34"/>
      <c r="H85" s="34"/>
      <c r="I85" s="34"/>
      <c r="J85" s="34"/>
      <c r="K85" s="34"/>
      <c r="L85" s="34"/>
      <c r="M85" s="34"/>
      <c r="N85" s="34" t="s">
        <v>207</v>
      </c>
      <c r="O85" s="34"/>
      <c r="P85" s="34"/>
      <c r="Q85" s="33"/>
      <c r="R85" s="33"/>
      <c r="S85" s="33"/>
      <c r="T85" s="33"/>
      <c r="U85" s="35"/>
      <c r="V85" s="36"/>
      <c r="W85" s="37"/>
      <c r="X85" s="34"/>
      <c r="Y85" s="33"/>
      <c r="Z85" s="33"/>
      <c r="AA85" s="33"/>
      <c r="AB85" s="35"/>
      <c r="AC85" s="34"/>
      <c r="AD85" s="34"/>
      <c r="AE85" s="34"/>
      <c r="AF85" s="34"/>
      <c r="AG85" s="34">
        <v>200</v>
      </c>
      <c r="AH85" s="33"/>
      <c r="AI85" s="33"/>
      <c r="AJ85" s="34"/>
      <c r="AK85" s="33"/>
      <c r="AL85" s="33"/>
      <c r="AM85" s="33"/>
      <c r="AN85" s="34"/>
      <c r="AO85" s="34"/>
      <c r="AP85" s="33"/>
      <c r="AQ85" s="34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4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5"/>
      <c r="CC85" s="33"/>
      <c r="CD85" s="33"/>
      <c r="CE85" s="33"/>
      <c r="CF85" s="34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4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4"/>
      <c r="DN85" s="34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8"/>
    </row>
    <row r="86" spans="2:137" ht="13.2">
      <c r="B86" s="30" t="str">
        <f t="shared" si="4"/>
        <v>2022/9</v>
      </c>
      <c r="C86" s="31">
        <f t="shared" si="5"/>
        <v>200</v>
      </c>
      <c r="D86" s="32">
        <v>44820</v>
      </c>
      <c r="E86" s="33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3"/>
      <c r="R86" s="33"/>
      <c r="S86" s="33"/>
      <c r="T86" s="33"/>
      <c r="U86" s="35"/>
      <c r="V86" s="36"/>
      <c r="W86" s="37"/>
      <c r="X86" s="34"/>
      <c r="Y86" s="33"/>
      <c r="Z86" s="33"/>
      <c r="AA86" s="33"/>
      <c r="AB86" s="35"/>
      <c r="AC86" s="34"/>
      <c r="AD86" s="34" t="s">
        <v>208</v>
      </c>
      <c r="AE86" s="34" t="s">
        <v>208</v>
      </c>
      <c r="AF86" s="34"/>
      <c r="AG86" s="34"/>
      <c r="AH86" s="33"/>
      <c r="AI86" s="33"/>
      <c r="AJ86" s="34"/>
      <c r="AK86" s="33"/>
      <c r="AL86" s="33"/>
      <c r="AM86" s="33"/>
      <c r="AN86" s="34"/>
      <c r="AO86" s="34"/>
      <c r="AP86" s="33"/>
      <c r="AQ86" s="34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4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5"/>
      <c r="CC86" s="33"/>
      <c r="CD86" s="33"/>
      <c r="CE86" s="33"/>
      <c r="CF86" s="34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4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4">
        <v>200</v>
      </c>
      <c r="DN86" s="34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8"/>
    </row>
    <row r="87" spans="2:137" ht="13.2">
      <c r="B87" s="30" t="str">
        <f t="shared" si="4"/>
        <v>2022/9</v>
      </c>
      <c r="C87" s="31">
        <f t="shared" si="5"/>
        <v>1300</v>
      </c>
      <c r="D87" s="32">
        <v>44823</v>
      </c>
      <c r="E87" s="33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>
        <v>1300</v>
      </c>
      <c r="Q87" s="33"/>
      <c r="R87" s="33"/>
      <c r="S87" s="33"/>
      <c r="T87" s="33"/>
      <c r="U87" s="35"/>
      <c r="V87" s="36"/>
      <c r="W87" s="37"/>
      <c r="X87" s="34"/>
      <c r="Y87" s="33"/>
      <c r="Z87" s="33"/>
      <c r="AA87" s="33"/>
      <c r="AB87" s="35"/>
      <c r="AC87" s="34"/>
      <c r="AD87" s="34"/>
      <c r="AE87" s="34"/>
      <c r="AF87" s="34"/>
      <c r="AG87" s="34"/>
      <c r="AH87" s="33"/>
      <c r="AI87" s="33"/>
      <c r="AJ87" s="34"/>
      <c r="AK87" s="33"/>
      <c r="AL87" s="33"/>
      <c r="AM87" s="33"/>
      <c r="AN87" s="34"/>
      <c r="AO87" s="34"/>
      <c r="AP87" s="33"/>
      <c r="AQ87" s="34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4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5"/>
      <c r="CC87" s="33"/>
      <c r="CD87" s="33"/>
      <c r="CE87" s="33"/>
      <c r="CF87" s="34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4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4"/>
      <c r="DN87" s="34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8"/>
    </row>
    <row r="88" spans="2:137" ht="13.2">
      <c r="B88" s="30" t="str">
        <f t="shared" si="4"/>
        <v>2022/9</v>
      </c>
      <c r="C88" s="31" t="str">
        <f t="shared" si="5"/>
        <v/>
      </c>
      <c r="D88" s="32">
        <v>44824</v>
      </c>
      <c r="E88" s="33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3"/>
      <c r="R88" s="33"/>
      <c r="S88" s="33"/>
      <c r="T88" s="33"/>
      <c r="U88" s="35"/>
      <c r="V88" s="36"/>
      <c r="W88" s="37"/>
      <c r="X88" s="34"/>
      <c r="Y88" s="33"/>
      <c r="Z88" s="33"/>
      <c r="AA88" s="33"/>
      <c r="AB88" s="35"/>
      <c r="AC88" s="34"/>
      <c r="AD88" s="34"/>
      <c r="AE88" s="34"/>
      <c r="AF88" s="34" t="s">
        <v>206</v>
      </c>
      <c r="AG88" s="34"/>
      <c r="AH88" s="33"/>
      <c r="AI88" s="33"/>
      <c r="AJ88" s="34"/>
      <c r="AK88" s="33"/>
      <c r="AL88" s="33"/>
      <c r="AM88" s="33"/>
      <c r="AN88" s="34"/>
      <c r="AO88" s="34"/>
      <c r="AP88" s="33"/>
      <c r="AQ88" s="34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4" t="s">
        <v>209</v>
      </c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5"/>
      <c r="CC88" s="33"/>
      <c r="CD88" s="33"/>
      <c r="CE88" s="33"/>
      <c r="CF88" s="34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4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4"/>
      <c r="DN88" s="34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8"/>
    </row>
    <row r="89" spans="2:137" ht="13.2">
      <c r="B89" s="30" t="str">
        <f t="shared" si="4"/>
        <v>2022/9</v>
      </c>
      <c r="C89" s="31">
        <f t="shared" si="5"/>
        <v>1700</v>
      </c>
      <c r="D89" s="32">
        <v>44825</v>
      </c>
      <c r="E89" s="33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3"/>
      <c r="R89" s="33"/>
      <c r="S89" s="33"/>
      <c r="T89" s="33"/>
      <c r="U89" s="35"/>
      <c r="V89" s="36"/>
      <c r="W89" s="37"/>
      <c r="X89" s="34"/>
      <c r="Y89" s="33"/>
      <c r="Z89" s="33"/>
      <c r="AA89" s="33"/>
      <c r="AB89" s="35"/>
      <c r="AC89" s="34"/>
      <c r="AD89" s="34"/>
      <c r="AE89" s="34" t="s">
        <v>210</v>
      </c>
      <c r="AF89" s="34">
        <v>600</v>
      </c>
      <c r="AG89" s="34"/>
      <c r="AH89" s="33"/>
      <c r="AI89" s="33"/>
      <c r="AJ89" s="34">
        <v>300</v>
      </c>
      <c r="AK89" s="33"/>
      <c r="AL89" s="33"/>
      <c r="AM89" s="33"/>
      <c r="AN89" s="34"/>
      <c r="AO89" s="34"/>
      <c r="AP89" s="33"/>
      <c r="AQ89" s="34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4">
        <v>800</v>
      </c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5"/>
      <c r="CC89" s="33"/>
      <c r="CD89" s="33"/>
      <c r="CE89" s="33"/>
      <c r="CF89" s="34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4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4"/>
      <c r="DN89" s="34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8"/>
    </row>
    <row r="90" spans="2:137" ht="13.2">
      <c r="B90" s="30" t="str">
        <f t="shared" si="4"/>
        <v>2022/9</v>
      </c>
      <c r="C90" s="31">
        <f t="shared" si="5"/>
        <v>650</v>
      </c>
      <c r="D90" s="32">
        <v>44826</v>
      </c>
      <c r="E90" s="33"/>
      <c r="F90" s="34"/>
      <c r="G90" s="34"/>
      <c r="H90" s="34"/>
      <c r="I90" s="34"/>
      <c r="J90" s="34"/>
      <c r="K90" s="34"/>
      <c r="L90" s="34"/>
      <c r="M90" s="34"/>
      <c r="N90" s="34" t="s">
        <v>208</v>
      </c>
      <c r="O90" s="34"/>
      <c r="P90" s="34"/>
      <c r="Q90" s="33"/>
      <c r="R90" s="33"/>
      <c r="S90" s="33"/>
      <c r="T90" s="33"/>
      <c r="U90" s="35"/>
      <c r="V90" s="36"/>
      <c r="W90" s="37"/>
      <c r="X90" s="34"/>
      <c r="Y90" s="33"/>
      <c r="Z90" s="33"/>
      <c r="AA90" s="33"/>
      <c r="AB90" s="35"/>
      <c r="AC90" s="34"/>
      <c r="AD90" s="34" t="s">
        <v>210</v>
      </c>
      <c r="AE90" s="34"/>
      <c r="AF90" s="34"/>
      <c r="AG90" s="34"/>
      <c r="AH90" s="33"/>
      <c r="AI90" s="33"/>
      <c r="AJ90" s="34"/>
      <c r="AK90" s="33"/>
      <c r="AL90" s="33"/>
      <c r="AM90" s="33"/>
      <c r="AN90" s="34">
        <v>150</v>
      </c>
      <c r="AO90" s="34"/>
      <c r="AP90" s="33"/>
      <c r="AQ90" s="34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4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5"/>
      <c r="CC90" s="33"/>
      <c r="CD90" s="33"/>
      <c r="CE90" s="33"/>
      <c r="CF90" s="34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4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4"/>
      <c r="DN90" s="34">
        <v>500</v>
      </c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8"/>
    </row>
    <row r="91" spans="2:137" ht="13.2">
      <c r="B91" s="30" t="str">
        <f t="shared" si="4"/>
        <v>2022/9</v>
      </c>
      <c r="C91" s="31">
        <f t="shared" si="5"/>
        <v>200</v>
      </c>
      <c r="D91" s="32">
        <v>44827</v>
      </c>
      <c r="E91" s="33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3"/>
      <c r="R91" s="33"/>
      <c r="S91" s="33"/>
      <c r="T91" s="33"/>
      <c r="U91" s="35"/>
      <c r="V91" s="36"/>
      <c r="W91" s="37"/>
      <c r="X91" s="34"/>
      <c r="Y91" s="33"/>
      <c r="Z91" s="33"/>
      <c r="AA91" s="33"/>
      <c r="AB91" s="35"/>
      <c r="AC91" s="34"/>
      <c r="AD91" s="34"/>
      <c r="AE91" s="34"/>
      <c r="AF91" s="34"/>
      <c r="AG91" s="34"/>
      <c r="AH91" s="33"/>
      <c r="AI91" s="33"/>
      <c r="AJ91" s="34"/>
      <c r="AK91" s="33"/>
      <c r="AL91" s="33"/>
      <c r="AM91" s="33"/>
      <c r="AN91" s="34"/>
      <c r="AO91" s="34"/>
      <c r="AP91" s="33"/>
      <c r="AQ91" s="34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4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5"/>
      <c r="CC91" s="33"/>
      <c r="CD91" s="33"/>
      <c r="CE91" s="33"/>
      <c r="CF91" s="34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4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4">
        <v>200</v>
      </c>
      <c r="DN91" s="34" t="s">
        <v>206</v>
      </c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8"/>
    </row>
    <row r="92" spans="2:137" ht="13.2">
      <c r="B92" s="30" t="str">
        <f t="shared" si="4"/>
        <v>2022/9</v>
      </c>
      <c r="C92" s="31">
        <f t="shared" si="5"/>
        <v>200</v>
      </c>
      <c r="D92" s="32">
        <v>44831</v>
      </c>
      <c r="E92" s="33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3"/>
      <c r="R92" s="33"/>
      <c r="S92" s="33"/>
      <c r="T92" s="33"/>
      <c r="U92" s="35"/>
      <c r="V92" s="36"/>
      <c r="W92" s="37"/>
      <c r="X92" s="34"/>
      <c r="Y92" s="33"/>
      <c r="Z92" s="33"/>
      <c r="AA92" s="33"/>
      <c r="AB92" s="35"/>
      <c r="AC92" s="34">
        <v>200</v>
      </c>
      <c r="AD92" s="34"/>
      <c r="AE92" s="34"/>
      <c r="AF92" s="34" t="s">
        <v>207</v>
      </c>
      <c r="AG92" s="34"/>
      <c r="AH92" s="33"/>
      <c r="AI92" s="33"/>
      <c r="AJ92" s="34"/>
      <c r="AK92" s="33"/>
      <c r="AL92" s="33"/>
      <c r="AM92" s="33"/>
      <c r="AN92" s="34"/>
      <c r="AO92" s="34"/>
      <c r="AP92" s="33"/>
      <c r="AQ92" s="34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4" t="s">
        <v>206</v>
      </c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5"/>
      <c r="CC92" s="33"/>
      <c r="CD92" s="33"/>
      <c r="CE92" s="33"/>
      <c r="CF92" s="34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4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4"/>
      <c r="DN92" s="34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8"/>
    </row>
    <row r="93" spans="2:137" ht="13.2">
      <c r="B93" s="30" t="str">
        <f t="shared" si="4"/>
        <v>2022/9</v>
      </c>
      <c r="C93" s="31">
        <f t="shared" si="5"/>
        <v>500</v>
      </c>
      <c r="D93" s="32">
        <v>44833</v>
      </c>
      <c r="E93" s="33"/>
      <c r="F93" s="34"/>
      <c r="G93" s="34"/>
      <c r="H93" s="34"/>
      <c r="I93" s="34"/>
      <c r="J93" s="34"/>
      <c r="K93" s="34"/>
      <c r="L93" s="34"/>
      <c r="M93" s="34"/>
      <c r="N93" s="34" t="s">
        <v>211</v>
      </c>
      <c r="O93" s="34"/>
      <c r="P93" s="34"/>
      <c r="Q93" s="33"/>
      <c r="R93" s="33"/>
      <c r="S93" s="33"/>
      <c r="T93" s="33"/>
      <c r="U93" s="35"/>
      <c r="V93" s="36"/>
      <c r="W93" s="37"/>
      <c r="X93" s="34"/>
      <c r="Y93" s="33"/>
      <c r="Z93" s="33"/>
      <c r="AA93" s="33"/>
      <c r="AB93" s="35"/>
      <c r="AC93" s="34"/>
      <c r="AD93" s="34" t="s">
        <v>212</v>
      </c>
      <c r="AE93" s="34" t="s">
        <v>212</v>
      </c>
      <c r="AF93" s="34"/>
      <c r="AG93" s="34">
        <v>200</v>
      </c>
      <c r="AH93" s="33"/>
      <c r="AI93" s="33"/>
      <c r="AJ93" s="34"/>
      <c r="AK93" s="33"/>
      <c r="AL93" s="33"/>
      <c r="AM93" s="33"/>
      <c r="AN93" s="34"/>
      <c r="AO93" s="34"/>
      <c r="AP93" s="33"/>
      <c r="AQ93" s="34">
        <v>150</v>
      </c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4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5"/>
      <c r="CC93" s="33"/>
      <c r="CD93" s="33"/>
      <c r="CE93" s="33"/>
      <c r="CF93" s="34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4">
        <v>150</v>
      </c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4"/>
      <c r="DN93" s="34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8"/>
    </row>
    <row r="94" spans="2:137" ht="13.2">
      <c r="B94" s="30" t="str">
        <f t="shared" si="4"/>
        <v>2022/9</v>
      </c>
      <c r="C94" s="31">
        <f t="shared" si="5"/>
        <v>450</v>
      </c>
      <c r="D94" s="32">
        <v>44834</v>
      </c>
      <c r="E94" s="33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3"/>
      <c r="R94" s="33"/>
      <c r="S94" s="33"/>
      <c r="T94" s="33"/>
      <c r="U94" s="35"/>
      <c r="V94" s="36"/>
      <c r="W94" s="37"/>
      <c r="X94" s="34"/>
      <c r="Y94" s="33"/>
      <c r="Z94" s="33"/>
      <c r="AA94" s="33"/>
      <c r="AB94" s="35"/>
      <c r="AC94" s="34"/>
      <c r="AD94" s="34"/>
      <c r="AE94" s="34"/>
      <c r="AF94" s="34"/>
      <c r="AG94" s="34"/>
      <c r="AH94" s="33"/>
      <c r="AI94" s="33"/>
      <c r="AJ94" s="34"/>
      <c r="AK94" s="33"/>
      <c r="AL94" s="33"/>
      <c r="AM94" s="33"/>
      <c r="AN94" s="34"/>
      <c r="AO94" s="34"/>
      <c r="AP94" s="33"/>
      <c r="AQ94" s="34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4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5"/>
      <c r="CC94" s="33"/>
      <c r="CD94" s="33"/>
      <c r="CE94" s="33"/>
      <c r="CF94" s="34">
        <v>250</v>
      </c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4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4">
        <v>200</v>
      </c>
      <c r="DN94" s="34" t="s">
        <v>207</v>
      </c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8"/>
    </row>
    <row r="95" spans="2:137" ht="13.2">
      <c r="B95" s="30" t="str">
        <f t="shared" si="4"/>
        <v>2022/10</v>
      </c>
      <c r="C95" s="31">
        <f t="shared" si="5"/>
        <v>600</v>
      </c>
      <c r="D95" s="32">
        <v>44838</v>
      </c>
      <c r="E95" s="33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3"/>
      <c r="R95" s="33"/>
      <c r="S95" s="33"/>
      <c r="T95" s="33"/>
      <c r="U95" s="35"/>
      <c r="V95" s="36"/>
      <c r="W95" s="37"/>
      <c r="X95" s="34"/>
      <c r="Y95" s="33"/>
      <c r="Z95" s="33"/>
      <c r="AA95" s="33"/>
      <c r="AB95" s="35"/>
      <c r="AC95" s="34"/>
      <c r="AD95" s="34"/>
      <c r="AE95" s="34"/>
      <c r="AF95" s="34">
        <v>600</v>
      </c>
      <c r="AG95" s="34"/>
      <c r="AH95" s="33"/>
      <c r="AI95" s="33"/>
      <c r="AJ95" s="34"/>
      <c r="AK95" s="33"/>
      <c r="AL95" s="33"/>
      <c r="AM95" s="33"/>
      <c r="AN95" s="34"/>
      <c r="AO95" s="34"/>
      <c r="AP95" s="33"/>
      <c r="AQ95" s="34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4" t="s">
        <v>207</v>
      </c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5"/>
      <c r="CC95" s="33"/>
      <c r="CD95" s="33"/>
      <c r="CE95" s="33"/>
      <c r="CF95" s="34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4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4"/>
      <c r="DN95" s="34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8"/>
    </row>
    <row r="96" spans="2:137" ht="13.2">
      <c r="B96" s="30" t="str">
        <f t="shared" si="4"/>
        <v>2022/10</v>
      </c>
      <c r="C96" s="31">
        <f t="shared" si="5"/>
        <v>300</v>
      </c>
      <c r="D96" s="32">
        <v>44839</v>
      </c>
      <c r="E96" s="33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3"/>
      <c r="R96" s="33"/>
      <c r="S96" s="33"/>
      <c r="T96" s="33"/>
      <c r="U96" s="35"/>
      <c r="V96" s="36"/>
      <c r="W96" s="37"/>
      <c r="X96" s="34"/>
      <c r="Y96" s="33"/>
      <c r="Z96" s="33"/>
      <c r="AA96" s="33"/>
      <c r="AB96" s="35"/>
      <c r="AC96" s="34"/>
      <c r="AD96" s="34"/>
      <c r="AE96" s="34" t="s">
        <v>207</v>
      </c>
      <c r="AF96" s="34"/>
      <c r="AG96" s="34"/>
      <c r="AH96" s="33"/>
      <c r="AI96" s="33"/>
      <c r="AJ96" s="34"/>
      <c r="AK96" s="33"/>
      <c r="AL96" s="33"/>
      <c r="AM96" s="33"/>
      <c r="AN96" s="34">
        <v>300</v>
      </c>
      <c r="AO96" s="34"/>
      <c r="AP96" s="33"/>
      <c r="AQ96" s="34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4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5"/>
      <c r="CC96" s="33"/>
      <c r="CD96" s="33"/>
      <c r="CE96" s="33"/>
      <c r="CF96" s="34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4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4"/>
      <c r="DN96" s="34" t="s">
        <v>208</v>
      </c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8"/>
    </row>
    <row r="97" spans="2:137" ht="13.2">
      <c r="B97" s="30" t="str">
        <f t="shared" si="4"/>
        <v>2022/10</v>
      </c>
      <c r="C97" s="31">
        <f t="shared" si="5"/>
        <v>200</v>
      </c>
      <c r="D97" s="32">
        <v>44840</v>
      </c>
      <c r="E97" s="33"/>
      <c r="F97" s="34"/>
      <c r="G97" s="34"/>
      <c r="H97" s="34"/>
      <c r="I97" s="34"/>
      <c r="J97" s="34"/>
      <c r="K97" s="34"/>
      <c r="L97" s="34"/>
      <c r="M97" s="34"/>
      <c r="N97" s="34" t="s">
        <v>213</v>
      </c>
      <c r="O97" s="34"/>
      <c r="P97" s="34"/>
      <c r="Q97" s="33"/>
      <c r="R97" s="33"/>
      <c r="S97" s="33"/>
      <c r="T97" s="33"/>
      <c r="U97" s="35"/>
      <c r="V97" s="36"/>
      <c r="W97" s="37"/>
      <c r="X97" s="34"/>
      <c r="Y97" s="33"/>
      <c r="Z97" s="33"/>
      <c r="AA97" s="33"/>
      <c r="AB97" s="35"/>
      <c r="AC97" s="34"/>
      <c r="AD97" s="34" t="s">
        <v>214</v>
      </c>
      <c r="AE97" s="34"/>
      <c r="AF97" s="34"/>
      <c r="AG97" s="34">
        <v>200</v>
      </c>
      <c r="AH97" s="33"/>
      <c r="AI97" s="33"/>
      <c r="AJ97" s="34"/>
      <c r="AK97" s="33"/>
      <c r="AL97" s="33"/>
      <c r="AM97" s="33"/>
      <c r="AN97" s="34"/>
      <c r="AO97" s="34"/>
      <c r="AP97" s="33"/>
      <c r="AQ97" s="34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4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5"/>
      <c r="CC97" s="33"/>
      <c r="CD97" s="33"/>
      <c r="CE97" s="33"/>
      <c r="CF97" s="34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4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4"/>
      <c r="DN97" s="34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8"/>
    </row>
    <row r="98" spans="2:137" ht="13.2">
      <c r="B98" s="30" t="str">
        <f t="shared" si="4"/>
        <v>2022/10</v>
      </c>
      <c r="C98" s="31">
        <f t="shared" si="5"/>
        <v>200</v>
      </c>
      <c r="D98" s="32">
        <v>44841</v>
      </c>
      <c r="E98" s="33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3"/>
      <c r="R98" s="33"/>
      <c r="S98" s="33"/>
      <c r="T98" s="33"/>
      <c r="U98" s="35"/>
      <c r="V98" s="36"/>
      <c r="W98" s="37"/>
      <c r="X98" s="34"/>
      <c r="Y98" s="33"/>
      <c r="Z98" s="33"/>
      <c r="AA98" s="33"/>
      <c r="AB98" s="35"/>
      <c r="AC98" s="34"/>
      <c r="AD98" s="34"/>
      <c r="AE98" s="34"/>
      <c r="AF98" s="34"/>
      <c r="AG98" s="34"/>
      <c r="AH98" s="33"/>
      <c r="AI98" s="33"/>
      <c r="AJ98" s="34"/>
      <c r="AK98" s="33"/>
      <c r="AL98" s="33"/>
      <c r="AM98" s="33"/>
      <c r="AN98" s="34"/>
      <c r="AO98" s="34"/>
      <c r="AP98" s="33"/>
      <c r="AQ98" s="34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4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5"/>
      <c r="CC98" s="33"/>
      <c r="CD98" s="33"/>
      <c r="CE98" s="33"/>
      <c r="CF98" s="34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4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4">
        <v>200</v>
      </c>
      <c r="DN98" s="34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8"/>
    </row>
    <row r="99" spans="2:137" ht="13.2">
      <c r="B99" s="30" t="str">
        <f t="shared" si="4"/>
        <v>2022/10</v>
      </c>
      <c r="C99" s="31">
        <f t="shared" si="5"/>
        <v>4140</v>
      </c>
      <c r="D99" s="32">
        <v>44847</v>
      </c>
      <c r="E99" s="33"/>
      <c r="F99" s="34"/>
      <c r="G99" s="34"/>
      <c r="H99" s="34"/>
      <c r="I99" s="34"/>
      <c r="J99" s="34"/>
      <c r="K99" s="34"/>
      <c r="L99" s="34"/>
      <c r="M99" s="34"/>
      <c r="N99" s="34" t="s">
        <v>213</v>
      </c>
      <c r="O99" s="34"/>
      <c r="P99" s="34">
        <v>390</v>
      </c>
      <c r="Q99" s="33"/>
      <c r="R99" s="33"/>
      <c r="S99" s="33"/>
      <c r="T99" s="33"/>
      <c r="U99" s="35"/>
      <c r="V99" s="36"/>
      <c r="W99" s="37"/>
      <c r="X99" s="34"/>
      <c r="Y99" s="33"/>
      <c r="Z99" s="33"/>
      <c r="AA99" s="33"/>
      <c r="AB99" s="35"/>
      <c r="AC99" s="34">
        <v>1750</v>
      </c>
      <c r="AD99" s="34" t="s">
        <v>208</v>
      </c>
      <c r="AE99" s="34">
        <v>1500</v>
      </c>
      <c r="AF99" s="34"/>
      <c r="AG99" s="34">
        <v>200</v>
      </c>
      <c r="AH99" s="33"/>
      <c r="AI99" s="33"/>
      <c r="AJ99" s="34"/>
      <c r="AK99" s="33"/>
      <c r="AL99" s="33"/>
      <c r="AM99" s="33"/>
      <c r="AN99" s="34"/>
      <c r="AO99" s="34"/>
      <c r="AP99" s="33"/>
      <c r="AQ99" s="34">
        <v>150</v>
      </c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4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5"/>
      <c r="CC99" s="33"/>
      <c r="CD99" s="33"/>
      <c r="CE99" s="33"/>
      <c r="CF99" s="34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4">
        <v>150</v>
      </c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4"/>
      <c r="DN99" s="34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8"/>
    </row>
    <row r="100" spans="2:137" ht="13.2">
      <c r="B100" s="30" t="str">
        <f t="shared" si="4"/>
        <v>2022/10</v>
      </c>
      <c r="C100" s="31">
        <f t="shared" si="5"/>
        <v>2100</v>
      </c>
      <c r="D100" s="32">
        <v>44848</v>
      </c>
      <c r="E100" s="33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3"/>
      <c r="R100" s="33"/>
      <c r="S100" s="33"/>
      <c r="T100" s="33"/>
      <c r="U100" s="35"/>
      <c r="V100" s="36"/>
      <c r="W100" s="37"/>
      <c r="X100" s="34"/>
      <c r="Y100" s="33"/>
      <c r="Z100" s="33"/>
      <c r="AA100" s="33"/>
      <c r="AB100" s="35"/>
      <c r="AC100" s="34"/>
      <c r="AD100" s="34">
        <v>1500</v>
      </c>
      <c r="AE100" s="34" t="s">
        <v>208</v>
      </c>
      <c r="AF100" s="34" t="s">
        <v>208</v>
      </c>
      <c r="AG100" s="34"/>
      <c r="AH100" s="33"/>
      <c r="AI100" s="33"/>
      <c r="AJ100" s="34">
        <v>300</v>
      </c>
      <c r="AK100" s="33"/>
      <c r="AL100" s="33"/>
      <c r="AM100" s="33"/>
      <c r="AN100" s="34"/>
      <c r="AO100" s="34"/>
      <c r="AP100" s="33"/>
      <c r="AQ100" s="34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4" t="s">
        <v>208</v>
      </c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5"/>
      <c r="CC100" s="33"/>
      <c r="CD100" s="33"/>
      <c r="CE100" s="33"/>
      <c r="CF100" s="34">
        <v>300</v>
      </c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4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4"/>
      <c r="DN100" s="34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8"/>
    </row>
    <row r="101" spans="2:137" ht="13.2">
      <c r="B101" s="30" t="str">
        <f t="shared" si="4"/>
        <v>2022/10</v>
      </c>
      <c r="C101" s="31">
        <f t="shared" si="5"/>
        <v>200</v>
      </c>
      <c r="D101" s="32">
        <v>44852</v>
      </c>
      <c r="E101" s="33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3"/>
      <c r="R101" s="33"/>
      <c r="S101" s="33"/>
      <c r="T101" s="33"/>
      <c r="U101" s="35"/>
      <c r="V101" s="36"/>
      <c r="W101" s="37"/>
      <c r="X101" s="34"/>
      <c r="Y101" s="33"/>
      <c r="Z101" s="33"/>
      <c r="AA101" s="33"/>
      <c r="AB101" s="35"/>
      <c r="AC101" s="34"/>
      <c r="AD101" s="34" t="s">
        <v>210</v>
      </c>
      <c r="AE101" s="34"/>
      <c r="AF101" s="34" t="s">
        <v>209</v>
      </c>
      <c r="AG101" s="34"/>
      <c r="AH101" s="33"/>
      <c r="AI101" s="33"/>
      <c r="AJ101" s="34"/>
      <c r="AK101" s="33"/>
      <c r="AL101" s="33"/>
      <c r="AM101" s="33"/>
      <c r="AN101" s="34"/>
      <c r="AO101" s="34"/>
      <c r="AP101" s="33"/>
      <c r="AQ101" s="34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4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5"/>
      <c r="CC101" s="33"/>
      <c r="CD101" s="33"/>
      <c r="CE101" s="33"/>
      <c r="CF101" s="34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4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4">
        <v>200</v>
      </c>
      <c r="DN101" s="34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8"/>
    </row>
    <row r="102" spans="2:137" ht="13.2">
      <c r="B102" s="30" t="str">
        <f t="shared" si="4"/>
        <v>2022/10</v>
      </c>
      <c r="C102" s="31">
        <f t="shared" si="5"/>
        <v>300</v>
      </c>
      <c r="D102" s="32">
        <v>44853</v>
      </c>
      <c r="E102" s="33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3"/>
      <c r="R102" s="33"/>
      <c r="S102" s="33"/>
      <c r="T102" s="33"/>
      <c r="U102" s="35"/>
      <c r="V102" s="36"/>
      <c r="W102" s="37"/>
      <c r="X102" s="34"/>
      <c r="Y102" s="33"/>
      <c r="Z102" s="33"/>
      <c r="AA102" s="33"/>
      <c r="AB102" s="35"/>
      <c r="AC102" s="34"/>
      <c r="AD102" s="34"/>
      <c r="AE102" s="34" t="s">
        <v>210</v>
      </c>
      <c r="AF102" s="34"/>
      <c r="AG102" s="34"/>
      <c r="AH102" s="33"/>
      <c r="AI102" s="33"/>
      <c r="AJ102" s="34"/>
      <c r="AK102" s="33"/>
      <c r="AL102" s="33"/>
      <c r="AM102" s="33"/>
      <c r="AN102" s="34">
        <v>150</v>
      </c>
      <c r="AO102" s="34"/>
      <c r="AP102" s="33"/>
      <c r="AQ102" s="34">
        <v>150</v>
      </c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4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5"/>
      <c r="CC102" s="33"/>
      <c r="CD102" s="33"/>
      <c r="CE102" s="33"/>
      <c r="CF102" s="34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4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4"/>
      <c r="DN102" s="34" t="s">
        <v>215</v>
      </c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8"/>
    </row>
    <row r="103" spans="2:137" ht="13.2">
      <c r="B103" s="30" t="str">
        <f t="shared" si="4"/>
        <v>2022/10</v>
      </c>
      <c r="C103" s="31">
        <f t="shared" si="5"/>
        <v>200</v>
      </c>
      <c r="D103" s="32">
        <v>44854</v>
      </c>
      <c r="E103" s="33"/>
      <c r="F103" s="34"/>
      <c r="G103" s="34"/>
      <c r="H103" s="34"/>
      <c r="I103" s="34"/>
      <c r="J103" s="34"/>
      <c r="K103" s="34"/>
      <c r="L103" s="34"/>
      <c r="M103" s="34"/>
      <c r="N103" s="34" t="s">
        <v>213</v>
      </c>
      <c r="O103" s="34"/>
      <c r="P103" s="34"/>
      <c r="Q103" s="33"/>
      <c r="R103" s="33"/>
      <c r="S103" s="33"/>
      <c r="T103" s="33"/>
      <c r="U103" s="35"/>
      <c r="V103" s="36"/>
      <c r="W103" s="37">
        <v>200</v>
      </c>
      <c r="X103" s="34"/>
      <c r="Y103" s="33"/>
      <c r="Z103" s="33"/>
      <c r="AA103" s="33"/>
      <c r="AB103" s="35"/>
      <c r="AC103" s="34"/>
      <c r="AD103" s="34"/>
      <c r="AE103" s="34"/>
      <c r="AF103" s="34"/>
      <c r="AG103" s="34"/>
      <c r="AH103" s="33"/>
      <c r="AI103" s="33"/>
      <c r="AJ103" s="34"/>
      <c r="AK103" s="33"/>
      <c r="AL103" s="33"/>
      <c r="AM103" s="33"/>
      <c r="AN103" s="34"/>
      <c r="AO103" s="34"/>
      <c r="AP103" s="33"/>
      <c r="AQ103" s="34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4" t="s">
        <v>215</v>
      </c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5"/>
      <c r="CC103" s="33"/>
      <c r="CD103" s="33"/>
      <c r="CE103" s="33"/>
      <c r="CF103" s="34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4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4"/>
      <c r="DN103" s="34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8"/>
    </row>
    <row r="104" spans="2:137" ht="13.2">
      <c r="B104" s="30" t="str">
        <f t="shared" si="4"/>
        <v>2022/10</v>
      </c>
      <c r="C104" s="31">
        <f t="shared" si="5"/>
        <v>800</v>
      </c>
      <c r="D104" s="32">
        <v>44855</v>
      </c>
      <c r="E104" s="33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3"/>
      <c r="R104" s="33"/>
      <c r="S104" s="33"/>
      <c r="T104" s="33"/>
      <c r="U104" s="35"/>
      <c r="V104" s="36"/>
      <c r="W104" s="37"/>
      <c r="X104" s="34"/>
      <c r="Y104" s="33"/>
      <c r="Z104" s="33"/>
      <c r="AA104" s="33"/>
      <c r="AB104" s="35"/>
      <c r="AC104" s="34"/>
      <c r="AD104" s="34"/>
      <c r="AE104" s="34"/>
      <c r="AF104" s="34"/>
      <c r="AG104" s="34"/>
      <c r="AH104" s="33"/>
      <c r="AI104" s="33"/>
      <c r="AJ104" s="34"/>
      <c r="AK104" s="33"/>
      <c r="AL104" s="33"/>
      <c r="AM104" s="33"/>
      <c r="AN104" s="34"/>
      <c r="AO104" s="34"/>
      <c r="AP104" s="33"/>
      <c r="AQ104" s="34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9">
        <v>800</v>
      </c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5"/>
      <c r="CC104" s="33"/>
      <c r="CD104" s="33"/>
      <c r="CE104" s="33"/>
      <c r="CF104" s="34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4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4"/>
      <c r="DN104" s="34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8"/>
    </row>
    <row r="105" spans="2:137" ht="13.2">
      <c r="B105" s="30" t="str">
        <f t="shared" si="4"/>
        <v>2022/10</v>
      </c>
      <c r="C105" s="31">
        <f t="shared" si="5"/>
        <v>300</v>
      </c>
      <c r="D105" s="32">
        <v>44859</v>
      </c>
      <c r="E105" s="33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3"/>
      <c r="R105" s="33"/>
      <c r="S105" s="33"/>
      <c r="T105" s="33"/>
      <c r="U105" s="35"/>
      <c r="V105" s="36"/>
      <c r="W105" s="37"/>
      <c r="X105" s="34"/>
      <c r="Y105" s="33"/>
      <c r="Z105" s="33"/>
      <c r="AA105" s="33"/>
      <c r="AB105" s="35"/>
      <c r="AC105" s="34"/>
      <c r="AD105" s="34" t="s">
        <v>216</v>
      </c>
      <c r="AE105" s="34"/>
      <c r="AF105" s="34" t="s">
        <v>216</v>
      </c>
      <c r="AG105" s="34"/>
      <c r="AH105" s="33"/>
      <c r="AI105" s="33"/>
      <c r="AJ105" s="34"/>
      <c r="AK105" s="33"/>
      <c r="AL105" s="33"/>
      <c r="AM105" s="33"/>
      <c r="AN105" s="34"/>
      <c r="AO105" s="34"/>
      <c r="AP105" s="33"/>
      <c r="AQ105" s="34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4" t="s">
        <v>216</v>
      </c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5"/>
      <c r="CC105" s="33"/>
      <c r="CD105" s="33"/>
      <c r="CE105" s="33"/>
      <c r="CF105" s="34">
        <v>300</v>
      </c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4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4"/>
      <c r="DN105" s="34" t="s">
        <v>216</v>
      </c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8"/>
    </row>
    <row r="106" spans="2:137" ht="13.2">
      <c r="B106" s="30" t="str">
        <f t="shared" si="4"/>
        <v>2022/10</v>
      </c>
      <c r="C106" s="31">
        <f t="shared" si="5"/>
        <v>2799.95</v>
      </c>
      <c r="D106" s="32">
        <v>44860</v>
      </c>
      <c r="E106" s="33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3"/>
      <c r="R106" s="33"/>
      <c r="S106" s="33"/>
      <c r="T106" s="33"/>
      <c r="U106" s="35"/>
      <c r="V106" s="36"/>
      <c r="W106" s="37"/>
      <c r="X106" s="34"/>
      <c r="Y106" s="33"/>
      <c r="Z106" s="33"/>
      <c r="AA106" s="33"/>
      <c r="AB106" s="35">
        <v>1949.95</v>
      </c>
      <c r="AC106" s="34"/>
      <c r="AD106" s="34"/>
      <c r="AE106" s="34"/>
      <c r="AF106" s="34"/>
      <c r="AG106" s="34"/>
      <c r="AH106" s="33"/>
      <c r="AI106" s="33"/>
      <c r="AJ106" s="34"/>
      <c r="AK106" s="33"/>
      <c r="AL106" s="33"/>
      <c r="AM106" s="33"/>
      <c r="AN106" s="34">
        <v>150</v>
      </c>
      <c r="AO106" s="34"/>
      <c r="AP106" s="33"/>
      <c r="AQ106" s="34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4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5"/>
      <c r="CC106" s="33"/>
      <c r="CD106" s="33"/>
      <c r="CE106" s="33"/>
      <c r="CF106" s="34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4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4"/>
      <c r="DN106" s="34">
        <v>700</v>
      </c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8"/>
    </row>
    <row r="107" spans="2:137" ht="13.2">
      <c r="B107" s="30" t="str">
        <f t="shared" si="4"/>
        <v>2022/10</v>
      </c>
      <c r="C107" s="31">
        <f t="shared" si="5"/>
        <v>200</v>
      </c>
      <c r="D107" s="32">
        <v>44861</v>
      </c>
      <c r="E107" s="33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3"/>
      <c r="R107" s="33"/>
      <c r="S107" s="33"/>
      <c r="T107" s="33"/>
      <c r="U107" s="35"/>
      <c r="V107" s="36"/>
      <c r="W107" s="37"/>
      <c r="X107" s="34"/>
      <c r="Y107" s="33"/>
      <c r="Z107" s="33"/>
      <c r="AA107" s="33"/>
      <c r="AB107" s="35"/>
      <c r="AC107" s="34"/>
      <c r="AD107" s="34"/>
      <c r="AE107" s="34"/>
      <c r="AF107" s="34"/>
      <c r="AG107" s="34">
        <v>200</v>
      </c>
      <c r="AH107" s="33"/>
      <c r="AI107" s="33"/>
      <c r="AJ107" s="34"/>
      <c r="AK107" s="33"/>
      <c r="AL107" s="33"/>
      <c r="AM107" s="33"/>
      <c r="AN107" s="34"/>
      <c r="AO107" s="34"/>
      <c r="AP107" s="33"/>
      <c r="AQ107" s="34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4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5"/>
      <c r="CC107" s="33"/>
      <c r="CD107" s="33"/>
      <c r="CE107" s="33"/>
      <c r="CF107" s="34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4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4"/>
      <c r="DN107" s="34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8"/>
    </row>
    <row r="108" spans="2:137" ht="13.2">
      <c r="B108" s="30" t="str">
        <f t="shared" si="4"/>
        <v>2022/10</v>
      </c>
      <c r="C108" s="31">
        <f t="shared" si="5"/>
        <v>350</v>
      </c>
      <c r="D108" s="32">
        <v>44865</v>
      </c>
      <c r="E108" s="33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3">
        <v>200</v>
      </c>
      <c r="R108" s="33"/>
      <c r="S108" s="33"/>
      <c r="T108" s="33"/>
      <c r="U108" s="35"/>
      <c r="V108" s="36"/>
      <c r="W108" s="37"/>
      <c r="X108" s="34"/>
      <c r="Y108" s="33"/>
      <c r="Z108" s="33"/>
      <c r="AA108" s="33"/>
      <c r="AB108" s="35"/>
      <c r="AC108" s="34"/>
      <c r="AD108" s="34"/>
      <c r="AE108" s="34" t="s">
        <v>217</v>
      </c>
      <c r="AF108" s="34"/>
      <c r="AG108" s="34"/>
      <c r="AH108" s="33"/>
      <c r="AI108" s="33"/>
      <c r="AJ108" s="34"/>
      <c r="AK108" s="33"/>
      <c r="AL108" s="33"/>
      <c r="AM108" s="33"/>
      <c r="AN108" s="34">
        <v>150</v>
      </c>
      <c r="AO108" s="34"/>
      <c r="AP108" s="33"/>
      <c r="AQ108" s="34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4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5"/>
      <c r="CC108" s="33"/>
      <c r="CD108" s="33"/>
      <c r="CE108" s="33"/>
      <c r="CF108" s="34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4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4"/>
      <c r="DN108" s="34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8"/>
    </row>
    <row r="109" spans="2:137" ht="13.2">
      <c r="B109" s="30" t="str">
        <f t="shared" si="4"/>
        <v>2022/11</v>
      </c>
      <c r="C109" s="31" t="str">
        <f t="shared" si="5"/>
        <v/>
      </c>
      <c r="D109" s="32">
        <v>44866</v>
      </c>
      <c r="E109" s="33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3"/>
      <c r="R109" s="33"/>
      <c r="S109" s="33"/>
      <c r="T109" s="33"/>
      <c r="U109" s="35"/>
      <c r="V109" s="36"/>
      <c r="W109" s="37"/>
      <c r="X109" s="34"/>
      <c r="Y109" s="33"/>
      <c r="Z109" s="33"/>
      <c r="AA109" s="33"/>
      <c r="AB109" s="35"/>
      <c r="AC109" s="34"/>
      <c r="AD109" s="34"/>
      <c r="AE109" s="34"/>
      <c r="AF109" s="34"/>
      <c r="AG109" s="34"/>
      <c r="AH109" s="33"/>
      <c r="AI109" s="33"/>
      <c r="AJ109" s="34"/>
      <c r="AK109" s="33"/>
      <c r="AL109" s="33"/>
      <c r="AM109" s="33"/>
      <c r="AN109" s="34"/>
      <c r="AO109" s="34"/>
      <c r="AP109" s="33"/>
      <c r="AQ109" s="34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4" t="s">
        <v>217</v>
      </c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5"/>
      <c r="CC109" s="33"/>
      <c r="CD109" s="33"/>
      <c r="CE109" s="33"/>
      <c r="CF109" s="34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4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4"/>
      <c r="DN109" s="34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8"/>
    </row>
    <row r="110" spans="2:137" ht="13.2">
      <c r="B110" s="30" t="str">
        <f t="shared" si="4"/>
        <v>2022/11</v>
      </c>
      <c r="C110" s="31">
        <f t="shared" si="5"/>
        <v>950</v>
      </c>
      <c r="D110" s="32">
        <v>44868</v>
      </c>
      <c r="E110" s="33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3"/>
      <c r="R110" s="33"/>
      <c r="S110" s="33"/>
      <c r="T110" s="33"/>
      <c r="U110" s="35"/>
      <c r="V110" s="36"/>
      <c r="W110" s="37">
        <v>200</v>
      </c>
      <c r="X110" s="34">
        <v>200</v>
      </c>
      <c r="Y110" s="33"/>
      <c r="Z110" s="33"/>
      <c r="AA110" s="33"/>
      <c r="AB110" s="35"/>
      <c r="AC110" s="34"/>
      <c r="AD110" s="34"/>
      <c r="AE110" s="34"/>
      <c r="AF110" s="34"/>
      <c r="AG110" s="34">
        <v>200</v>
      </c>
      <c r="AH110" s="33"/>
      <c r="AI110" s="33"/>
      <c r="AJ110" s="34"/>
      <c r="AK110" s="33"/>
      <c r="AL110" s="33"/>
      <c r="AM110" s="33"/>
      <c r="AN110" s="34"/>
      <c r="AO110" s="34"/>
      <c r="AP110" s="33"/>
      <c r="AQ110" s="34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4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5"/>
      <c r="CC110" s="33"/>
      <c r="CD110" s="33"/>
      <c r="CE110" s="33"/>
      <c r="CF110" s="34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4">
        <v>150</v>
      </c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4"/>
      <c r="DN110" s="34"/>
      <c r="DO110" s="33">
        <v>200</v>
      </c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8"/>
    </row>
    <row r="111" spans="2:137" ht="13.2">
      <c r="B111" s="30" t="str">
        <f t="shared" si="4"/>
        <v>2022/11</v>
      </c>
      <c r="C111" s="31">
        <f t="shared" si="5"/>
        <v>150</v>
      </c>
      <c r="D111" s="32">
        <v>44869</v>
      </c>
      <c r="E111" s="33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3"/>
      <c r="R111" s="33"/>
      <c r="S111" s="33"/>
      <c r="T111" s="33"/>
      <c r="U111" s="35"/>
      <c r="V111" s="36"/>
      <c r="W111" s="37"/>
      <c r="X111" s="34"/>
      <c r="Y111" s="33"/>
      <c r="Z111" s="33"/>
      <c r="AA111" s="33"/>
      <c r="AB111" s="35"/>
      <c r="AC111" s="34"/>
      <c r="AD111" s="34" t="s">
        <v>217</v>
      </c>
      <c r="AE111" s="34"/>
      <c r="AF111" s="34" t="s">
        <v>217</v>
      </c>
      <c r="AG111" s="34"/>
      <c r="AH111" s="33"/>
      <c r="AI111" s="33"/>
      <c r="AJ111" s="34"/>
      <c r="AK111" s="33"/>
      <c r="AL111" s="33"/>
      <c r="AM111" s="33"/>
      <c r="AN111" s="34"/>
      <c r="AO111" s="34"/>
      <c r="AP111" s="33"/>
      <c r="AQ111" s="34">
        <v>150</v>
      </c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4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5"/>
      <c r="CC111" s="33"/>
      <c r="CD111" s="33"/>
      <c r="CE111" s="33"/>
      <c r="CF111" s="34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4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4"/>
      <c r="DN111" s="34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8"/>
    </row>
    <row r="112" spans="2:137" ht="13.2">
      <c r="B112" s="30" t="str">
        <f t="shared" si="4"/>
        <v>2022/11</v>
      </c>
      <c r="C112" s="31" t="str">
        <f t="shared" si="5"/>
        <v/>
      </c>
      <c r="D112" s="32">
        <v>44872</v>
      </c>
      <c r="E112" s="33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3"/>
      <c r="R112" s="33"/>
      <c r="S112" s="33"/>
      <c r="T112" s="33"/>
      <c r="U112" s="35"/>
      <c r="V112" s="36"/>
      <c r="W112" s="37"/>
      <c r="X112" s="34"/>
      <c r="Y112" s="33"/>
      <c r="Z112" s="33"/>
      <c r="AA112" s="33"/>
      <c r="AB112" s="35"/>
      <c r="AC112" s="34"/>
      <c r="AD112" s="34"/>
      <c r="AE112" s="34" t="s">
        <v>218</v>
      </c>
      <c r="AF112" s="34"/>
      <c r="AG112" s="34"/>
      <c r="AH112" s="33"/>
      <c r="AI112" s="33"/>
      <c r="AJ112" s="34"/>
      <c r="AK112" s="33"/>
      <c r="AL112" s="33"/>
      <c r="AM112" s="33"/>
      <c r="AN112" s="34"/>
      <c r="AO112" s="34"/>
      <c r="AP112" s="33"/>
      <c r="AQ112" s="34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4" t="s">
        <v>218</v>
      </c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5"/>
      <c r="CC112" s="33"/>
      <c r="CD112" s="33"/>
      <c r="CE112" s="33"/>
      <c r="CF112" s="34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4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4"/>
      <c r="DN112" s="34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8"/>
    </row>
    <row r="113" spans="2:137" ht="13.2">
      <c r="B113" s="30" t="str">
        <f t="shared" si="4"/>
        <v>2022/11</v>
      </c>
      <c r="C113" s="31">
        <f t="shared" si="5"/>
        <v>300</v>
      </c>
      <c r="D113" s="32">
        <v>44873</v>
      </c>
      <c r="E113" s="33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3"/>
      <c r="R113" s="33"/>
      <c r="S113" s="33"/>
      <c r="T113" s="33"/>
      <c r="U113" s="35"/>
      <c r="V113" s="36"/>
      <c r="W113" s="37"/>
      <c r="X113" s="34"/>
      <c r="Y113" s="33"/>
      <c r="Z113" s="33"/>
      <c r="AA113" s="33"/>
      <c r="AB113" s="35"/>
      <c r="AC113" s="34"/>
      <c r="AD113" s="34" t="s">
        <v>218</v>
      </c>
      <c r="AE113" s="34"/>
      <c r="AF113" s="34" t="s">
        <v>218</v>
      </c>
      <c r="AG113" s="34"/>
      <c r="AH113" s="33"/>
      <c r="AI113" s="33"/>
      <c r="AJ113" s="34"/>
      <c r="AK113" s="33"/>
      <c r="AL113" s="33"/>
      <c r="AM113" s="33"/>
      <c r="AN113" s="34"/>
      <c r="AO113" s="34"/>
      <c r="AP113" s="33"/>
      <c r="AQ113" s="34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4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5"/>
      <c r="CC113" s="33"/>
      <c r="CD113" s="33"/>
      <c r="CE113" s="33"/>
      <c r="CF113" s="34">
        <v>300</v>
      </c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4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4"/>
      <c r="DN113" s="34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8"/>
    </row>
    <row r="114" spans="2:137" ht="13.2">
      <c r="B114" s="30" t="str">
        <f t="shared" si="4"/>
        <v>2022/11</v>
      </c>
      <c r="C114" s="31">
        <f t="shared" si="5"/>
        <v>200</v>
      </c>
      <c r="D114" s="32">
        <v>44874</v>
      </c>
      <c r="E114" s="33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3"/>
      <c r="R114" s="33"/>
      <c r="S114" s="33"/>
      <c r="T114" s="33"/>
      <c r="U114" s="35"/>
      <c r="V114" s="36"/>
      <c r="W114" s="37"/>
      <c r="X114" s="34">
        <v>200</v>
      </c>
      <c r="Y114" s="33"/>
      <c r="Z114" s="33"/>
      <c r="AA114" s="33"/>
      <c r="AB114" s="35"/>
      <c r="AC114" s="34"/>
      <c r="AD114" s="34"/>
      <c r="AE114" s="34"/>
      <c r="AF114" s="34"/>
      <c r="AG114" s="34"/>
      <c r="AH114" s="33"/>
      <c r="AI114" s="33"/>
      <c r="AJ114" s="34"/>
      <c r="AK114" s="33"/>
      <c r="AL114" s="33"/>
      <c r="AM114" s="33"/>
      <c r="AN114" s="34"/>
      <c r="AO114" s="34"/>
      <c r="AP114" s="33"/>
      <c r="AQ114" s="34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4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5"/>
      <c r="CC114" s="33"/>
      <c r="CD114" s="33"/>
      <c r="CE114" s="33"/>
      <c r="CF114" s="34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4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4"/>
      <c r="DN114" s="34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8"/>
    </row>
    <row r="115" spans="2:137" ht="13.2">
      <c r="B115" s="30" t="str">
        <f t="shared" si="4"/>
        <v>2022/11</v>
      </c>
      <c r="C115" s="31">
        <f t="shared" si="5"/>
        <v>400</v>
      </c>
      <c r="D115" s="32">
        <v>44874</v>
      </c>
      <c r="E115" s="33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3"/>
      <c r="R115" s="33"/>
      <c r="S115" s="33"/>
      <c r="T115" s="33"/>
      <c r="U115" s="35"/>
      <c r="V115" s="36"/>
      <c r="W115" s="37">
        <v>200</v>
      </c>
      <c r="X115" s="34"/>
      <c r="Y115" s="33"/>
      <c r="Z115" s="33"/>
      <c r="AA115" s="33"/>
      <c r="AB115" s="35"/>
      <c r="AC115" s="34"/>
      <c r="AD115" s="34"/>
      <c r="AE115" s="34"/>
      <c r="AF115" s="34"/>
      <c r="AG115" s="34"/>
      <c r="AH115" s="33"/>
      <c r="AI115" s="33"/>
      <c r="AJ115" s="34"/>
      <c r="AK115" s="33"/>
      <c r="AL115" s="33"/>
      <c r="AM115" s="33"/>
      <c r="AN115" s="34"/>
      <c r="AO115" s="34"/>
      <c r="AP115" s="33"/>
      <c r="AQ115" s="34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4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5">
        <v>200</v>
      </c>
      <c r="CC115" s="33"/>
      <c r="CD115" s="33"/>
      <c r="CE115" s="33"/>
      <c r="CF115" s="34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4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4"/>
      <c r="DN115" s="34" t="s">
        <v>217</v>
      </c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8"/>
    </row>
    <row r="116" spans="2:137" ht="13.2">
      <c r="B116" s="30" t="str">
        <f t="shared" si="4"/>
        <v>2022/11</v>
      </c>
      <c r="C116" s="31">
        <f t="shared" si="5"/>
        <v>2300</v>
      </c>
      <c r="D116" s="32">
        <v>44875</v>
      </c>
      <c r="E116" s="33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3"/>
      <c r="R116" s="33"/>
      <c r="S116" s="33"/>
      <c r="T116" s="33"/>
      <c r="U116" s="35">
        <v>2000</v>
      </c>
      <c r="V116" s="36"/>
      <c r="W116" s="37"/>
      <c r="X116" s="34"/>
      <c r="Y116" s="33"/>
      <c r="Z116" s="33"/>
      <c r="AA116" s="33"/>
      <c r="AB116" s="35"/>
      <c r="AC116" s="34"/>
      <c r="AD116" s="34"/>
      <c r="AE116" s="34"/>
      <c r="AF116" s="34"/>
      <c r="AG116" s="34"/>
      <c r="AH116" s="33"/>
      <c r="AI116" s="33"/>
      <c r="AJ116" s="34">
        <v>300</v>
      </c>
      <c r="AK116" s="33"/>
      <c r="AL116" s="33"/>
      <c r="AM116" s="33"/>
      <c r="AN116" s="34"/>
      <c r="AO116" s="34"/>
      <c r="AP116" s="33"/>
      <c r="AQ116" s="34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4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5"/>
      <c r="CC116" s="33"/>
      <c r="CD116" s="33"/>
      <c r="CE116" s="33"/>
      <c r="CF116" s="34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4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4"/>
      <c r="DN116" s="34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8"/>
    </row>
    <row r="117" spans="2:137" ht="13.2">
      <c r="B117" s="30" t="str">
        <f t="shared" si="4"/>
        <v>2022/11</v>
      </c>
      <c r="C117" s="31">
        <f t="shared" si="5"/>
        <v>200</v>
      </c>
      <c r="D117" s="32">
        <v>44876</v>
      </c>
      <c r="E117" s="33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3"/>
      <c r="R117" s="33"/>
      <c r="S117" s="33"/>
      <c r="T117" s="33"/>
      <c r="U117" s="35"/>
      <c r="V117" s="36"/>
      <c r="W117" s="37"/>
      <c r="X117" s="34"/>
      <c r="Y117" s="33"/>
      <c r="Z117" s="33"/>
      <c r="AA117" s="33"/>
      <c r="AB117" s="35"/>
      <c r="AC117" s="34"/>
      <c r="AD117" s="34"/>
      <c r="AE117" s="34"/>
      <c r="AF117" s="34"/>
      <c r="AG117" s="34"/>
      <c r="AH117" s="33"/>
      <c r="AI117" s="33"/>
      <c r="AJ117" s="34"/>
      <c r="AK117" s="33"/>
      <c r="AL117" s="33"/>
      <c r="AM117" s="33"/>
      <c r="AN117" s="34"/>
      <c r="AO117" s="34"/>
      <c r="AP117" s="33"/>
      <c r="AQ117" s="34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4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5"/>
      <c r="CC117" s="33"/>
      <c r="CD117" s="33"/>
      <c r="CE117" s="33"/>
      <c r="CF117" s="34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4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4">
        <v>200</v>
      </c>
      <c r="DN117" s="34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8"/>
    </row>
    <row r="118" spans="2:137" ht="13.2">
      <c r="B118" s="30" t="str">
        <f t="shared" si="4"/>
        <v>2022/11</v>
      </c>
      <c r="C118" s="31">
        <f t="shared" si="5"/>
        <v>1200</v>
      </c>
      <c r="D118" s="32">
        <v>44879</v>
      </c>
      <c r="E118" s="33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3"/>
      <c r="R118" s="33">
        <v>200</v>
      </c>
      <c r="S118" s="33"/>
      <c r="T118" s="33"/>
      <c r="U118" s="35"/>
      <c r="V118" s="36">
        <v>200</v>
      </c>
      <c r="W118" s="37"/>
      <c r="X118" s="34"/>
      <c r="Y118" s="33"/>
      <c r="Z118" s="33"/>
      <c r="AA118" s="33"/>
      <c r="AB118" s="35"/>
      <c r="AC118" s="34"/>
      <c r="AD118" s="34"/>
      <c r="AE118" s="34" t="s">
        <v>219</v>
      </c>
      <c r="AF118" s="34"/>
      <c r="AG118" s="34"/>
      <c r="AH118" s="33"/>
      <c r="AI118" s="33"/>
      <c r="AJ118" s="34"/>
      <c r="AK118" s="33"/>
      <c r="AL118" s="33"/>
      <c r="AM118" s="33"/>
      <c r="AN118" s="34"/>
      <c r="AO118" s="34"/>
      <c r="AP118" s="33"/>
      <c r="AQ118" s="34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4">
        <v>800</v>
      </c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5"/>
      <c r="CC118" s="33"/>
      <c r="CD118" s="33"/>
      <c r="CE118" s="33"/>
      <c r="CF118" s="34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4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4"/>
      <c r="DN118" s="34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8"/>
    </row>
    <row r="119" spans="2:137" ht="13.2">
      <c r="B119" s="30" t="str">
        <f t="shared" si="4"/>
        <v>2022/11</v>
      </c>
      <c r="C119" s="31">
        <f t="shared" si="5"/>
        <v>600</v>
      </c>
      <c r="D119" s="32">
        <v>44880</v>
      </c>
      <c r="E119" s="33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3"/>
      <c r="R119" s="33"/>
      <c r="S119" s="33"/>
      <c r="T119" s="33"/>
      <c r="U119" s="35"/>
      <c r="V119" s="36"/>
      <c r="W119" s="37"/>
      <c r="X119" s="34"/>
      <c r="Y119" s="33"/>
      <c r="Z119" s="33"/>
      <c r="AA119" s="33"/>
      <c r="AB119" s="35"/>
      <c r="AC119" s="34"/>
      <c r="AD119" s="34" t="s">
        <v>219</v>
      </c>
      <c r="AE119" s="34"/>
      <c r="AF119" s="34">
        <v>600</v>
      </c>
      <c r="AG119" s="34"/>
      <c r="AH119" s="33"/>
      <c r="AI119" s="33"/>
      <c r="AJ119" s="34"/>
      <c r="AK119" s="33"/>
      <c r="AL119" s="33"/>
      <c r="AM119" s="33"/>
      <c r="AN119" s="34"/>
      <c r="AO119" s="34"/>
      <c r="AP119" s="33"/>
      <c r="AQ119" s="34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4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5"/>
      <c r="CC119" s="33"/>
      <c r="CD119" s="33"/>
      <c r="CE119" s="33"/>
      <c r="CF119" s="34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4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4"/>
      <c r="DN119" s="34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8"/>
    </row>
    <row r="120" spans="2:137" ht="13.2">
      <c r="B120" s="30" t="str">
        <f t="shared" si="4"/>
        <v>2022/11</v>
      </c>
      <c r="C120" s="31">
        <f t="shared" si="5"/>
        <v>1750</v>
      </c>
      <c r="D120" s="32">
        <v>44881</v>
      </c>
      <c r="E120" s="33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3"/>
      <c r="R120" s="33"/>
      <c r="S120" s="33"/>
      <c r="T120" s="33"/>
      <c r="U120" s="35"/>
      <c r="V120" s="36"/>
      <c r="W120" s="37"/>
      <c r="X120" s="34">
        <v>1400</v>
      </c>
      <c r="Y120" s="33"/>
      <c r="Z120" s="33"/>
      <c r="AA120" s="33"/>
      <c r="AB120" s="35"/>
      <c r="AC120" s="34"/>
      <c r="AD120" s="34"/>
      <c r="AE120" s="34"/>
      <c r="AF120" s="34"/>
      <c r="AG120" s="34"/>
      <c r="AH120" s="33"/>
      <c r="AI120" s="33"/>
      <c r="AJ120" s="34"/>
      <c r="AK120" s="33"/>
      <c r="AL120" s="33"/>
      <c r="AM120" s="33"/>
      <c r="AN120" s="34"/>
      <c r="AO120" s="34"/>
      <c r="AP120" s="33"/>
      <c r="AQ120" s="34">
        <v>150</v>
      </c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4"/>
      <c r="BM120" s="33"/>
      <c r="BN120" s="33"/>
      <c r="BO120" s="33"/>
      <c r="BP120" s="33">
        <v>200</v>
      </c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5"/>
      <c r="CC120" s="33"/>
      <c r="CD120" s="33"/>
      <c r="CE120" s="33"/>
      <c r="CF120" s="34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4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4"/>
      <c r="DN120" s="34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8"/>
    </row>
    <row r="121" spans="2:137" ht="13.2">
      <c r="B121" s="30" t="str">
        <f t="shared" si="4"/>
        <v>2022/11</v>
      </c>
      <c r="C121" s="31">
        <f t="shared" si="5"/>
        <v>750</v>
      </c>
      <c r="D121" s="32">
        <v>44882</v>
      </c>
      <c r="E121" s="33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3"/>
      <c r="R121" s="33"/>
      <c r="S121" s="33"/>
      <c r="T121" s="33"/>
      <c r="U121" s="35"/>
      <c r="V121" s="36"/>
      <c r="W121" s="37"/>
      <c r="X121" s="34"/>
      <c r="Y121" s="33">
        <v>200</v>
      </c>
      <c r="Z121" s="33"/>
      <c r="AA121" s="33"/>
      <c r="AB121" s="35"/>
      <c r="AC121" s="34"/>
      <c r="AD121" s="34"/>
      <c r="AE121" s="34"/>
      <c r="AF121" s="34"/>
      <c r="AG121" s="34"/>
      <c r="AH121" s="33"/>
      <c r="AI121" s="33"/>
      <c r="AJ121" s="34"/>
      <c r="AK121" s="33"/>
      <c r="AL121" s="33"/>
      <c r="AM121" s="33"/>
      <c r="AN121" s="34"/>
      <c r="AO121" s="34"/>
      <c r="AP121" s="33"/>
      <c r="AQ121" s="34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4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5">
        <v>200</v>
      </c>
      <c r="CC121" s="33"/>
      <c r="CD121" s="33"/>
      <c r="CE121" s="33"/>
      <c r="CF121" s="34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>
        <v>200</v>
      </c>
      <c r="CS121" s="33"/>
      <c r="CT121" s="33"/>
      <c r="CU121" s="33"/>
      <c r="CV121" s="33"/>
      <c r="CW121" s="33"/>
      <c r="CX121" s="33"/>
      <c r="CY121" s="33"/>
      <c r="CZ121" s="34">
        <v>150</v>
      </c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4"/>
      <c r="DN121" s="34" t="s">
        <v>218</v>
      </c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8"/>
    </row>
    <row r="122" spans="2:137" ht="13.2">
      <c r="B122" s="30" t="str">
        <f t="shared" si="4"/>
        <v>2022/11</v>
      </c>
      <c r="C122" s="31">
        <f t="shared" si="5"/>
        <v>380</v>
      </c>
      <c r="D122" s="32">
        <v>44883</v>
      </c>
      <c r="E122" s="33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3"/>
      <c r="R122" s="33"/>
      <c r="S122" s="33"/>
      <c r="T122" s="33"/>
      <c r="U122" s="35"/>
      <c r="V122" s="36">
        <v>180</v>
      </c>
      <c r="W122" s="37"/>
      <c r="X122" s="34"/>
      <c r="Y122" s="33"/>
      <c r="Z122" s="33"/>
      <c r="AA122" s="33"/>
      <c r="AB122" s="35"/>
      <c r="AC122" s="34"/>
      <c r="AD122" s="34"/>
      <c r="AE122" s="34"/>
      <c r="AF122" s="34"/>
      <c r="AG122" s="34"/>
      <c r="AH122" s="33"/>
      <c r="AI122" s="33"/>
      <c r="AJ122" s="34"/>
      <c r="AK122" s="33"/>
      <c r="AL122" s="33"/>
      <c r="AM122" s="33"/>
      <c r="AN122" s="34"/>
      <c r="AO122" s="34"/>
      <c r="AP122" s="33"/>
      <c r="AQ122" s="34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4" t="s">
        <v>209</v>
      </c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5"/>
      <c r="CC122" s="33"/>
      <c r="CD122" s="33"/>
      <c r="CE122" s="33"/>
      <c r="CF122" s="34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4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4">
        <v>200</v>
      </c>
      <c r="DN122" s="34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8"/>
    </row>
    <row r="123" spans="2:137" ht="13.2">
      <c r="B123" s="30" t="str">
        <f t="shared" si="4"/>
        <v>2022/11</v>
      </c>
      <c r="C123" s="31" t="str">
        <f t="shared" si="5"/>
        <v/>
      </c>
      <c r="D123" s="32">
        <v>44886</v>
      </c>
      <c r="E123" s="33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3"/>
      <c r="R123" s="33"/>
      <c r="S123" s="33"/>
      <c r="T123" s="33"/>
      <c r="U123" s="35"/>
      <c r="V123" s="36"/>
      <c r="W123" s="37"/>
      <c r="X123" s="34"/>
      <c r="Y123" s="33"/>
      <c r="Z123" s="33"/>
      <c r="AA123" s="33"/>
      <c r="AB123" s="35"/>
      <c r="AC123" s="34"/>
      <c r="AD123" s="34"/>
      <c r="AE123" s="34" t="s">
        <v>220</v>
      </c>
      <c r="AF123" s="34"/>
      <c r="AG123" s="34"/>
      <c r="AH123" s="33"/>
      <c r="AI123" s="33"/>
      <c r="AJ123" s="34"/>
      <c r="AK123" s="33"/>
      <c r="AL123" s="33"/>
      <c r="AM123" s="33"/>
      <c r="AN123" s="34"/>
      <c r="AO123" s="34"/>
      <c r="AP123" s="33"/>
      <c r="AQ123" s="34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4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5"/>
      <c r="CC123" s="33"/>
      <c r="CD123" s="33"/>
      <c r="CE123" s="33"/>
      <c r="CF123" s="34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4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4"/>
      <c r="DN123" s="34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8"/>
    </row>
    <row r="124" spans="2:137" ht="13.2">
      <c r="B124" s="30" t="str">
        <f t="shared" si="4"/>
        <v>2022/11</v>
      </c>
      <c r="C124" s="31">
        <f t="shared" si="5"/>
        <v>495</v>
      </c>
      <c r="D124" s="32">
        <v>44887</v>
      </c>
      <c r="E124" s="33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3"/>
      <c r="R124" s="33"/>
      <c r="S124" s="33">
        <v>195</v>
      </c>
      <c r="T124" s="33"/>
      <c r="U124" s="35"/>
      <c r="V124" s="36"/>
      <c r="W124" s="37"/>
      <c r="X124" s="34"/>
      <c r="Y124" s="33"/>
      <c r="Z124" s="33"/>
      <c r="AA124" s="33"/>
      <c r="AB124" s="35"/>
      <c r="AC124" s="34"/>
      <c r="AD124" s="34" t="s">
        <v>220</v>
      </c>
      <c r="AE124" s="34"/>
      <c r="AF124" s="34" t="s">
        <v>206</v>
      </c>
      <c r="AG124" s="34"/>
      <c r="AH124" s="33"/>
      <c r="AI124" s="33"/>
      <c r="AJ124" s="34"/>
      <c r="AK124" s="33"/>
      <c r="AL124" s="33"/>
      <c r="AM124" s="33"/>
      <c r="AN124" s="34"/>
      <c r="AO124" s="34"/>
      <c r="AP124" s="33"/>
      <c r="AQ124" s="34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4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5"/>
      <c r="CC124" s="33"/>
      <c r="CD124" s="33"/>
      <c r="CE124" s="33"/>
      <c r="CF124" s="34">
        <v>300</v>
      </c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4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4"/>
      <c r="DN124" s="34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8"/>
    </row>
    <row r="125" spans="2:137" ht="13.2">
      <c r="B125" s="30" t="str">
        <f t="shared" si="4"/>
        <v>2022/11</v>
      </c>
      <c r="C125" s="31">
        <f t="shared" si="5"/>
        <v>2030</v>
      </c>
      <c r="D125" s="32">
        <v>44888</v>
      </c>
      <c r="E125" s="33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3"/>
      <c r="R125" s="33"/>
      <c r="S125" s="33"/>
      <c r="T125" s="33"/>
      <c r="U125" s="35"/>
      <c r="V125" s="36"/>
      <c r="W125" s="37"/>
      <c r="X125" s="34"/>
      <c r="Y125" s="33"/>
      <c r="Z125" s="33"/>
      <c r="AA125" s="33"/>
      <c r="AB125" s="35"/>
      <c r="AC125" s="34"/>
      <c r="AD125" s="34"/>
      <c r="AE125" s="34"/>
      <c r="AF125" s="34"/>
      <c r="AG125" s="34"/>
      <c r="AH125" s="33">
        <v>780</v>
      </c>
      <c r="AI125" s="33"/>
      <c r="AJ125" s="34"/>
      <c r="AK125" s="33"/>
      <c r="AL125" s="33"/>
      <c r="AM125" s="33"/>
      <c r="AN125" s="34">
        <v>150</v>
      </c>
      <c r="AO125" s="34"/>
      <c r="AP125" s="33"/>
      <c r="AQ125" s="34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4"/>
      <c r="BM125" s="33"/>
      <c r="BN125" s="33"/>
      <c r="BO125" s="33"/>
      <c r="BP125" s="33">
        <v>200</v>
      </c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5">
        <v>200</v>
      </c>
      <c r="CC125" s="33"/>
      <c r="CD125" s="33"/>
      <c r="CE125" s="33"/>
      <c r="CF125" s="34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4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4"/>
      <c r="DN125" s="34">
        <v>700</v>
      </c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8"/>
    </row>
    <row r="126" spans="2:137" ht="13.2">
      <c r="B126" s="30" t="str">
        <f t="shared" si="4"/>
        <v>2022/11</v>
      </c>
      <c r="C126" s="31" t="str">
        <f t="shared" si="5"/>
        <v/>
      </c>
      <c r="D126" s="32">
        <v>44889</v>
      </c>
      <c r="E126" s="33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3"/>
      <c r="R126" s="33"/>
      <c r="S126" s="33"/>
      <c r="T126" s="33"/>
      <c r="U126" s="35"/>
      <c r="V126" s="36"/>
      <c r="W126" s="37"/>
      <c r="X126" s="34"/>
      <c r="Y126" s="33"/>
      <c r="Z126" s="33"/>
      <c r="AA126" s="33"/>
      <c r="AB126" s="35"/>
      <c r="AC126" s="34"/>
      <c r="AD126" s="34"/>
      <c r="AE126" s="34"/>
      <c r="AF126" s="34"/>
      <c r="AG126" s="34"/>
      <c r="AH126" s="33"/>
      <c r="AI126" s="33"/>
      <c r="AJ126" s="34"/>
      <c r="AK126" s="33"/>
      <c r="AL126" s="33"/>
      <c r="AM126" s="33"/>
      <c r="AN126" s="34"/>
      <c r="AO126" s="34"/>
      <c r="AP126" s="33"/>
      <c r="AQ126" s="34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4" t="s">
        <v>206</v>
      </c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5"/>
      <c r="CC126" s="33"/>
      <c r="CD126" s="33"/>
      <c r="CE126" s="33"/>
      <c r="CF126" s="34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4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4"/>
      <c r="DN126" s="34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8"/>
    </row>
    <row r="127" spans="2:137" ht="13.2">
      <c r="B127" s="30" t="str">
        <f t="shared" si="4"/>
        <v>2022/11</v>
      </c>
      <c r="C127" s="31">
        <f t="shared" si="5"/>
        <v>590</v>
      </c>
      <c r="D127" s="32">
        <v>44890</v>
      </c>
      <c r="E127" s="33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3"/>
      <c r="R127" s="33"/>
      <c r="S127" s="33">
        <v>195</v>
      </c>
      <c r="T127" s="33"/>
      <c r="U127" s="35"/>
      <c r="V127" s="36">
        <v>195</v>
      </c>
      <c r="W127" s="37"/>
      <c r="X127" s="34"/>
      <c r="Y127" s="33"/>
      <c r="Z127" s="33"/>
      <c r="AA127" s="33"/>
      <c r="AB127" s="35"/>
      <c r="AC127" s="34"/>
      <c r="AD127" s="34"/>
      <c r="AE127" s="34"/>
      <c r="AF127" s="34"/>
      <c r="AG127" s="34"/>
      <c r="AH127" s="33"/>
      <c r="AI127" s="33"/>
      <c r="AJ127" s="34"/>
      <c r="AK127" s="33"/>
      <c r="AL127" s="33"/>
      <c r="AM127" s="33"/>
      <c r="AN127" s="34"/>
      <c r="AO127" s="34"/>
      <c r="AP127" s="33"/>
      <c r="AQ127" s="34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4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5"/>
      <c r="CC127" s="33"/>
      <c r="CD127" s="33"/>
      <c r="CE127" s="33"/>
      <c r="CF127" s="34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4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4">
        <v>200</v>
      </c>
      <c r="DN127" s="34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8"/>
    </row>
    <row r="128" spans="2:137" ht="13.2">
      <c r="B128" s="30" t="str">
        <f t="shared" si="4"/>
        <v>2022/11</v>
      </c>
      <c r="C128" s="31">
        <f t="shared" si="5"/>
        <v>200</v>
      </c>
      <c r="D128" s="32">
        <v>44893</v>
      </c>
      <c r="E128" s="33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3"/>
      <c r="R128" s="33"/>
      <c r="S128" s="33"/>
      <c r="T128" s="33"/>
      <c r="U128" s="35"/>
      <c r="V128" s="36"/>
      <c r="W128" s="37"/>
      <c r="X128" s="34"/>
      <c r="Y128" s="33"/>
      <c r="Z128" s="33"/>
      <c r="AA128" s="33"/>
      <c r="AB128" s="35"/>
      <c r="AC128" s="34"/>
      <c r="AD128" s="34"/>
      <c r="AE128" s="34" t="s">
        <v>221</v>
      </c>
      <c r="AF128" s="34"/>
      <c r="AG128" s="34"/>
      <c r="AH128" s="33"/>
      <c r="AI128" s="33"/>
      <c r="AJ128" s="34"/>
      <c r="AK128" s="33"/>
      <c r="AL128" s="33"/>
      <c r="AM128" s="33"/>
      <c r="AN128" s="34"/>
      <c r="AO128" s="34"/>
      <c r="AP128" s="33"/>
      <c r="AQ128" s="34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4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5"/>
      <c r="CC128" s="33"/>
      <c r="CD128" s="33"/>
      <c r="CE128" s="33"/>
      <c r="CF128" s="34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>
        <v>200</v>
      </c>
      <c r="CS128" s="33"/>
      <c r="CT128" s="33"/>
      <c r="CU128" s="33"/>
      <c r="CV128" s="33"/>
      <c r="CW128" s="33"/>
      <c r="CX128" s="33"/>
      <c r="CY128" s="33"/>
      <c r="CZ128" s="34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4"/>
      <c r="DN128" s="34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8"/>
    </row>
    <row r="129" spans="2:137" ht="13.2">
      <c r="B129" s="30" t="str">
        <f t="shared" si="4"/>
        <v>2022/11</v>
      </c>
      <c r="C129" s="31" t="str">
        <f t="shared" si="5"/>
        <v/>
      </c>
      <c r="D129" s="32">
        <v>44894</v>
      </c>
      <c r="E129" s="33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3"/>
      <c r="R129" s="33"/>
      <c r="S129" s="33"/>
      <c r="T129" s="33"/>
      <c r="U129" s="35"/>
      <c r="V129" s="36"/>
      <c r="W129" s="37"/>
      <c r="X129" s="34"/>
      <c r="Y129" s="33"/>
      <c r="Z129" s="33"/>
      <c r="AA129" s="33"/>
      <c r="AB129" s="35"/>
      <c r="AC129" s="34"/>
      <c r="AD129" s="34" t="s">
        <v>221</v>
      </c>
      <c r="AE129" s="34"/>
      <c r="AF129" s="34" t="s">
        <v>217</v>
      </c>
      <c r="AG129" s="34"/>
      <c r="AH129" s="33"/>
      <c r="AI129" s="33"/>
      <c r="AJ129" s="34"/>
      <c r="AK129" s="33"/>
      <c r="AL129" s="33"/>
      <c r="AM129" s="33"/>
      <c r="AN129" s="34"/>
      <c r="AO129" s="34"/>
      <c r="AP129" s="33"/>
      <c r="AQ129" s="34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4" t="s">
        <v>207</v>
      </c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5"/>
      <c r="CC129" s="33"/>
      <c r="CD129" s="33"/>
      <c r="CE129" s="33"/>
      <c r="CF129" s="34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4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4"/>
      <c r="DN129" s="34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8"/>
    </row>
    <row r="130" spans="2:137" ht="13.2">
      <c r="B130" s="30" t="str">
        <f t="shared" si="4"/>
        <v>2022/11</v>
      </c>
      <c r="C130" s="31">
        <f t="shared" si="5"/>
        <v>500</v>
      </c>
      <c r="D130" s="32">
        <v>44895</v>
      </c>
      <c r="E130" s="33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3"/>
      <c r="R130" s="33"/>
      <c r="S130" s="33"/>
      <c r="T130" s="33">
        <v>200</v>
      </c>
      <c r="U130" s="35"/>
      <c r="V130" s="36"/>
      <c r="W130" s="37"/>
      <c r="X130" s="34"/>
      <c r="Y130" s="33"/>
      <c r="Z130" s="33"/>
      <c r="AA130" s="33"/>
      <c r="AB130" s="35"/>
      <c r="AC130" s="34"/>
      <c r="AD130" s="34"/>
      <c r="AE130" s="34"/>
      <c r="AF130" s="34"/>
      <c r="AG130" s="34"/>
      <c r="AH130" s="33"/>
      <c r="AI130" s="33"/>
      <c r="AJ130" s="34"/>
      <c r="AK130" s="33"/>
      <c r="AL130" s="33"/>
      <c r="AM130" s="33"/>
      <c r="AN130" s="34">
        <v>150</v>
      </c>
      <c r="AO130" s="34"/>
      <c r="AP130" s="33"/>
      <c r="AQ130" s="34">
        <v>150</v>
      </c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4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5"/>
      <c r="CC130" s="33"/>
      <c r="CD130" s="33"/>
      <c r="CE130" s="33"/>
      <c r="CF130" s="34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4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4"/>
      <c r="DN130" s="34" t="s">
        <v>206</v>
      </c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8"/>
    </row>
    <row r="131" spans="2:137" ht="13.2">
      <c r="B131" s="30" t="str">
        <f t="shared" si="4"/>
        <v>2022/12</v>
      </c>
      <c r="C131" s="31">
        <f t="shared" si="5"/>
        <v>350</v>
      </c>
      <c r="D131" s="32">
        <v>44896</v>
      </c>
      <c r="E131" s="33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3"/>
      <c r="R131" s="33"/>
      <c r="S131" s="33"/>
      <c r="T131" s="33"/>
      <c r="U131" s="35"/>
      <c r="V131" s="36"/>
      <c r="W131" s="37"/>
      <c r="X131" s="34"/>
      <c r="Y131" s="33"/>
      <c r="Z131" s="33"/>
      <c r="AA131" s="33"/>
      <c r="AB131" s="35"/>
      <c r="AC131" s="34"/>
      <c r="AD131" s="34"/>
      <c r="AE131" s="34"/>
      <c r="AF131" s="34"/>
      <c r="AG131" s="34">
        <v>200</v>
      </c>
      <c r="AH131" s="33" t="s">
        <v>216</v>
      </c>
      <c r="AI131" s="33"/>
      <c r="AJ131" s="34"/>
      <c r="AK131" s="33"/>
      <c r="AL131" s="33"/>
      <c r="AM131" s="33"/>
      <c r="AN131" s="34"/>
      <c r="AO131" s="34"/>
      <c r="AP131" s="33"/>
      <c r="AQ131" s="34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4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5"/>
      <c r="CC131" s="33"/>
      <c r="CD131" s="33"/>
      <c r="CE131" s="33"/>
      <c r="CF131" s="34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4">
        <v>150</v>
      </c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4"/>
      <c r="DN131" s="34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8"/>
    </row>
    <row r="132" spans="2:137" ht="13.2">
      <c r="B132" s="30" t="str">
        <f t="shared" ref="B132:B195" si="6">IF(D132&gt;0, CONCATENATE(YEAR(D132),"/",MONTH(D132)),"")</f>
        <v>2022/12</v>
      </c>
      <c r="C132" s="31">
        <f t="shared" ref="C132:C195" si="7">IF(SUM(E132:EG132)=0,"",SUM(E132:EG132))</f>
        <v>400</v>
      </c>
      <c r="D132" s="32">
        <v>44897</v>
      </c>
      <c r="E132" s="33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3"/>
      <c r="R132" s="33"/>
      <c r="S132" s="33"/>
      <c r="T132" s="33"/>
      <c r="U132" s="35"/>
      <c r="V132" s="36"/>
      <c r="W132" s="37"/>
      <c r="X132" s="34"/>
      <c r="Y132" s="33"/>
      <c r="Z132" s="33"/>
      <c r="AA132" s="33"/>
      <c r="AB132" s="35"/>
      <c r="AC132" s="34"/>
      <c r="AD132" s="34"/>
      <c r="AE132" s="34"/>
      <c r="AF132" s="34"/>
      <c r="AG132" s="34"/>
      <c r="AH132" s="33"/>
      <c r="AI132" s="33"/>
      <c r="AJ132" s="34"/>
      <c r="AK132" s="33"/>
      <c r="AL132" s="33"/>
      <c r="AM132" s="33"/>
      <c r="AN132" s="34"/>
      <c r="AO132" s="34"/>
      <c r="AP132" s="33"/>
      <c r="AQ132" s="34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4"/>
      <c r="BM132" s="33"/>
      <c r="BN132" s="33"/>
      <c r="BO132" s="33"/>
      <c r="BP132" s="33">
        <v>200</v>
      </c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5"/>
      <c r="CC132" s="33"/>
      <c r="CD132" s="33"/>
      <c r="CE132" s="33"/>
      <c r="CF132" s="34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4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4">
        <v>200</v>
      </c>
      <c r="DN132" s="34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8"/>
    </row>
    <row r="133" spans="2:137" ht="13.2">
      <c r="B133" s="30" t="str">
        <f t="shared" si="6"/>
        <v>2022/12</v>
      </c>
      <c r="C133" s="31">
        <f t="shared" si="7"/>
        <v>350</v>
      </c>
      <c r="D133" s="32">
        <v>44900</v>
      </c>
      <c r="E133" s="33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3"/>
      <c r="R133" s="33"/>
      <c r="S133" s="33"/>
      <c r="T133" s="33"/>
      <c r="U133" s="35"/>
      <c r="V133" s="36"/>
      <c r="W133" s="37"/>
      <c r="X133" s="34"/>
      <c r="Y133" s="33"/>
      <c r="Z133" s="33">
        <v>350</v>
      </c>
      <c r="AA133" s="33"/>
      <c r="AB133" s="35"/>
      <c r="AC133" s="34"/>
      <c r="AD133" s="34"/>
      <c r="AE133" s="40" t="s">
        <v>222</v>
      </c>
      <c r="AF133" s="34"/>
      <c r="AG133" s="34"/>
      <c r="AH133" s="33"/>
      <c r="AI133" s="33"/>
      <c r="AJ133" s="34"/>
      <c r="AK133" s="33"/>
      <c r="AL133" s="33"/>
      <c r="AM133" s="33"/>
      <c r="AN133" s="34"/>
      <c r="AO133" s="34"/>
      <c r="AP133" s="33"/>
      <c r="AQ133" s="34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4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5"/>
      <c r="CC133" s="33"/>
      <c r="CD133" s="33"/>
      <c r="CE133" s="33"/>
      <c r="CF133" s="34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4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4"/>
      <c r="DN133" s="34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8"/>
    </row>
    <row r="134" spans="2:137" ht="13.2">
      <c r="B134" s="30" t="str">
        <f t="shared" si="6"/>
        <v>2022/12</v>
      </c>
      <c r="C134" s="31">
        <f t="shared" si="7"/>
        <v>500</v>
      </c>
      <c r="D134" s="32">
        <v>44901</v>
      </c>
      <c r="E134" s="33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3"/>
      <c r="R134" s="33"/>
      <c r="S134" s="33"/>
      <c r="T134" s="33"/>
      <c r="U134" s="35"/>
      <c r="V134" s="36"/>
      <c r="W134" s="37"/>
      <c r="X134" s="34"/>
      <c r="Y134" s="33"/>
      <c r="Z134" s="33"/>
      <c r="AA134" s="33">
        <v>200</v>
      </c>
      <c r="AB134" s="35"/>
      <c r="AC134" s="34"/>
      <c r="AD134" s="34"/>
      <c r="AE134" s="34"/>
      <c r="AF134" s="34"/>
      <c r="AG134" s="34"/>
      <c r="AH134" s="33"/>
      <c r="AI134" s="33"/>
      <c r="AJ134" s="34"/>
      <c r="AK134" s="33"/>
      <c r="AL134" s="33"/>
      <c r="AM134" s="33"/>
      <c r="AN134" s="34"/>
      <c r="AO134" s="34"/>
      <c r="AP134" s="33"/>
      <c r="AQ134" s="34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4" t="s">
        <v>208</v>
      </c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5"/>
      <c r="CC134" s="33"/>
      <c r="CD134" s="33"/>
      <c r="CE134" s="33"/>
      <c r="CF134" s="34">
        <v>300</v>
      </c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4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4"/>
      <c r="DN134" s="34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8"/>
    </row>
    <row r="135" spans="2:137" ht="13.2">
      <c r="B135" s="30" t="str">
        <f t="shared" si="6"/>
        <v>2022/12</v>
      </c>
      <c r="C135" s="31">
        <f t="shared" si="7"/>
        <v>100</v>
      </c>
      <c r="D135" s="32">
        <v>44902</v>
      </c>
      <c r="E135" s="33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3"/>
      <c r="R135" s="33"/>
      <c r="S135" s="33"/>
      <c r="T135" s="33"/>
      <c r="U135" s="35"/>
      <c r="V135" s="36"/>
      <c r="W135" s="37"/>
      <c r="X135" s="34">
        <v>100</v>
      </c>
      <c r="Y135" s="33"/>
      <c r="Z135" s="33"/>
      <c r="AA135" s="33"/>
      <c r="AB135" s="35"/>
      <c r="AC135" s="34"/>
      <c r="AD135" s="34"/>
      <c r="AE135" s="34"/>
      <c r="AF135" s="34" t="s">
        <v>218</v>
      </c>
      <c r="AG135" s="34"/>
      <c r="AH135" s="33"/>
      <c r="AI135" s="33"/>
      <c r="AJ135" s="34"/>
      <c r="AK135" s="33"/>
      <c r="AL135" s="33"/>
      <c r="AM135" s="33"/>
      <c r="AN135" s="34"/>
      <c r="AO135" s="34"/>
      <c r="AP135" s="33"/>
      <c r="AQ135" s="34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4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5"/>
      <c r="CC135" s="33"/>
      <c r="CD135" s="33"/>
      <c r="CE135" s="33"/>
      <c r="CF135" s="34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4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4"/>
      <c r="DN135" s="34" t="s">
        <v>208</v>
      </c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8"/>
    </row>
    <row r="136" spans="2:137" ht="13.2">
      <c r="B136" s="30" t="str">
        <f t="shared" si="6"/>
        <v>2022/12</v>
      </c>
      <c r="C136" s="31">
        <f t="shared" si="7"/>
        <v>1050</v>
      </c>
      <c r="D136" s="32">
        <v>44903</v>
      </c>
      <c r="E136" s="33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3"/>
      <c r="R136" s="33"/>
      <c r="S136" s="33"/>
      <c r="T136" s="33"/>
      <c r="U136" s="35"/>
      <c r="V136" s="36"/>
      <c r="W136" s="37"/>
      <c r="X136" s="34"/>
      <c r="Y136" s="33"/>
      <c r="Z136" s="33"/>
      <c r="AA136" s="33"/>
      <c r="AB136" s="35"/>
      <c r="AC136" s="34"/>
      <c r="AD136" s="34"/>
      <c r="AE136" s="34"/>
      <c r="AF136" s="34"/>
      <c r="AG136" s="34"/>
      <c r="AH136" s="33"/>
      <c r="AI136" s="33"/>
      <c r="AJ136" s="34" t="s">
        <v>209</v>
      </c>
      <c r="AK136" s="33">
        <v>250</v>
      </c>
      <c r="AL136" s="33"/>
      <c r="AM136" s="33"/>
      <c r="AN136" s="34"/>
      <c r="AO136" s="34"/>
      <c r="AP136" s="33"/>
      <c r="AQ136" s="34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4">
        <v>800</v>
      </c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5"/>
      <c r="CC136" s="33"/>
      <c r="CD136" s="33"/>
      <c r="CE136" s="33"/>
      <c r="CF136" s="34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4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4"/>
      <c r="DN136" s="34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8"/>
    </row>
    <row r="137" spans="2:137" ht="13.2">
      <c r="B137" s="30" t="str">
        <f t="shared" si="6"/>
        <v>2022/12</v>
      </c>
      <c r="C137" s="31">
        <f t="shared" si="7"/>
        <v>1000</v>
      </c>
      <c r="D137" s="32">
        <v>44904</v>
      </c>
      <c r="E137" s="33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3"/>
      <c r="R137" s="33"/>
      <c r="S137" s="33"/>
      <c r="T137" s="33"/>
      <c r="U137" s="35"/>
      <c r="V137" s="36"/>
      <c r="W137" s="37"/>
      <c r="X137" s="34"/>
      <c r="Y137" s="33"/>
      <c r="Z137" s="33"/>
      <c r="AA137" s="33"/>
      <c r="AB137" s="35"/>
      <c r="AC137" s="34"/>
      <c r="AD137" s="34"/>
      <c r="AE137" s="34"/>
      <c r="AF137" s="34"/>
      <c r="AG137" s="34"/>
      <c r="AH137" s="33" t="s">
        <v>207</v>
      </c>
      <c r="AI137" s="33"/>
      <c r="AJ137" s="34"/>
      <c r="AK137" s="33"/>
      <c r="AL137" s="33"/>
      <c r="AM137" s="33"/>
      <c r="AN137" s="34"/>
      <c r="AO137" s="34"/>
      <c r="AP137" s="33"/>
      <c r="AQ137" s="34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4"/>
      <c r="BM137" s="33"/>
      <c r="BN137" s="33"/>
      <c r="BO137" s="33"/>
      <c r="BP137" s="33">
        <v>200</v>
      </c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5">
        <v>200</v>
      </c>
      <c r="CC137" s="33"/>
      <c r="CD137" s="33"/>
      <c r="CE137" s="33"/>
      <c r="CF137" s="34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>
        <v>400</v>
      </c>
      <c r="CS137" s="33"/>
      <c r="CT137" s="33"/>
      <c r="CU137" s="33"/>
      <c r="CV137" s="33"/>
      <c r="CW137" s="33"/>
      <c r="CX137" s="33"/>
      <c r="CY137" s="33"/>
      <c r="CZ137" s="34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4">
        <v>200</v>
      </c>
      <c r="DN137" s="34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8"/>
    </row>
    <row r="138" spans="2:137" ht="13.2">
      <c r="B138" s="30" t="str">
        <f t="shared" si="6"/>
        <v>2022/12</v>
      </c>
      <c r="C138" s="31">
        <f t="shared" si="7"/>
        <v>150</v>
      </c>
      <c r="D138" s="32">
        <v>44907</v>
      </c>
      <c r="E138" s="33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3"/>
      <c r="R138" s="33"/>
      <c r="S138" s="33"/>
      <c r="T138" s="33"/>
      <c r="U138" s="35"/>
      <c r="V138" s="36"/>
      <c r="W138" s="37"/>
      <c r="X138" s="34"/>
      <c r="Y138" s="33"/>
      <c r="Z138" s="33"/>
      <c r="AA138" s="33"/>
      <c r="AB138" s="35"/>
      <c r="AC138" s="34"/>
      <c r="AD138" s="34"/>
      <c r="AE138" s="34"/>
      <c r="AF138" s="34"/>
      <c r="AG138" s="34"/>
      <c r="AH138" s="33"/>
      <c r="AI138" s="33"/>
      <c r="AJ138" s="34"/>
      <c r="AK138" s="33"/>
      <c r="AL138" s="33"/>
      <c r="AM138" s="33"/>
      <c r="AN138" s="34">
        <v>150</v>
      </c>
      <c r="AO138" s="34"/>
      <c r="AP138" s="33"/>
      <c r="AQ138" s="34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4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5"/>
      <c r="CC138" s="33"/>
      <c r="CD138" s="33"/>
      <c r="CE138" s="33"/>
      <c r="CF138" s="34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4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4"/>
      <c r="DN138" s="34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8"/>
    </row>
    <row r="139" spans="2:137" ht="13.2">
      <c r="B139" s="30" t="str">
        <f t="shared" si="6"/>
        <v>2022/12</v>
      </c>
      <c r="C139" s="31" t="str">
        <f t="shared" si="7"/>
        <v/>
      </c>
      <c r="D139" s="32">
        <v>44908</v>
      </c>
      <c r="E139" s="33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3"/>
      <c r="R139" s="33"/>
      <c r="S139" s="33"/>
      <c r="T139" s="33"/>
      <c r="U139" s="35"/>
      <c r="V139" s="36"/>
      <c r="W139" s="37"/>
      <c r="X139" s="34"/>
      <c r="Y139" s="33"/>
      <c r="Z139" s="33"/>
      <c r="AA139" s="33"/>
      <c r="AB139" s="35"/>
      <c r="AC139" s="34"/>
      <c r="AD139" s="34" t="s">
        <v>223</v>
      </c>
      <c r="AE139" s="34"/>
      <c r="AF139" s="34"/>
      <c r="AG139" s="34"/>
      <c r="AH139" s="33"/>
      <c r="AI139" s="33"/>
      <c r="AJ139" s="34"/>
      <c r="AK139" s="33"/>
      <c r="AL139" s="33"/>
      <c r="AM139" s="33"/>
      <c r="AN139" s="34"/>
      <c r="AO139" s="34"/>
      <c r="AP139" s="33"/>
      <c r="AQ139" s="34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4" t="s">
        <v>209</v>
      </c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5"/>
      <c r="CC139" s="33"/>
      <c r="CD139" s="33"/>
      <c r="CE139" s="33"/>
      <c r="CF139" s="34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4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4"/>
      <c r="DN139" s="34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8"/>
    </row>
    <row r="140" spans="2:137" ht="13.2">
      <c r="B140" s="30" t="str">
        <f t="shared" si="6"/>
        <v>2022/12</v>
      </c>
      <c r="C140" s="31">
        <f t="shared" si="7"/>
        <v>500</v>
      </c>
      <c r="D140" s="32">
        <v>44909</v>
      </c>
      <c r="E140" s="33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3"/>
      <c r="R140" s="33"/>
      <c r="S140" s="33"/>
      <c r="T140" s="33"/>
      <c r="U140" s="35"/>
      <c r="V140" s="36"/>
      <c r="W140" s="37"/>
      <c r="X140" s="34"/>
      <c r="Y140" s="33"/>
      <c r="Z140" s="33"/>
      <c r="AA140" s="33"/>
      <c r="AB140" s="35"/>
      <c r="AC140" s="34"/>
      <c r="AD140" s="34"/>
      <c r="AE140" s="34"/>
      <c r="AF140" s="34"/>
      <c r="AG140" s="34"/>
      <c r="AH140" s="33"/>
      <c r="AI140" s="33"/>
      <c r="AJ140" s="34">
        <v>300</v>
      </c>
      <c r="AK140" s="33"/>
      <c r="AL140" s="33"/>
      <c r="AM140" s="33"/>
      <c r="AN140" s="34"/>
      <c r="AO140" s="34"/>
      <c r="AP140" s="33"/>
      <c r="AQ140" s="34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4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5"/>
      <c r="CC140" s="33"/>
      <c r="CD140" s="33"/>
      <c r="CE140" s="33"/>
      <c r="CF140" s="34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4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4">
        <v>200</v>
      </c>
      <c r="DN140" s="34" t="s">
        <v>210</v>
      </c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8"/>
    </row>
    <row r="141" spans="2:137" ht="13.2">
      <c r="B141" s="30" t="str">
        <f t="shared" si="6"/>
        <v>2022/12</v>
      </c>
      <c r="C141" s="31">
        <f t="shared" si="7"/>
        <v>1400</v>
      </c>
      <c r="D141" s="32">
        <v>44910</v>
      </c>
      <c r="E141" s="33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3"/>
      <c r="R141" s="33"/>
      <c r="S141" s="33"/>
      <c r="T141" s="33"/>
      <c r="U141" s="35"/>
      <c r="V141" s="36"/>
      <c r="W141" s="37"/>
      <c r="X141" s="34"/>
      <c r="Y141" s="33"/>
      <c r="Z141" s="33"/>
      <c r="AA141" s="33"/>
      <c r="AB141" s="35"/>
      <c r="AC141" s="34"/>
      <c r="AD141" s="34"/>
      <c r="AE141" s="34"/>
      <c r="AF141" s="34">
        <v>600</v>
      </c>
      <c r="AG141" s="34"/>
      <c r="AH141" s="33" t="s">
        <v>208</v>
      </c>
      <c r="AI141" s="33"/>
      <c r="AJ141" s="34" t="s">
        <v>212</v>
      </c>
      <c r="AK141" s="33">
        <v>250</v>
      </c>
      <c r="AL141" s="33"/>
      <c r="AM141" s="33"/>
      <c r="AN141" s="34"/>
      <c r="AO141" s="34"/>
      <c r="AP141" s="33"/>
      <c r="AQ141" s="34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4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5">
        <v>200</v>
      </c>
      <c r="CC141" s="33"/>
      <c r="CD141" s="33"/>
      <c r="CE141" s="33"/>
      <c r="CF141" s="34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>
        <v>200</v>
      </c>
      <c r="CS141" s="33"/>
      <c r="CT141" s="33"/>
      <c r="CU141" s="33"/>
      <c r="CV141" s="33"/>
      <c r="CW141" s="33"/>
      <c r="CX141" s="33"/>
      <c r="CY141" s="33"/>
      <c r="CZ141" s="34">
        <v>150</v>
      </c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4"/>
      <c r="DN141" s="34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8"/>
    </row>
    <row r="142" spans="2:137" ht="13.2">
      <c r="B142" s="30" t="str">
        <f t="shared" si="6"/>
        <v>2022/12</v>
      </c>
      <c r="C142" s="31">
        <f t="shared" si="7"/>
        <v>750</v>
      </c>
      <c r="D142" s="32">
        <v>44911</v>
      </c>
      <c r="E142" s="33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3"/>
      <c r="R142" s="33"/>
      <c r="S142" s="33"/>
      <c r="T142" s="33"/>
      <c r="U142" s="35"/>
      <c r="V142" s="36"/>
      <c r="W142" s="37"/>
      <c r="X142" s="34"/>
      <c r="Y142" s="33"/>
      <c r="Z142" s="33"/>
      <c r="AA142" s="33"/>
      <c r="AB142" s="35"/>
      <c r="AC142" s="34"/>
      <c r="AD142" s="34"/>
      <c r="AE142" s="34"/>
      <c r="AF142" s="39" t="s">
        <v>209</v>
      </c>
      <c r="AG142" s="34"/>
      <c r="AH142" s="33"/>
      <c r="AI142" s="33"/>
      <c r="AJ142" s="34"/>
      <c r="AK142" s="33"/>
      <c r="AL142" s="33"/>
      <c r="AM142" s="33"/>
      <c r="AN142" s="34"/>
      <c r="AO142" s="34"/>
      <c r="AP142" s="33"/>
      <c r="AQ142" s="34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4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5"/>
      <c r="CC142" s="33"/>
      <c r="CD142" s="33"/>
      <c r="CE142" s="33"/>
      <c r="CF142" s="34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4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4"/>
      <c r="DN142" s="34">
        <v>750</v>
      </c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8"/>
    </row>
    <row r="143" spans="2:137" ht="13.2">
      <c r="B143" s="30" t="str">
        <f t="shared" si="6"/>
        <v>2022/12</v>
      </c>
      <c r="C143" s="31">
        <f t="shared" si="7"/>
        <v>300</v>
      </c>
      <c r="D143" s="32">
        <v>44916</v>
      </c>
      <c r="E143" s="33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3"/>
      <c r="R143" s="33"/>
      <c r="S143" s="33"/>
      <c r="T143" s="33"/>
      <c r="U143" s="35"/>
      <c r="V143" s="36"/>
      <c r="W143" s="37"/>
      <c r="X143" s="34"/>
      <c r="Y143" s="33"/>
      <c r="Z143" s="33"/>
      <c r="AA143" s="33"/>
      <c r="AB143" s="35"/>
      <c r="AC143" s="34"/>
      <c r="AD143" s="34"/>
      <c r="AE143" s="34"/>
      <c r="AF143" s="34"/>
      <c r="AG143" s="34"/>
      <c r="AH143" s="33"/>
      <c r="AI143" s="33"/>
      <c r="AJ143" s="34"/>
      <c r="AK143" s="33"/>
      <c r="AL143" s="33"/>
      <c r="AM143" s="33"/>
      <c r="AN143" s="34"/>
      <c r="AO143" s="34"/>
      <c r="AP143" s="33"/>
      <c r="AQ143" s="34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4" t="s">
        <v>206</v>
      </c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5"/>
      <c r="CC143" s="33"/>
      <c r="CD143" s="33"/>
      <c r="CE143" s="33"/>
      <c r="CF143" s="34">
        <v>300</v>
      </c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4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4"/>
      <c r="DN143" s="34" t="s">
        <v>206</v>
      </c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8"/>
    </row>
    <row r="144" spans="2:137" ht="13.2">
      <c r="B144" s="30" t="str">
        <f t="shared" si="6"/>
        <v>2022/12</v>
      </c>
      <c r="C144" s="31">
        <f t="shared" si="7"/>
        <v>600</v>
      </c>
      <c r="D144" s="32">
        <v>44917</v>
      </c>
      <c r="E144" s="33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3"/>
      <c r="R144" s="33"/>
      <c r="S144" s="33"/>
      <c r="T144" s="33"/>
      <c r="U144" s="35"/>
      <c r="V144" s="36"/>
      <c r="W144" s="37"/>
      <c r="X144" s="34"/>
      <c r="Y144" s="33"/>
      <c r="Z144" s="33"/>
      <c r="AA144" s="33"/>
      <c r="AB144" s="35"/>
      <c r="AC144" s="34"/>
      <c r="AD144" s="34"/>
      <c r="AE144" s="34"/>
      <c r="AF144" s="34" t="s">
        <v>206</v>
      </c>
      <c r="AG144" s="34"/>
      <c r="AH144" s="33"/>
      <c r="AI144" s="33"/>
      <c r="AJ144" s="34"/>
      <c r="AK144" s="33">
        <v>250</v>
      </c>
      <c r="AL144" s="33"/>
      <c r="AM144" s="33"/>
      <c r="AN144" s="34"/>
      <c r="AO144" s="34"/>
      <c r="AP144" s="33"/>
      <c r="AQ144" s="34">
        <v>150</v>
      </c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4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5"/>
      <c r="CC144" s="33"/>
      <c r="CD144" s="33"/>
      <c r="CE144" s="33"/>
      <c r="CF144" s="34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4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4">
        <v>200</v>
      </c>
      <c r="DN144" s="34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8"/>
    </row>
    <row r="145" spans="2:137" ht="13.2">
      <c r="B145" s="30" t="str">
        <f t="shared" si="6"/>
        <v>2022/12</v>
      </c>
      <c r="C145" s="31">
        <f t="shared" si="7"/>
        <v>550</v>
      </c>
      <c r="D145" s="32">
        <v>44918</v>
      </c>
      <c r="E145" s="33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3"/>
      <c r="R145" s="33"/>
      <c r="S145" s="33"/>
      <c r="T145" s="33"/>
      <c r="U145" s="35"/>
      <c r="V145" s="36"/>
      <c r="W145" s="37"/>
      <c r="X145" s="34"/>
      <c r="Y145" s="33"/>
      <c r="Z145" s="33"/>
      <c r="AA145" s="33"/>
      <c r="AB145" s="35"/>
      <c r="AC145" s="34"/>
      <c r="AD145" s="34"/>
      <c r="AE145" s="34"/>
      <c r="AF145" s="34"/>
      <c r="AG145" s="34"/>
      <c r="AH145" s="33"/>
      <c r="AI145" s="33"/>
      <c r="AJ145" s="34" t="s">
        <v>207</v>
      </c>
      <c r="AK145" s="33"/>
      <c r="AL145" s="33"/>
      <c r="AM145" s="33"/>
      <c r="AN145" s="34">
        <v>150</v>
      </c>
      <c r="AO145" s="34"/>
      <c r="AP145" s="33"/>
      <c r="AQ145" s="34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4"/>
      <c r="BM145" s="33"/>
      <c r="BN145" s="33"/>
      <c r="BO145" s="33"/>
      <c r="BP145" s="33">
        <v>200</v>
      </c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5">
        <v>200</v>
      </c>
      <c r="CC145" s="33"/>
      <c r="CD145" s="33"/>
      <c r="CE145" s="33"/>
      <c r="CF145" s="34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4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4"/>
      <c r="DN145" s="34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8"/>
    </row>
    <row r="146" spans="2:137" ht="13.2">
      <c r="B146" s="30" t="str">
        <f t="shared" si="6"/>
        <v>2023/1</v>
      </c>
      <c r="C146" s="31">
        <f t="shared" si="7"/>
        <v>200</v>
      </c>
      <c r="D146" s="32">
        <v>44929</v>
      </c>
      <c r="E146" s="33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3"/>
      <c r="R146" s="33"/>
      <c r="S146" s="33"/>
      <c r="T146" s="33"/>
      <c r="U146" s="35"/>
      <c r="V146" s="36"/>
      <c r="W146" s="37"/>
      <c r="X146" s="34"/>
      <c r="Y146" s="33"/>
      <c r="Z146" s="33"/>
      <c r="AA146" s="33"/>
      <c r="AB146" s="35"/>
      <c r="AC146" s="34"/>
      <c r="AD146" s="34"/>
      <c r="AE146" s="34"/>
      <c r="AF146" s="34" t="s">
        <v>217</v>
      </c>
      <c r="AG146" s="34"/>
      <c r="AH146" s="33"/>
      <c r="AI146" s="33"/>
      <c r="AJ146" s="34"/>
      <c r="AK146" s="33"/>
      <c r="AL146" s="33"/>
      <c r="AM146" s="33"/>
      <c r="AN146" s="34"/>
      <c r="AO146" s="34"/>
      <c r="AP146" s="33"/>
      <c r="AQ146" s="34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4" t="s">
        <v>217</v>
      </c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5"/>
      <c r="CC146" s="33"/>
      <c r="CD146" s="33"/>
      <c r="CE146" s="33"/>
      <c r="CF146" s="34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>
        <v>200</v>
      </c>
      <c r="CS146" s="33"/>
      <c r="CT146" s="33"/>
      <c r="CU146" s="33"/>
      <c r="CV146" s="33"/>
      <c r="CW146" s="33"/>
      <c r="CX146" s="33"/>
      <c r="CY146" s="33"/>
      <c r="CZ146" s="34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4"/>
      <c r="DN146" s="34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8"/>
    </row>
    <row r="147" spans="2:137" ht="13.2">
      <c r="B147" s="30" t="str">
        <f t="shared" si="6"/>
        <v>2023/1</v>
      </c>
      <c r="C147" s="31">
        <f t="shared" si="7"/>
        <v>150</v>
      </c>
      <c r="D147" s="32">
        <v>44930</v>
      </c>
      <c r="E147" s="33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3"/>
      <c r="R147" s="33"/>
      <c r="S147" s="33"/>
      <c r="T147" s="33"/>
      <c r="U147" s="35"/>
      <c r="V147" s="36"/>
      <c r="W147" s="37"/>
      <c r="X147" s="34"/>
      <c r="Y147" s="33"/>
      <c r="Z147" s="33"/>
      <c r="AA147" s="33"/>
      <c r="AB147" s="35"/>
      <c r="AC147" s="34"/>
      <c r="AD147" s="34"/>
      <c r="AE147" s="34"/>
      <c r="AF147" s="34"/>
      <c r="AG147" s="34"/>
      <c r="AH147" s="33"/>
      <c r="AI147" s="33"/>
      <c r="AJ147" s="34"/>
      <c r="AK147" s="33"/>
      <c r="AL147" s="33"/>
      <c r="AM147" s="33"/>
      <c r="AN147" s="34"/>
      <c r="AO147" s="34"/>
      <c r="AP147" s="33"/>
      <c r="AQ147" s="34">
        <v>150</v>
      </c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4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5"/>
      <c r="CC147" s="33"/>
      <c r="CD147" s="33"/>
      <c r="CE147" s="33"/>
      <c r="CF147" s="34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4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4"/>
      <c r="DN147" s="34" t="s">
        <v>217</v>
      </c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8"/>
    </row>
    <row r="148" spans="2:137" ht="13.2">
      <c r="B148" s="30" t="str">
        <f t="shared" si="6"/>
        <v>2023/1</v>
      </c>
      <c r="C148" s="31">
        <f t="shared" si="7"/>
        <v>1030</v>
      </c>
      <c r="D148" s="32">
        <v>44931</v>
      </c>
      <c r="E148" s="33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3"/>
      <c r="R148" s="33"/>
      <c r="S148" s="33"/>
      <c r="T148" s="33"/>
      <c r="U148" s="35"/>
      <c r="V148" s="36"/>
      <c r="W148" s="37"/>
      <c r="X148" s="34"/>
      <c r="Y148" s="33"/>
      <c r="Z148" s="33"/>
      <c r="AA148" s="33"/>
      <c r="AB148" s="35"/>
      <c r="AC148" s="34"/>
      <c r="AD148" s="34"/>
      <c r="AE148" s="34"/>
      <c r="AF148" s="34"/>
      <c r="AG148" s="34">
        <v>400</v>
      </c>
      <c r="AH148" s="33">
        <v>180</v>
      </c>
      <c r="AI148" s="33"/>
      <c r="AJ148" s="34" t="s">
        <v>224</v>
      </c>
      <c r="AK148" s="33">
        <v>250</v>
      </c>
      <c r="AL148" s="33"/>
      <c r="AM148" s="33"/>
      <c r="AN148" s="34"/>
      <c r="AO148" s="34"/>
      <c r="AP148" s="33"/>
      <c r="AQ148" s="34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4"/>
      <c r="BM148" s="33"/>
      <c r="BN148" s="33"/>
      <c r="BO148" s="33"/>
      <c r="BP148" s="33">
        <v>200</v>
      </c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5"/>
      <c r="CC148" s="33"/>
      <c r="CD148" s="33"/>
      <c r="CE148" s="33"/>
      <c r="CF148" s="34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4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4"/>
      <c r="DN148" s="34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8"/>
    </row>
    <row r="149" spans="2:137" ht="13.2">
      <c r="B149" s="30" t="str">
        <f t="shared" si="6"/>
        <v>2023/1</v>
      </c>
      <c r="C149" s="31">
        <f t="shared" si="7"/>
        <v>200</v>
      </c>
      <c r="D149" s="32">
        <v>44932</v>
      </c>
      <c r="E149" s="33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3"/>
      <c r="R149" s="33"/>
      <c r="S149" s="33"/>
      <c r="T149" s="33"/>
      <c r="U149" s="35"/>
      <c r="V149" s="36"/>
      <c r="W149" s="37"/>
      <c r="X149" s="34"/>
      <c r="Y149" s="33"/>
      <c r="Z149" s="33"/>
      <c r="AA149" s="33"/>
      <c r="AB149" s="35"/>
      <c r="AC149" s="34"/>
      <c r="AD149" s="34"/>
      <c r="AE149" s="34"/>
      <c r="AF149" s="34"/>
      <c r="AG149" s="34"/>
      <c r="AH149" s="33"/>
      <c r="AI149" s="33"/>
      <c r="AJ149" s="34"/>
      <c r="AK149" s="33"/>
      <c r="AL149" s="33"/>
      <c r="AM149" s="33"/>
      <c r="AN149" s="34"/>
      <c r="AO149" s="34"/>
      <c r="AP149" s="33"/>
      <c r="AQ149" s="34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4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5"/>
      <c r="CC149" s="33"/>
      <c r="CD149" s="33"/>
      <c r="CE149" s="33"/>
      <c r="CF149" s="34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>
        <v>200</v>
      </c>
      <c r="CS149" s="33"/>
      <c r="CT149" s="33"/>
      <c r="CU149" s="33"/>
      <c r="CV149" s="33"/>
      <c r="CW149" s="33"/>
      <c r="CX149" s="33"/>
      <c r="CY149" s="33"/>
      <c r="CZ149" s="34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4"/>
      <c r="DN149" s="34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8"/>
    </row>
    <row r="150" spans="2:137" ht="13.2">
      <c r="B150" s="30" t="str">
        <f t="shared" si="6"/>
        <v>2023/1</v>
      </c>
      <c r="C150" s="31">
        <f t="shared" si="7"/>
        <v>300</v>
      </c>
      <c r="D150" s="32">
        <v>44936</v>
      </c>
      <c r="E150" s="33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3"/>
      <c r="R150" s="33"/>
      <c r="S150" s="33"/>
      <c r="T150" s="33"/>
      <c r="U150" s="35"/>
      <c r="V150" s="36"/>
      <c r="W150" s="37"/>
      <c r="X150" s="34"/>
      <c r="Y150" s="33"/>
      <c r="Z150" s="33"/>
      <c r="AA150" s="33"/>
      <c r="AB150" s="35"/>
      <c r="AC150" s="34"/>
      <c r="AD150" s="34"/>
      <c r="AE150" s="34"/>
      <c r="AF150" s="34" t="s">
        <v>224</v>
      </c>
      <c r="AG150" s="34"/>
      <c r="AH150" s="33"/>
      <c r="AI150" s="33"/>
      <c r="AJ150" s="34"/>
      <c r="AK150" s="33"/>
      <c r="AL150" s="33"/>
      <c r="AM150" s="33"/>
      <c r="AN150" s="34"/>
      <c r="AO150" s="34"/>
      <c r="AP150" s="33"/>
      <c r="AQ150" s="34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4" t="s">
        <v>224</v>
      </c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5"/>
      <c r="CC150" s="33"/>
      <c r="CD150" s="33"/>
      <c r="CE150" s="33"/>
      <c r="CF150" s="34">
        <v>300</v>
      </c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4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4"/>
      <c r="DN150" s="34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8"/>
    </row>
    <row r="151" spans="2:137" ht="13.2">
      <c r="B151" s="30" t="str">
        <f t="shared" si="6"/>
        <v>2023/1</v>
      </c>
      <c r="C151" s="31">
        <f t="shared" si="7"/>
        <v>820</v>
      </c>
      <c r="D151" s="32">
        <v>44937</v>
      </c>
      <c r="E151" s="33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3"/>
      <c r="R151" s="33"/>
      <c r="S151" s="33"/>
      <c r="T151" s="33"/>
      <c r="U151" s="35"/>
      <c r="V151" s="36"/>
      <c r="W151" s="37"/>
      <c r="X151" s="34"/>
      <c r="Y151" s="33"/>
      <c r="Z151" s="33"/>
      <c r="AA151" s="33"/>
      <c r="AB151" s="35"/>
      <c r="AC151" s="34"/>
      <c r="AD151" s="34"/>
      <c r="AE151" s="34"/>
      <c r="AF151" s="34">
        <v>600</v>
      </c>
      <c r="AG151" s="34"/>
      <c r="AH151" s="33">
        <v>220</v>
      </c>
      <c r="AI151" s="33"/>
      <c r="AJ151" s="34"/>
      <c r="AK151" s="33"/>
      <c r="AL151" s="33"/>
      <c r="AM151" s="33"/>
      <c r="AN151" s="34"/>
      <c r="AO151" s="34"/>
      <c r="AP151" s="33"/>
      <c r="AQ151" s="34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4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5"/>
      <c r="CC151" s="33"/>
      <c r="CD151" s="33"/>
      <c r="CE151" s="33"/>
      <c r="CF151" s="34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4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4"/>
      <c r="DN151" s="34" t="s">
        <v>224</v>
      </c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8"/>
    </row>
    <row r="152" spans="2:137" ht="13.2">
      <c r="B152" s="30" t="str">
        <f t="shared" si="6"/>
        <v>2023/1</v>
      </c>
      <c r="C152" s="31">
        <f t="shared" si="7"/>
        <v>500</v>
      </c>
      <c r="D152" s="32">
        <v>44938</v>
      </c>
      <c r="E152" s="33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3"/>
      <c r="R152" s="33"/>
      <c r="S152" s="33"/>
      <c r="T152" s="33"/>
      <c r="U152" s="35"/>
      <c r="V152" s="36"/>
      <c r="W152" s="37"/>
      <c r="X152" s="34"/>
      <c r="Y152" s="33"/>
      <c r="Z152" s="33"/>
      <c r="AA152" s="33"/>
      <c r="AB152" s="35"/>
      <c r="AC152" s="34"/>
      <c r="AD152" s="34"/>
      <c r="AE152" s="34"/>
      <c r="AF152" s="34"/>
      <c r="AG152" s="34"/>
      <c r="AH152" s="33"/>
      <c r="AI152" s="33"/>
      <c r="AJ152" s="34" t="s">
        <v>210</v>
      </c>
      <c r="AK152" s="33"/>
      <c r="AL152" s="33"/>
      <c r="AM152" s="33"/>
      <c r="AN152" s="34">
        <v>150</v>
      </c>
      <c r="AO152" s="34"/>
      <c r="AP152" s="33"/>
      <c r="AQ152" s="34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4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5"/>
      <c r="CC152" s="33"/>
      <c r="CD152" s="33"/>
      <c r="CE152" s="33"/>
      <c r="CF152" s="34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>
        <v>200</v>
      </c>
      <c r="CS152" s="33"/>
      <c r="CT152" s="33"/>
      <c r="CU152" s="33"/>
      <c r="CV152" s="33"/>
      <c r="CW152" s="33"/>
      <c r="CX152" s="33"/>
      <c r="CY152" s="33"/>
      <c r="CZ152" s="34">
        <v>150</v>
      </c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4"/>
      <c r="DN152" s="34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8"/>
    </row>
    <row r="153" spans="2:137" ht="13.2">
      <c r="B153" s="30" t="str">
        <f t="shared" si="6"/>
        <v>2023/1</v>
      </c>
      <c r="C153" s="31">
        <f t="shared" si="7"/>
        <v>400</v>
      </c>
      <c r="D153" s="32">
        <v>44939</v>
      </c>
      <c r="E153" s="33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3"/>
      <c r="R153" s="33"/>
      <c r="S153" s="33"/>
      <c r="T153" s="33"/>
      <c r="U153" s="35"/>
      <c r="V153" s="36"/>
      <c r="W153" s="37"/>
      <c r="X153" s="34"/>
      <c r="Y153" s="33"/>
      <c r="Z153" s="33"/>
      <c r="AA153" s="33"/>
      <c r="AB153" s="35"/>
      <c r="AC153" s="34"/>
      <c r="AD153" s="34"/>
      <c r="AE153" s="34"/>
      <c r="AF153" s="34"/>
      <c r="AG153" s="34"/>
      <c r="AH153" s="33"/>
      <c r="AI153" s="33"/>
      <c r="AJ153" s="34"/>
      <c r="AK153" s="33"/>
      <c r="AL153" s="33"/>
      <c r="AM153" s="33"/>
      <c r="AN153" s="34"/>
      <c r="AO153" s="34"/>
      <c r="AP153" s="33"/>
      <c r="AQ153" s="34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4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5"/>
      <c r="CC153" s="33"/>
      <c r="CD153" s="33"/>
      <c r="CE153" s="33"/>
      <c r="CF153" s="34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4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4">
        <v>200</v>
      </c>
      <c r="DN153" s="34"/>
      <c r="DO153" s="33">
        <v>200</v>
      </c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8"/>
    </row>
    <row r="154" spans="2:137" ht="13.2">
      <c r="B154" s="30" t="str">
        <f t="shared" si="6"/>
        <v>2023/1</v>
      </c>
      <c r="C154" s="31">
        <f t="shared" si="7"/>
        <v>300</v>
      </c>
      <c r="D154" s="32">
        <v>44943</v>
      </c>
      <c r="E154" s="33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3"/>
      <c r="R154" s="33"/>
      <c r="S154" s="33"/>
      <c r="T154" s="33"/>
      <c r="U154" s="35"/>
      <c r="V154" s="36"/>
      <c r="W154" s="37"/>
      <c r="X154" s="34"/>
      <c r="Y154" s="33"/>
      <c r="Z154" s="33"/>
      <c r="AA154" s="33"/>
      <c r="AB154" s="35"/>
      <c r="AC154" s="34"/>
      <c r="AD154" s="34"/>
      <c r="AE154" s="34"/>
      <c r="AF154" s="39" t="s">
        <v>209</v>
      </c>
      <c r="AG154" s="34"/>
      <c r="AH154" s="33"/>
      <c r="AI154" s="33"/>
      <c r="AJ154" s="34">
        <v>300</v>
      </c>
      <c r="AK154" s="33"/>
      <c r="AL154" s="33"/>
      <c r="AM154" s="33"/>
      <c r="AN154" s="34"/>
      <c r="AO154" s="34"/>
      <c r="AP154" s="33"/>
      <c r="AQ154" s="34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9" t="s">
        <v>210</v>
      </c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5"/>
      <c r="CC154" s="33"/>
      <c r="CD154" s="33"/>
      <c r="CE154" s="33"/>
      <c r="CF154" s="34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4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4"/>
      <c r="DN154" s="34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8"/>
    </row>
    <row r="155" spans="2:137" ht="13.2">
      <c r="B155" s="30" t="str">
        <f t="shared" si="6"/>
        <v>2023/1</v>
      </c>
      <c r="C155" s="31" t="str">
        <f t="shared" si="7"/>
        <v/>
      </c>
      <c r="D155" s="32">
        <v>44944</v>
      </c>
      <c r="E155" s="33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3"/>
      <c r="R155" s="33"/>
      <c r="S155" s="33"/>
      <c r="T155" s="33"/>
      <c r="U155" s="35"/>
      <c r="V155" s="36"/>
      <c r="W155" s="37"/>
      <c r="X155" s="34"/>
      <c r="Y155" s="33"/>
      <c r="Z155" s="33"/>
      <c r="AA155" s="33"/>
      <c r="AB155" s="35"/>
      <c r="AC155" s="34"/>
      <c r="AD155" s="34"/>
      <c r="AE155" s="34"/>
      <c r="AF155" s="34"/>
      <c r="AG155" s="34"/>
      <c r="AH155" s="33"/>
      <c r="AI155" s="33"/>
      <c r="AJ155" s="34"/>
      <c r="AK155" s="33"/>
      <c r="AL155" s="33"/>
      <c r="AM155" s="33"/>
      <c r="AN155" s="34"/>
      <c r="AO155" s="34"/>
      <c r="AP155" s="33"/>
      <c r="AQ155" s="34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4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5"/>
      <c r="CC155" s="33"/>
      <c r="CD155" s="33"/>
      <c r="CE155" s="33"/>
      <c r="CF155" s="34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4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4"/>
      <c r="DN155" s="39" t="s">
        <v>209</v>
      </c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8"/>
    </row>
    <row r="156" spans="2:137" ht="13.2">
      <c r="B156" s="30" t="str">
        <f t="shared" si="6"/>
        <v>2023/1</v>
      </c>
      <c r="C156" s="31">
        <f t="shared" si="7"/>
        <v>1350</v>
      </c>
      <c r="D156" s="32">
        <v>44945</v>
      </c>
      <c r="E156" s="33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3"/>
      <c r="R156" s="33"/>
      <c r="S156" s="33"/>
      <c r="T156" s="33"/>
      <c r="U156" s="35"/>
      <c r="V156" s="36"/>
      <c r="W156" s="37"/>
      <c r="X156" s="34"/>
      <c r="Y156" s="33"/>
      <c r="Z156" s="33"/>
      <c r="AA156" s="33"/>
      <c r="AB156" s="35"/>
      <c r="AC156" s="34"/>
      <c r="AD156" s="34"/>
      <c r="AE156" s="34"/>
      <c r="AF156" s="34"/>
      <c r="AG156" s="34"/>
      <c r="AH156" s="33"/>
      <c r="AI156" s="33"/>
      <c r="AJ156" s="34" t="s">
        <v>212</v>
      </c>
      <c r="AK156" s="33">
        <v>250</v>
      </c>
      <c r="AL156" s="33"/>
      <c r="AM156" s="33"/>
      <c r="AN156" s="34"/>
      <c r="AO156" s="34"/>
      <c r="AP156" s="33"/>
      <c r="AQ156" s="34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4"/>
      <c r="BM156" s="33"/>
      <c r="BN156" s="33"/>
      <c r="BO156" s="33"/>
      <c r="BP156" s="33">
        <v>200</v>
      </c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5"/>
      <c r="CC156" s="33"/>
      <c r="CD156" s="33"/>
      <c r="CE156" s="33"/>
      <c r="CF156" s="34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>
        <v>200</v>
      </c>
      <c r="CS156" s="33"/>
      <c r="CT156" s="33"/>
      <c r="CU156" s="33"/>
      <c r="CV156" s="33"/>
      <c r="CW156" s="33"/>
      <c r="CX156" s="33"/>
      <c r="CY156" s="33"/>
      <c r="CZ156" s="34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4"/>
      <c r="DN156" s="34">
        <v>700</v>
      </c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8"/>
    </row>
    <row r="157" spans="2:137" ht="13.2">
      <c r="B157" s="30" t="str">
        <f t="shared" si="6"/>
        <v>2023/1</v>
      </c>
      <c r="C157" s="31">
        <f t="shared" si="7"/>
        <v>750</v>
      </c>
      <c r="D157" s="32">
        <v>44946</v>
      </c>
      <c r="E157" s="33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3"/>
      <c r="R157" s="33"/>
      <c r="S157" s="33"/>
      <c r="T157" s="33"/>
      <c r="U157" s="35"/>
      <c r="V157" s="36"/>
      <c r="W157" s="37"/>
      <c r="X157" s="34"/>
      <c r="Y157" s="33"/>
      <c r="Z157" s="33"/>
      <c r="AA157" s="33"/>
      <c r="AB157" s="35"/>
      <c r="AC157" s="34"/>
      <c r="AD157" s="34"/>
      <c r="AE157" s="34"/>
      <c r="AF157" s="34"/>
      <c r="AG157" s="34">
        <v>200</v>
      </c>
      <c r="AH157" s="33"/>
      <c r="AI157" s="33"/>
      <c r="AJ157" s="34"/>
      <c r="AK157" s="33"/>
      <c r="AL157" s="33"/>
      <c r="AM157" s="33"/>
      <c r="AN157" s="34">
        <v>150</v>
      </c>
      <c r="AO157" s="34"/>
      <c r="AP157" s="33"/>
      <c r="AQ157" s="34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4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5">
        <v>200</v>
      </c>
      <c r="CC157" s="33"/>
      <c r="CD157" s="33"/>
      <c r="CE157" s="33"/>
      <c r="CF157" s="34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4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4">
        <v>200</v>
      </c>
      <c r="DN157" s="34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8"/>
    </row>
    <row r="158" spans="2:137" ht="13.2">
      <c r="B158" s="30" t="str">
        <f t="shared" si="6"/>
        <v>2023/1</v>
      </c>
      <c r="C158" s="31">
        <f t="shared" si="7"/>
        <v>2900</v>
      </c>
      <c r="D158" s="32">
        <v>44950</v>
      </c>
      <c r="E158" s="33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3"/>
      <c r="R158" s="33"/>
      <c r="S158" s="33"/>
      <c r="T158" s="33"/>
      <c r="U158" s="35"/>
      <c r="V158" s="36"/>
      <c r="W158" s="37"/>
      <c r="X158" s="34"/>
      <c r="Y158" s="33"/>
      <c r="Z158" s="33"/>
      <c r="AA158" s="33"/>
      <c r="AB158" s="35"/>
      <c r="AC158" s="34"/>
      <c r="AD158" s="34"/>
      <c r="AE158" s="34"/>
      <c r="AF158" s="34" t="s">
        <v>206</v>
      </c>
      <c r="AG158" s="34"/>
      <c r="AH158" s="33"/>
      <c r="AI158" s="33"/>
      <c r="AJ158" s="34"/>
      <c r="AK158" s="33"/>
      <c r="AL158" s="33"/>
      <c r="AM158" s="33"/>
      <c r="AN158" s="34"/>
      <c r="AO158" s="34"/>
      <c r="AP158" s="33"/>
      <c r="AQ158" s="34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4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5"/>
      <c r="CC158" s="33"/>
      <c r="CD158" s="33"/>
      <c r="CE158" s="33"/>
      <c r="CF158" s="34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>
        <v>2700</v>
      </c>
      <c r="CY158" s="33"/>
      <c r="CZ158" s="34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4"/>
      <c r="DN158" s="34"/>
      <c r="DO158" s="33">
        <v>200</v>
      </c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8"/>
    </row>
    <row r="159" spans="2:137" ht="13.2">
      <c r="B159" s="30" t="str">
        <f t="shared" si="6"/>
        <v>2023/1</v>
      </c>
      <c r="C159" s="31">
        <f t="shared" si="7"/>
        <v>150</v>
      </c>
      <c r="D159" s="32">
        <v>44951</v>
      </c>
      <c r="E159" s="33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3"/>
      <c r="R159" s="33"/>
      <c r="S159" s="33"/>
      <c r="T159" s="33"/>
      <c r="U159" s="35"/>
      <c r="V159" s="36"/>
      <c r="W159" s="37"/>
      <c r="X159" s="34"/>
      <c r="Y159" s="33"/>
      <c r="Z159" s="33"/>
      <c r="AA159" s="33"/>
      <c r="AB159" s="35"/>
      <c r="AC159" s="34"/>
      <c r="AD159" s="34"/>
      <c r="AE159" s="34"/>
      <c r="AF159" s="34"/>
      <c r="AG159" s="34"/>
      <c r="AH159" s="33"/>
      <c r="AI159" s="33"/>
      <c r="AJ159" s="34" t="s">
        <v>207</v>
      </c>
      <c r="AK159" s="33"/>
      <c r="AL159" s="33"/>
      <c r="AM159" s="33"/>
      <c r="AN159" s="34"/>
      <c r="AO159" s="34"/>
      <c r="AP159" s="33"/>
      <c r="AQ159" s="34">
        <v>150</v>
      </c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4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5"/>
      <c r="CC159" s="33"/>
      <c r="CD159" s="33"/>
      <c r="CE159" s="33"/>
      <c r="CF159" s="34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 t="s">
        <v>206</v>
      </c>
      <c r="CY159" s="33"/>
      <c r="CZ159" s="34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4"/>
      <c r="DN159" s="34" t="s">
        <v>206</v>
      </c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8"/>
    </row>
    <row r="160" spans="2:137" ht="13.2">
      <c r="B160" s="30" t="str">
        <f t="shared" si="6"/>
        <v>2023/1</v>
      </c>
      <c r="C160" s="31">
        <f t="shared" si="7"/>
        <v>800</v>
      </c>
      <c r="D160" s="32">
        <v>44952</v>
      </c>
      <c r="E160" s="33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3"/>
      <c r="R160" s="33"/>
      <c r="S160" s="33"/>
      <c r="T160" s="33"/>
      <c r="U160" s="35"/>
      <c r="V160" s="36"/>
      <c r="W160" s="37"/>
      <c r="X160" s="34"/>
      <c r="Y160" s="33"/>
      <c r="Z160" s="33"/>
      <c r="AA160" s="33"/>
      <c r="AB160" s="35"/>
      <c r="AC160" s="34"/>
      <c r="AD160" s="34"/>
      <c r="AE160" s="34"/>
      <c r="AF160" s="34"/>
      <c r="AG160" s="34"/>
      <c r="AH160" s="33">
        <v>200</v>
      </c>
      <c r="AI160" s="33"/>
      <c r="AJ160" s="34"/>
      <c r="AK160" s="33">
        <v>250</v>
      </c>
      <c r="AL160" s="33"/>
      <c r="AM160" s="33"/>
      <c r="AN160" s="34"/>
      <c r="AO160" s="34"/>
      <c r="AP160" s="33"/>
      <c r="AQ160" s="34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4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5"/>
      <c r="CC160" s="33"/>
      <c r="CD160" s="33"/>
      <c r="CE160" s="33"/>
      <c r="CF160" s="34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>
        <v>200</v>
      </c>
      <c r="CS160" s="33"/>
      <c r="CT160" s="33"/>
      <c r="CU160" s="33"/>
      <c r="CV160" s="33"/>
      <c r="CW160" s="33"/>
      <c r="CX160" s="33"/>
      <c r="CY160" s="33"/>
      <c r="CZ160" s="34">
        <v>150</v>
      </c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4"/>
      <c r="DN160" s="34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8"/>
    </row>
    <row r="161" spans="2:137" ht="13.2">
      <c r="B161" s="30" t="str">
        <f t="shared" si="6"/>
        <v>2023/1</v>
      </c>
      <c r="C161" s="31">
        <f t="shared" si="7"/>
        <v>200</v>
      </c>
      <c r="D161" s="32">
        <v>44953</v>
      </c>
      <c r="E161" s="33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3"/>
      <c r="R161" s="33"/>
      <c r="S161" s="33"/>
      <c r="T161" s="33"/>
      <c r="U161" s="35"/>
      <c r="V161" s="36"/>
      <c r="W161" s="37"/>
      <c r="X161" s="34"/>
      <c r="Y161" s="33"/>
      <c r="Z161" s="33"/>
      <c r="AA161" s="33"/>
      <c r="AB161" s="35"/>
      <c r="AC161" s="34"/>
      <c r="AD161" s="34"/>
      <c r="AE161" s="34"/>
      <c r="AF161" s="34"/>
      <c r="AG161" s="34"/>
      <c r="AH161" s="33"/>
      <c r="AI161" s="33"/>
      <c r="AJ161" s="34"/>
      <c r="AK161" s="33"/>
      <c r="AL161" s="33"/>
      <c r="AM161" s="33"/>
      <c r="AN161" s="34"/>
      <c r="AO161" s="34"/>
      <c r="AP161" s="33"/>
      <c r="AQ161" s="34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4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5"/>
      <c r="CC161" s="33"/>
      <c r="CD161" s="33"/>
      <c r="CE161" s="33"/>
      <c r="CF161" s="34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4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4">
        <v>200</v>
      </c>
      <c r="DN161" s="34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8"/>
    </row>
    <row r="162" spans="2:137" ht="13.2">
      <c r="B162" s="30" t="str">
        <f t="shared" si="6"/>
        <v>2023/1</v>
      </c>
      <c r="C162" s="31">
        <f t="shared" si="7"/>
        <v>600</v>
      </c>
      <c r="D162" s="32">
        <v>44957</v>
      </c>
      <c r="E162" s="33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3"/>
      <c r="R162" s="33"/>
      <c r="S162" s="33"/>
      <c r="T162" s="33"/>
      <c r="U162" s="35"/>
      <c r="V162" s="36"/>
      <c r="W162" s="37"/>
      <c r="X162" s="34"/>
      <c r="Y162" s="33"/>
      <c r="Z162" s="33"/>
      <c r="AA162" s="33"/>
      <c r="AB162" s="35"/>
      <c r="AC162" s="34"/>
      <c r="AD162" s="34"/>
      <c r="AE162" s="34"/>
      <c r="AF162" s="34"/>
      <c r="AG162" s="34"/>
      <c r="AH162" s="33"/>
      <c r="AI162" s="33"/>
      <c r="AJ162" s="34"/>
      <c r="AK162" s="33"/>
      <c r="AL162" s="33"/>
      <c r="AM162" s="33"/>
      <c r="AN162" s="34"/>
      <c r="AO162" s="34"/>
      <c r="AP162" s="33"/>
      <c r="AQ162" s="34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4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5"/>
      <c r="CC162" s="33"/>
      <c r="CD162" s="33"/>
      <c r="CE162" s="33"/>
      <c r="CF162" s="34">
        <v>600</v>
      </c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4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4"/>
      <c r="DN162" s="34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8"/>
    </row>
    <row r="163" spans="2:137" ht="13.2">
      <c r="B163" s="30" t="str">
        <f t="shared" si="6"/>
        <v>2023/2</v>
      </c>
      <c r="C163" s="31">
        <f t="shared" si="7"/>
        <v>2950</v>
      </c>
      <c r="D163" s="32">
        <v>44958</v>
      </c>
      <c r="E163" s="33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3"/>
      <c r="R163" s="33"/>
      <c r="S163" s="33"/>
      <c r="T163" s="33"/>
      <c r="U163" s="35"/>
      <c r="V163" s="36"/>
      <c r="W163" s="37"/>
      <c r="X163" s="34"/>
      <c r="Y163" s="33"/>
      <c r="Z163" s="33"/>
      <c r="AA163" s="33"/>
      <c r="AB163" s="35"/>
      <c r="AC163" s="34"/>
      <c r="AD163" s="34"/>
      <c r="AE163" s="34"/>
      <c r="AF163" s="34"/>
      <c r="AG163" s="34"/>
      <c r="AH163" s="33"/>
      <c r="AI163" s="33">
        <v>250</v>
      </c>
      <c r="AJ163" s="34" t="s">
        <v>224</v>
      </c>
      <c r="AK163" s="33"/>
      <c r="AL163" s="33">
        <v>2700</v>
      </c>
      <c r="AM163" s="33"/>
      <c r="AN163" s="34"/>
      <c r="AO163" s="34"/>
      <c r="AP163" s="33"/>
      <c r="AQ163" s="34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4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5"/>
      <c r="CC163" s="33"/>
      <c r="CD163" s="33"/>
      <c r="CE163" s="33"/>
      <c r="CF163" s="34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 t="s">
        <v>207</v>
      </c>
      <c r="CY163" s="33"/>
      <c r="CZ163" s="34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4"/>
      <c r="DN163" s="34" t="s">
        <v>207</v>
      </c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8"/>
    </row>
    <row r="164" spans="2:137" ht="13.2">
      <c r="B164" s="30" t="str">
        <f t="shared" si="6"/>
        <v>2023/2</v>
      </c>
      <c r="C164" s="31">
        <f t="shared" si="7"/>
        <v>650</v>
      </c>
      <c r="D164" s="32">
        <v>44959</v>
      </c>
      <c r="E164" s="33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3"/>
      <c r="R164" s="33"/>
      <c r="S164" s="33"/>
      <c r="T164" s="33"/>
      <c r="U164" s="35"/>
      <c r="V164" s="36"/>
      <c r="W164" s="37"/>
      <c r="X164" s="34"/>
      <c r="Y164" s="33"/>
      <c r="Z164" s="33"/>
      <c r="AA164" s="33"/>
      <c r="AB164" s="35"/>
      <c r="AC164" s="34"/>
      <c r="AD164" s="34"/>
      <c r="AE164" s="34"/>
      <c r="AF164" s="34"/>
      <c r="AG164" s="34"/>
      <c r="AH164" s="33"/>
      <c r="AI164" s="33"/>
      <c r="AJ164" s="34"/>
      <c r="AK164" s="33">
        <v>250</v>
      </c>
      <c r="AL164" s="33" t="s">
        <v>206</v>
      </c>
      <c r="AM164" s="33"/>
      <c r="AN164" s="34"/>
      <c r="AO164" s="34"/>
      <c r="AP164" s="33"/>
      <c r="AQ164" s="34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4"/>
      <c r="BM164" s="33"/>
      <c r="BN164" s="33"/>
      <c r="BO164" s="33"/>
      <c r="BP164" s="33">
        <v>200</v>
      </c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5"/>
      <c r="CC164" s="33"/>
      <c r="CD164" s="33"/>
      <c r="CE164" s="33"/>
      <c r="CF164" s="34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>
        <v>200</v>
      </c>
      <c r="CS164" s="33"/>
      <c r="CT164" s="33"/>
      <c r="CU164" s="33"/>
      <c r="CV164" s="33"/>
      <c r="CW164" s="33"/>
      <c r="CX164" s="33"/>
      <c r="CY164" s="33"/>
      <c r="CZ164" s="34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4"/>
      <c r="DN164" s="34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8"/>
    </row>
    <row r="165" spans="2:137" ht="13.2">
      <c r="B165" s="30" t="str">
        <f t="shared" si="6"/>
        <v>2023/2</v>
      </c>
      <c r="C165" s="31">
        <f t="shared" si="7"/>
        <v>1050</v>
      </c>
      <c r="D165" s="32">
        <v>44960</v>
      </c>
      <c r="E165" s="33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3"/>
      <c r="R165" s="33"/>
      <c r="S165" s="33"/>
      <c r="T165" s="33"/>
      <c r="U165" s="35"/>
      <c r="V165" s="36"/>
      <c r="W165" s="37"/>
      <c r="X165" s="34"/>
      <c r="Y165" s="33"/>
      <c r="Z165" s="33"/>
      <c r="AA165" s="33"/>
      <c r="AB165" s="35"/>
      <c r="AC165" s="34"/>
      <c r="AD165" s="34"/>
      <c r="AE165" s="34"/>
      <c r="AF165" s="34" t="s">
        <v>207</v>
      </c>
      <c r="AG165" s="34">
        <v>200</v>
      </c>
      <c r="AH165" s="33"/>
      <c r="AI165" s="33"/>
      <c r="AJ165" s="34"/>
      <c r="AK165" s="33"/>
      <c r="AL165" s="33" t="s">
        <v>207</v>
      </c>
      <c r="AM165" s="33"/>
      <c r="AN165" s="34">
        <v>150</v>
      </c>
      <c r="AO165" s="34"/>
      <c r="AP165" s="33">
        <v>300</v>
      </c>
      <c r="AQ165" s="34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4" t="s">
        <v>212</v>
      </c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5">
        <v>200</v>
      </c>
      <c r="CC165" s="33"/>
      <c r="CD165" s="33"/>
      <c r="CE165" s="33"/>
      <c r="CF165" s="34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4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4">
        <v>200</v>
      </c>
      <c r="DN165" s="34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8"/>
    </row>
    <row r="166" spans="2:137" ht="13.2">
      <c r="B166" s="30" t="str">
        <f t="shared" si="6"/>
        <v>2023/2</v>
      </c>
      <c r="C166" s="31" t="str">
        <f t="shared" si="7"/>
        <v/>
      </c>
      <c r="D166" s="32">
        <v>44964</v>
      </c>
      <c r="E166" s="33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3"/>
      <c r="R166" s="33"/>
      <c r="S166" s="33"/>
      <c r="T166" s="33"/>
      <c r="U166" s="35"/>
      <c r="V166" s="36"/>
      <c r="W166" s="37"/>
      <c r="X166" s="34"/>
      <c r="Y166" s="33"/>
      <c r="Z166" s="33"/>
      <c r="AA166" s="33"/>
      <c r="AB166" s="35"/>
      <c r="AC166" s="34"/>
      <c r="AD166" s="34"/>
      <c r="AE166" s="34"/>
      <c r="AF166" s="34" t="s">
        <v>224</v>
      </c>
      <c r="AG166" s="34"/>
      <c r="AH166" s="33"/>
      <c r="AI166" s="33"/>
      <c r="AJ166" s="34"/>
      <c r="AK166" s="33"/>
      <c r="AL166" s="33"/>
      <c r="AM166" s="33"/>
      <c r="AN166" s="34"/>
      <c r="AO166" s="34"/>
      <c r="AP166" s="33"/>
      <c r="AQ166" s="34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4" t="s">
        <v>207</v>
      </c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5"/>
      <c r="CC166" s="33"/>
      <c r="CD166" s="33"/>
      <c r="CE166" s="33"/>
      <c r="CF166" s="34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4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4"/>
      <c r="DN166" s="34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8"/>
    </row>
    <row r="167" spans="2:137" ht="13.2">
      <c r="B167" s="30" t="str">
        <f t="shared" si="6"/>
        <v>2023/2</v>
      </c>
      <c r="C167" s="31">
        <f t="shared" si="7"/>
        <v>175</v>
      </c>
      <c r="D167" s="32">
        <v>44965</v>
      </c>
      <c r="E167" s="33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3"/>
      <c r="R167" s="33"/>
      <c r="S167" s="33"/>
      <c r="T167" s="33"/>
      <c r="U167" s="35"/>
      <c r="V167" s="36"/>
      <c r="W167" s="37"/>
      <c r="X167" s="34"/>
      <c r="Y167" s="33"/>
      <c r="Z167" s="33"/>
      <c r="AA167" s="33"/>
      <c r="AB167" s="35"/>
      <c r="AC167" s="34"/>
      <c r="AD167" s="34"/>
      <c r="AE167" s="34"/>
      <c r="AF167" s="34"/>
      <c r="AG167" s="34"/>
      <c r="AH167" s="33"/>
      <c r="AI167" s="33"/>
      <c r="AJ167" s="34"/>
      <c r="AK167" s="33"/>
      <c r="AL167" s="33"/>
      <c r="AM167" s="33"/>
      <c r="AN167" s="34"/>
      <c r="AO167" s="34"/>
      <c r="AP167" s="33"/>
      <c r="AQ167" s="34"/>
      <c r="AR167" s="33">
        <v>175</v>
      </c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4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5"/>
      <c r="CC167" s="33"/>
      <c r="CD167" s="33"/>
      <c r="CE167" s="33"/>
      <c r="CF167" s="34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4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4"/>
      <c r="DN167" s="34" t="s">
        <v>224</v>
      </c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8"/>
    </row>
    <row r="168" spans="2:137" ht="13.2">
      <c r="B168" s="30" t="str">
        <f t="shared" si="6"/>
        <v>2023/2</v>
      </c>
      <c r="C168" s="31">
        <f t="shared" si="7"/>
        <v>450</v>
      </c>
      <c r="D168" s="32">
        <v>44966</v>
      </c>
      <c r="E168" s="33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3"/>
      <c r="R168" s="33"/>
      <c r="S168" s="33"/>
      <c r="T168" s="33"/>
      <c r="U168" s="35"/>
      <c r="V168" s="36"/>
      <c r="W168" s="37"/>
      <c r="X168" s="34"/>
      <c r="Y168" s="33"/>
      <c r="Z168" s="33"/>
      <c r="AA168" s="33"/>
      <c r="AB168" s="35"/>
      <c r="AC168" s="34"/>
      <c r="AD168" s="34"/>
      <c r="AE168" s="34"/>
      <c r="AF168" s="34"/>
      <c r="AG168" s="34"/>
      <c r="AH168" s="33"/>
      <c r="AI168" s="33"/>
      <c r="AJ168" s="34" t="s">
        <v>225</v>
      </c>
      <c r="AK168" s="33">
        <v>250</v>
      </c>
      <c r="AL168" s="33"/>
      <c r="AM168" s="33"/>
      <c r="AN168" s="34"/>
      <c r="AO168" s="34"/>
      <c r="AP168" s="33"/>
      <c r="AQ168" s="34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4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5"/>
      <c r="CC168" s="33"/>
      <c r="CD168" s="33"/>
      <c r="CE168" s="33"/>
      <c r="CF168" s="34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>
        <v>200</v>
      </c>
      <c r="CS168" s="33"/>
      <c r="CT168" s="33"/>
      <c r="CU168" s="33"/>
      <c r="CV168" s="33"/>
      <c r="CW168" s="33"/>
      <c r="CX168" s="33"/>
      <c r="CY168" s="33"/>
      <c r="CZ168" s="34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4"/>
      <c r="DN168" s="34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8"/>
    </row>
    <row r="169" spans="2:137" ht="13.2">
      <c r="B169" s="30" t="str">
        <f t="shared" si="6"/>
        <v>2023/2</v>
      </c>
      <c r="C169" s="31">
        <f t="shared" si="7"/>
        <v>1000</v>
      </c>
      <c r="D169" s="32">
        <v>44967</v>
      </c>
      <c r="E169" s="33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3"/>
      <c r="R169" s="33"/>
      <c r="S169" s="33"/>
      <c r="T169" s="33"/>
      <c r="U169" s="35"/>
      <c r="V169" s="36"/>
      <c r="W169" s="37"/>
      <c r="X169" s="34"/>
      <c r="Y169" s="33"/>
      <c r="Z169" s="33"/>
      <c r="AA169" s="33"/>
      <c r="AB169" s="35"/>
      <c r="AC169" s="34"/>
      <c r="AD169" s="34"/>
      <c r="AE169" s="34"/>
      <c r="AF169" s="34"/>
      <c r="AG169" s="34"/>
      <c r="AH169" s="33"/>
      <c r="AI169" s="33"/>
      <c r="AJ169" s="34"/>
      <c r="AK169" s="33"/>
      <c r="AL169" s="33"/>
      <c r="AM169" s="33"/>
      <c r="AN169" s="34">
        <v>150</v>
      </c>
      <c r="AO169" s="34"/>
      <c r="AP169" s="33">
        <v>200</v>
      </c>
      <c r="AQ169" s="34">
        <v>150</v>
      </c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4"/>
      <c r="BM169" s="33"/>
      <c r="BN169" s="33"/>
      <c r="BO169" s="33"/>
      <c r="BP169" s="33">
        <v>100</v>
      </c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5">
        <v>200</v>
      </c>
      <c r="CC169" s="33"/>
      <c r="CD169" s="33"/>
      <c r="CE169" s="33"/>
      <c r="CF169" s="34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4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4">
        <v>200</v>
      </c>
      <c r="DN169" s="34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8"/>
    </row>
    <row r="170" spans="2:137" ht="13.2">
      <c r="B170" s="30" t="str">
        <f t="shared" si="6"/>
        <v>2023/2</v>
      </c>
      <c r="C170" s="31">
        <f t="shared" si="7"/>
        <v>200</v>
      </c>
      <c r="D170" s="32">
        <v>44971</v>
      </c>
      <c r="E170" s="33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3"/>
      <c r="R170" s="33"/>
      <c r="S170" s="33"/>
      <c r="T170" s="33"/>
      <c r="U170" s="35"/>
      <c r="V170" s="36"/>
      <c r="W170" s="37"/>
      <c r="X170" s="34"/>
      <c r="Y170" s="33"/>
      <c r="Z170" s="33"/>
      <c r="AA170" s="33"/>
      <c r="AB170" s="35"/>
      <c r="AC170" s="34"/>
      <c r="AD170" s="34"/>
      <c r="AE170" s="34"/>
      <c r="AF170" s="34"/>
      <c r="AG170" s="34"/>
      <c r="AH170" s="33"/>
      <c r="AI170" s="33"/>
      <c r="AJ170" s="34"/>
      <c r="AK170" s="33"/>
      <c r="AL170" s="33"/>
      <c r="AM170" s="33"/>
      <c r="AN170" s="34"/>
      <c r="AO170" s="34"/>
      <c r="AP170" s="33"/>
      <c r="AQ170" s="34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4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5"/>
      <c r="CC170" s="33"/>
      <c r="CD170" s="33"/>
      <c r="CE170" s="33"/>
      <c r="CF170" s="34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4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4"/>
      <c r="DN170" s="34"/>
      <c r="DO170" s="33">
        <v>200</v>
      </c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8"/>
    </row>
    <row r="171" spans="2:137" ht="13.2">
      <c r="B171" s="30" t="str">
        <f t="shared" si="6"/>
        <v>2023/2</v>
      </c>
      <c r="C171" s="31">
        <f t="shared" si="7"/>
        <v>250</v>
      </c>
      <c r="D171" s="32">
        <v>44972</v>
      </c>
      <c r="E171" s="33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3"/>
      <c r="R171" s="33"/>
      <c r="S171" s="33"/>
      <c r="T171" s="33"/>
      <c r="U171" s="35"/>
      <c r="V171" s="36"/>
      <c r="W171" s="37"/>
      <c r="X171" s="34"/>
      <c r="Y171" s="33"/>
      <c r="Z171" s="33"/>
      <c r="AA171" s="33"/>
      <c r="AB171" s="35"/>
      <c r="AC171" s="34"/>
      <c r="AD171" s="34"/>
      <c r="AE171" s="34"/>
      <c r="AF171" s="34" t="s">
        <v>213</v>
      </c>
      <c r="AG171" s="34"/>
      <c r="AH171" s="33"/>
      <c r="AI171" s="33"/>
      <c r="AJ171" s="34" t="s">
        <v>226</v>
      </c>
      <c r="AK171" s="33"/>
      <c r="AL171" s="33"/>
      <c r="AM171" s="33"/>
      <c r="AN171" s="34"/>
      <c r="AO171" s="34"/>
      <c r="AP171" s="33" t="s">
        <v>227</v>
      </c>
      <c r="AQ171" s="34"/>
      <c r="AR171" s="33">
        <v>250</v>
      </c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4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5"/>
      <c r="CC171" s="33"/>
      <c r="CD171" s="33"/>
      <c r="CE171" s="33"/>
      <c r="CF171" s="34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4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4"/>
      <c r="DN171" s="39" t="s">
        <v>209</v>
      </c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8"/>
    </row>
    <row r="172" spans="2:137" ht="13.2">
      <c r="B172" s="30" t="str">
        <f t="shared" si="6"/>
        <v>2023/2</v>
      </c>
      <c r="C172" s="31">
        <f t="shared" si="7"/>
        <v>1450</v>
      </c>
      <c r="D172" s="32">
        <v>44973</v>
      </c>
      <c r="E172" s="33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3"/>
      <c r="R172" s="33"/>
      <c r="S172" s="33"/>
      <c r="T172" s="33"/>
      <c r="U172" s="35"/>
      <c r="V172" s="36"/>
      <c r="W172" s="37"/>
      <c r="X172" s="34"/>
      <c r="Y172" s="33"/>
      <c r="Z172" s="33"/>
      <c r="AA172" s="33"/>
      <c r="AB172" s="35"/>
      <c r="AC172" s="34"/>
      <c r="AD172" s="34"/>
      <c r="AE172" s="34"/>
      <c r="AF172" s="34"/>
      <c r="AG172" s="34"/>
      <c r="AH172" s="33"/>
      <c r="AI172" s="33"/>
      <c r="AJ172" s="34">
        <v>300</v>
      </c>
      <c r="AK172" s="33">
        <v>250</v>
      </c>
      <c r="AL172" s="33"/>
      <c r="AM172" s="33"/>
      <c r="AN172" s="34"/>
      <c r="AO172" s="34"/>
      <c r="AP172" s="33"/>
      <c r="AQ172" s="34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4" t="s">
        <v>208</v>
      </c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5"/>
      <c r="CC172" s="33"/>
      <c r="CD172" s="33"/>
      <c r="CE172" s="33"/>
      <c r="CF172" s="34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>
        <v>200</v>
      </c>
      <c r="CS172" s="33"/>
      <c r="CT172" s="33"/>
      <c r="CU172" s="33"/>
      <c r="CV172" s="33"/>
      <c r="CW172" s="33"/>
      <c r="CX172" s="33"/>
      <c r="CY172" s="33"/>
      <c r="CZ172" s="34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4"/>
      <c r="DN172" s="34">
        <v>700</v>
      </c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8"/>
    </row>
    <row r="173" spans="2:137" ht="13.2">
      <c r="B173" s="30" t="str">
        <f t="shared" si="6"/>
        <v>2023/2</v>
      </c>
      <c r="C173" s="31">
        <f t="shared" si="7"/>
        <v>1050</v>
      </c>
      <c r="D173" s="32">
        <v>44974</v>
      </c>
      <c r="E173" s="33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3"/>
      <c r="R173" s="33"/>
      <c r="S173" s="33"/>
      <c r="T173" s="33"/>
      <c r="U173" s="35"/>
      <c r="V173" s="36"/>
      <c r="W173" s="37"/>
      <c r="X173" s="34"/>
      <c r="Y173" s="33"/>
      <c r="Z173" s="33"/>
      <c r="AA173" s="33"/>
      <c r="AB173" s="35"/>
      <c r="AC173" s="34"/>
      <c r="AD173" s="34"/>
      <c r="AE173" s="34"/>
      <c r="AF173" s="34"/>
      <c r="AG173" s="34">
        <v>200</v>
      </c>
      <c r="AH173" s="33"/>
      <c r="AI173" s="33"/>
      <c r="AJ173" s="34"/>
      <c r="AK173" s="33"/>
      <c r="AL173" s="33"/>
      <c r="AM173" s="33"/>
      <c r="AN173" s="34">
        <v>150</v>
      </c>
      <c r="AO173" s="34"/>
      <c r="AP173" s="33">
        <v>500</v>
      </c>
      <c r="AQ173" s="34"/>
      <c r="AR173" s="33"/>
      <c r="AS173" s="33"/>
      <c r="AT173" s="33"/>
      <c r="AU173" s="39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4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5"/>
      <c r="CC173" s="33"/>
      <c r="CD173" s="33"/>
      <c r="CE173" s="33"/>
      <c r="CF173" s="34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 t="s">
        <v>208</v>
      </c>
      <c r="CY173" s="33"/>
      <c r="CZ173" s="34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4">
        <v>200</v>
      </c>
      <c r="DN173" s="34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8"/>
    </row>
    <row r="174" spans="2:137" ht="13.2">
      <c r="B174" s="30" t="str">
        <f t="shared" si="6"/>
        <v>2023/2</v>
      </c>
      <c r="C174" s="31">
        <f t="shared" si="7"/>
        <v>1900</v>
      </c>
      <c r="D174" s="32">
        <v>44978</v>
      </c>
      <c r="E174" s="33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3"/>
      <c r="R174" s="33"/>
      <c r="S174" s="33"/>
      <c r="T174" s="33"/>
      <c r="U174" s="35"/>
      <c r="V174" s="36"/>
      <c r="W174" s="37"/>
      <c r="X174" s="34"/>
      <c r="Y174" s="33"/>
      <c r="Z174" s="33"/>
      <c r="AA174" s="33"/>
      <c r="AB174" s="35"/>
      <c r="AC174" s="34"/>
      <c r="AD174" s="34"/>
      <c r="AE174" s="34"/>
      <c r="AF174" s="34"/>
      <c r="AG174" s="34"/>
      <c r="AH174" s="33"/>
      <c r="AI174" s="33"/>
      <c r="AJ174" s="34"/>
      <c r="AK174" s="33"/>
      <c r="AL174" s="33"/>
      <c r="AM174" s="33"/>
      <c r="AN174" s="34"/>
      <c r="AO174" s="34"/>
      <c r="AP174" s="33"/>
      <c r="AQ174" s="34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4">
        <v>1600</v>
      </c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5"/>
      <c r="CC174" s="33"/>
      <c r="CD174" s="33"/>
      <c r="CE174" s="33"/>
      <c r="CF174" s="34">
        <v>300</v>
      </c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4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4"/>
      <c r="DN174" s="34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8"/>
    </row>
    <row r="175" spans="2:137" ht="13.2">
      <c r="B175" s="30" t="str">
        <f t="shared" si="6"/>
        <v>2023/2</v>
      </c>
      <c r="C175" s="31">
        <f t="shared" si="7"/>
        <v>150</v>
      </c>
      <c r="D175" s="32">
        <v>44979</v>
      </c>
      <c r="E175" s="33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3"/>
      <c r="R175" s="33"/>
      <c r="S175" s="33"/>
      <c r="T175" s="33"/>
      <c r="U175" s="35"/>
      <c r="V175" s="36"/>
      <c r="W175" s="37"/>
      <c r="X175" s="34"/>
      <c r="Y175" s="33"/>
      <c r="Z175" s="33"/>
      <c r="AA175" s="33"/>
      <c r="AB175" s="35"/>
      <c r="AC175" s="34"/>
      <c r="AD175" s="34"/>
      <c r="AE175" s="34"/>
      <c r="AF175" s="34"/>
      <c r="AG175" s="34"/>
      <c r="AH175" s="33"/>
      <c r="AI175" s="33"/>
      <c r="AJ175" s="34" t="s">
        <v>214</v>
      </c>
      <c r="AK175" s="33"/>
      <c r="AL175" s="33"/>
      <c r="AM175" s="33"/>
      <c r="AN175" s="34">
        <v>150</v>
      </c>
      <c r="AO175" s="34"/>
      <c r="AP175" s="33"/>
      <c r="AQ175" s="34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4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5"/>
      <c r="CC175" s="33"/>
      <c r="CD175" s="33"/>
      <c r="CE175" s="33"/>
      <c r="CF175" s="34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4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4"/>
      <c r="DN175" s="34" t="s">
        <v>206</v>
      </c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8"/>
    </row>
    <row r="176" spans="2:137" ht="13.2">
      <c r="B176" s="30" t="str">
        <f t="shared" si="6"/>
        <v>2023/2</v>
      </c>
      <c r="C176" s="31">
        <f t="shared" si="7"/>
        <v>350</v>
      </c>
      <c r="D176" s="32">
        <v>44980</v>
      </c>
      <c r="E176" s="33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3"/>
      <c r="R176" s="33"/>
      <c r="S176" s="33"/>
      <c r="T176" s="33"/>
      <c r="U176" s="35"/>
      <c r="V176" s="36"/>
      <c r="W176" s="37"/>
      <c r="X176" s="34"/>
      <c r="Y176" s="33"/>
      <c r="Z176" s="33"/>
      <c r="AA176" s="33"/>
      <c r="AB176" s="35"/>
      <c r="AC176" s="34"/>
      <c r="AD176" s="34"/>
      <c r="AE176" s="34"/>
      <c r="AF176" s="34"/>
      <c r="AG176" s="34"/>
      <c r="AH176" s="33"/>
      <c r="AI176" s="33"/>
      <c r="AJ176" s="34"/>
      <c r="AK176" s="33"/>
      <c r="AL176" s="33"/>
      <c r="AM176" s="33"/>
      <c r="AN176" s="34"/>
      <c r="AO176" s="34"/>
      <c r="AP176" s="33"/>
      <c r="AQ176" s="34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4" t="s">
        <v>209</v>
      </c>
      <c r="BM176" s="33"/>
      <c r="BN176" s="33"/>
      <c r="BO176" s="33"/>
      <c r="BP176" s="33">
        <v>200</v>
      </c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5"/>
      <c r="CC176" s="33"/>
      <c r="CD176" s="33"/>
      <c r="CE176" s="33"/>
      <c r="CF176" s="34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4">
        <v>150</v>
      </c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4"/>
      <c r="DN176" s="34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8"/>
    </row>
    <row r="177" spans="2:137" ht="13.2">
      <c r="B177" s="30" t="str">
        <f t="shared" si="6"/>
        <v>2023/2</v>
      </c>
      <c r="C177" s="31">
        <f t="shared" si="7"/>
        <v>600</v>
      </c>
      <c r="D177" s="32">
        <v>44981</v>
      </c>
      <c r="E177" s="33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3"/>
      <c r="R177" s="33"/>
      <c r="S177" s="33"/>
      <c r="T177" s="33"/>
      <c r="U177" s="35"/>
      <c r="V177" s="36"/>
      <c r="W177" s="37"/>
      <c r="X177" s="34"/>
      <c r="Y177" s="33"/>
      <c r="Z177" s="33"/>
      <c r="AA177" s="33"/>
      <c r="AB177" s="35"/>
      <c r="AC177" s="34"/>
      <c r="AD177" s="34"/>
      <c r="AE177" s="34"/>
      <c r="AF177" s="34"/>
      <c r="AG177" s="34"/>
      <c r="AH177" s="33"/>
      <c r="AI177" s="33"/>
      <c r="AJ177" s="34"/>
      <c r="AK177" s="33"/>
      <c r="AL177" s="33"/>
      <c r="AM177" s="33"/>
      <c r="AN177" s="34"/>
      <c r="AO177" s="34"/>
      <c r="AP177" s="33" t="s">
        <v>227</v>
      </c>
      <c r="AQ177" s="34"/>
      <c r="AR177" s="33"/>
      <c r="AS177" s="33"/>
      <c r="AT177" s="33"/>
      <c r="AU177" s="39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4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5">
        <v>200</v>
      </c>
      <c r="CC177" s="33"/>
      <c r="CD177" s="33"/>
      <c r="CE177" s="33"/>
      <c r="CF177" s="34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>
        <v>200</v>
      </c>
      <c r="CS177" s="33"/>
      <c r="CT177" s="33"/>
      <c r="CU177" s="33"/>
      <c r="CV177" s="33"/>
      <c r="CW177" s="33"/>
      <c r="CX177" s="33"/>
      <c r="CY177" s="33"/>
      <c r="CZ177" s="34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4">
        <v>200</v>
      </c>
      <c r="DN177" s="34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8"/>
    </row>
    <row r="178" spans="2:137" ht="13.2">
      <c r="B178" s="30" t="str">
        <f t="shared" si="6"/>
        <v>2023/2</v>
      </c>
      <c r="C178" s="31" t="str">
        <f t="shared" si="7"/>
        <v/>
      </c>
      <c r="D178" s="32">
        <v>44984</v>
      </c>
      <c r="E178" s="33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3"/>
      <c r="R178" s="33"/>
      <c r="S178" s="33"/>
      <c r="T178" s="33"/>
      <c r="U178" s="35"/>
      <c r="V178" s="36"/>
      <c r="W178" s="37"/>
      <c r="X178" s="34"/>
      <c r="Y178" s="33"/>
      <c r="Z178" s="33"/>
      <c r="AA178" s="33"/>
      <c r="AB178" s="35"/>
      <c r="AC178" s="34"/>
      <c r="AD178" s="34"/>
      <c r="AE178" s="34"/>
      <c r="AF178" s="34"/>
      <c r="AG178" s="34"/>
      <c r="AH178" s="33"/>
      <c r="AI178" s="33"/>
      <c r="AJ178" s="34"/>
      <c r="AK178" s="33"/>
      <c r="AL178" s="33"/>
      <c r="AM178" s="33"/>
      <c r="AN178" s="34"/>
      <c r="AO178" s="34"/>
      <c r="AP178" s="33"/>
      <c r="AQ178" s="34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4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5"/>
      <c r="CC178" s="33"/>
      <c r="CD178" s="33"/>
      <c r="CE178" s="33"/>
      <c r="CF178" s="34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4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4"/>
      <c r="DN178" s="34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8"/>
    </row>
    <row r="179" spans="2:137" ht="13.2">
      <c r="B179" s="30" t="str">
        <f t="shared" si="6"/>
        <v>2023/2</v>
      </c>
      <c r="C179" s="31">
        <f t="shared" si="7"/>
        <v>500</v>
      </c>
      <c r="D179" s="32">
        <v>44985</v>
      </c>
      <c r="E179" s="33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3"/>
      <c r="R179" s="33"/>
      <c r="S179" s="33"/>
      <c r="T179" s="33"/>
      <c r="U179" s="35"/>
      <c r="V179" s="36"/>
      <c r="W179" s="37"/>
      <c r="X179" s="34"/>
      <c r="Y179" s="33"/>
      <c r="Z179" s="33"/>
      <c r="AA179" s="33"/>
      <c r="AB179" s="35"/>
      <c r="AC179" s="34"/>
      <c r="AD179" s="34"/>
      <c r="AE179" s="34"/>
      <c r="AF179" s="34"/>
      <c r="AG179" s="34"/>
      <c r="AH179" s="33"/>
      <c r="AI179" s="33"/>
      <c r="AJ179" s="34"/>
      <c r="AK179" s="33"/>
      <c r="AL179" s="33"/>
      <c r="AM179" s="33"/>
      <c r="AN179" s="34"/>
      <c r="AO179" s="34"/>
      <c r="AP179" s="33">
        <v>500</v>
      </c>
      <c r="AQ179" s="34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4" t="s">
        <v>206</v>
      </c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5"/>
      <c r="CC179" s="33"/>
      <c r="CD179" s="33"/>
      <c r="CE179" s="33"/>
      <c r="CF179" s="34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4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4"/>
      <c r="DN179" s="34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8"/>
    </row>
    <row r="180" spans="2:137" ht="13.2">
      <c r="B180" s="30" t="str">
        <f t="shared" si="6"/>
        <v>2023/3</v>
      </c>
      <c r="C180" s="31">
        <f t="shared" si="7"/>
        <v>870</v>
      </c>
      <c r="D180" s="32">
        <v>44986</v>
      </c>
      <c r="E180" s="33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3"/>
      <c r="R180" s="33"/>
      <c r="S180" s="33"/>
      <c r="T180" s="33"/>
      <c r="U180" s="35"/>
      <c r="V180" s="36"/>
      <c r="W180" s="37"/>
      <c r="X180" s="34"/>
      <c r="Y180" s="33"/>
      <c r="Z180" s="33"/>
      <c r="AA180" s="33"/>
      <c r="AB180" s="35"/>
      <c r="AC180" s="34"/>
      <c r="AD180" s="34"/>
      <c r="AE180" s="34"/>
      <c r="AF180" s="34"/>
      <c r="AG180" s="34"/>
      <c r="AH180" s="33"/>
      <c r="AI180" s="33"/>
      <c r="AJ180" s="34"/>
      <c r="AK180" s="33"/>
      <c r="AL180" s="33"/>
      <c r="AM180" s="33"/>
      <c r="AN180" s="34"/>
      <c r="AO180" s="34">
        <v>235</v>
      </c>
      <c r="AP180" s="33"/>
      <c r="AQ180" s="34"/>
      <c r="AR180" s="33">
        <v>235</v>
      </c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4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5"/>
      <c r="CC180" s="33"/>
      <c r="CD180" s="33"/>
      <c r="CE180" s="33"/>
      <c r="CF180" s="34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>
        <v>200</v>
      </c>
      <c r="CS180" s="33"/>
      <c r="CT180" s="33"/>
      <c r="CU180" s="33"/>
      <c r="CV180" s="33"/>
      <c r="CW180" s="33"/>
      <c r="CX180" s="33"/>
      <c r="CY180" s="33"/>
      <c r="CZ180" s="34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4"/>
      <c r="DN180" s="34" t="s">
        <v>207</v>
      </c>
      <c r="DO180" s="33">
        <v>200</v>
      </c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8"/>
    </row>
    <row r="181" spans="2:137" ht="13.2">
      <c r="B181" s="30" t="str">
        <f t="shared" si="6"/>
        <v>2023/3</v>
      </c>
      <c r="C181" s="31">
        <f t="shared" si="7"/>
        <v>200</v>
      </c>
      <c r="D181" s="32">
        <v>44987</v>
      </c>
      <c r="E181" s="33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3"/>
      <c r="R181" s="33"/>
      <c r="S181" s="33"/>
      <c r="T181" s="33"/>
      <c r="U181" s="35"/>
      <c r="V181" s="36"/>
      <c r="W181" s="37"/>
      <c r="X181" s="34"/>
      <c r="Y181" s="33"/>
      <c r="Z181" s="33"/>
      <c r="AA181" s="33"/>
      <c r="AB181" s="35"/>
      <c r="AC181" s="34"/>
      <c r="AD181" s="34"/>
      <c r="AE181" s="34"/>
      <c r="AF181" s="34"/>
      <c r="AG181" s="34"/>
      <c r="AH181" s="33"/>
      <c r="AI181" s="33"/>
      <c r="AJ181" s="34" t="s">
        <v>224</v>
      </c>
      <c r="AK181" s="33"/>
      <c r="AL181" s="33"/>
      <c r="AM181" s="33"/>
      <c r="AN181" s="34"/>
      <c r="AO181" s="34"/>
      <c r="AP181" s="33"/>
      <c r="AQ181" s="34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4"/>
      <c r="BM181" s="33"/>
      <c r="BN181" s="33"/>
      <c r="BO181" s="33"/>
      <c r="BP181" s="33">
        <v>200</v>
      </c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5"/>
      <c r="CC181" s="33"/>
      <c r="CD181" s="33"/>
      <c r="CE181" s="33"/>
      <c r="CF181" s="34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4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4"/>
      <c r="DN181" s="34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8"/>
    </row>
    <row r="182" spans="2:137" ht="13.2">
      <c r="B182" s="30" t="str">
        <f t="shared" si="6"/>
        <v>2023/3</v>
      </c>
      <c r="C182" s="31">
        <f t="shared" si="7"/>
        <v>600</v>
      </c>
      <c r="D182" s="32">
        <v>44988</v>
      </c>
      <c r="E182" s="33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3"/>
      <c r="R182" s="33"/>
      <c r="S182" s="33"/>
      <c r="T182" s="33"/>
      <c r="U182" s="35"/>
      <c r="V182" s="36"/>
      <c r="W182" s="37"/>
      <c r="X182" s="34"/>
      <c r="Y182" s="33"/>
      <c r="Z182" s="33"/>
      <c r="AA182" s="33"/>
      <c r="AB182" s="35"/>
      <c r="AC182" s="34"/>
      <c r="AD182" s="34"/>
      <c r="AE182" s="34"/>
      <c r="AF182" s="34"/>
      <c r="AG182" s="34"/>
      <c r="AH182" s="33"/>
      <c r="AI182" s="33"/>
      <c r="AJ182" s="34"/>
      <c r="AK182" s="33">
        <v>250</v>
      </c>
      <c r="AL182" s="33"/>
      <c r="AM182" s="33"/>
      <c r="AN182" s="34"/>
      <c r="AO182" s="34"/>
      <c r="AP182" s="33" t="s">
        <v>227</v>
      </c>
      <c r="AQ182" s="34">
        <v>150</v>
      </c>
      <c r="AR182" s="33"/>
      <c r="AS182" s="33"/>
      <c r="AT182" s="33"/>
      <c r="AU182" s="39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4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5"/>
      <c r="CC182" s="33"/>
      <c r="CD182" s="33"/>
      <c r="CE182" s="33"/>
      <c r="CF182" s="34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4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4">
        <v>200</v>
      </c>
      <c r="DN182" s="34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8"/>
    </row>
    <row r="183" spans="2:137" ht="13.2">
      <c r="B183" s="30" t="str">
        <f t="shared" si="6"/>
        <v>2023/3</v>
      </c>
      <c r="C183" s="31">
        <f t="shared" si="7"/>
        <v>1009.36</v>
      </c>
      <c r="D183" s="32">
        <v>44991</v>
      </c>
      <c r="E183" s="33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3"/>
      <c r="R183" s="33"/>
      <c r="S183" s="33"/>
      <c r="T183" s="33"/>
      <c r="U183" s="35"/>
      <c r="V183" s="36"/>
      <c r="W183" s="37"/>
      <c r="X183" s="34"/>
      <c r="Y183" s="33"/>
      <c r="Z183" s="33"/>
      <c r="AA183" s="33"/>
      <c r="AB183" s="35"/>
      <c r="AC183" s="34"/>
      <c r="AD183" s="34"/>
      <c r="AE183" s="34"/>
      <c r="AF183" s="34"/>
      <c r="AG183" s="34"/>
      <c r="AH183" s="33"/>
      <c r="AI183" s="33"/>
      <c r="AJ183" s="34"/>
      <c r="AK183" s="33"/>
      <c r="AL183" s="33"/>
      <c r="AM183" s="33">
        <v>200</v>
      </c>
      <c r="AN183" s="34"/>
      <c r="AO183" s="34"/>
      <c r="AP183" s="33"/>
      <c r="AQ183" s="34"/>
      <c r="AR183" s="33"/>
      <c r="AS183" s="33"/>
      <c r="AT183" s="33"/>
      <c r="AU183" s="33"/>
      <c r="AV183" s="33"/>
      <c r="AW183" s="33"/>
      <c r="AX183" s="33"/>
      <c r="AY183" s="33"/>
      <c r="AZ183" s="33">
        <v>809.36</v>
      </c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4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5"/>
      <c r="CC183" s="33"/>
      <c r="CD183" s="33"/>
      <c r="CE183" s="33"/>
      <c r="CF183" s="34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4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4"/>
      <c r="DN183" s="34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8"/>
    </row>
    <row r="184" spans="2:137" ht="13.2">
      <c r="B184" s="30" t="str">
        <f t="shared" si="6"/>
        <v>2023/3</v>
      </c>
      <c r="C184" s="31">
        <f t="shared" si="7"/>
        <v>300</v>
      </c>
      <c r="D184" s="32">
        <v>44992</v>
      </c>
      <c r="E184" s="33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3"/>
      <c r="R184" s="33"/>
      <c r="S184" s="33"/>
      <c r="T184" s="33"/>
      <c r="U184" s="35"/>
      <c r="V184" s="36"/>
      <c r="W184" s="37"/>
      <c r="X184" s="34"/>
      <c r="Y184" s="33"/>
      <c r="Z184" s="33"/>
      <c r="AA184" s="33"/>
      <c r="AB184" s="35"/>
      <c r="AC184" s="34"/>
      <c r="AD184" s="34"/>
      <c r="AE184" s="34"/>
      <c r="AF184" s="34"/>
      <c r="AG184" s="34"/>
      <c r="AH184" s="33"/>
      <c r="AI184" s="33"/>
      <c r="AJ184" s="34"/>
      <c r="AK184" s="33"/>
      <c r="AL184" s="33"/>
      <c r="AM184" s="33"/>
      <c r="AN184" s="34"/>
      <c r="AO184" s="34"/>
      <c r="AP184" s="33"/>
      <c r="AQ184" s="34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4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5"/>
      <c r="CC184" s="33"/>
      <c r="CD184" s="33"/>
      <c r="CE184" s="33"/>
      <c r="CF184" s="34">
        <v>300</v>
      </c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4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4"/>
      <c r="DN184" s="34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8"/>
    </row>
    <row r="185" spans="2:137" ht="13.2">
      <c r="B185" s="30" t="str">
        <f t="shared" si="6"/>
        <v>2023/3</v>
      </c>
      <c r="C185" s="31">
        <f t="shared" si="7"/>
        <v>770</v>
      </c>
      <c r="D185" s="32">
        <v>44993</v>
      </c>
      <c r="E185" s="33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3"/>
      <c r="R185" s="33"/>
      <c r="S185" s="33"/>
      <c r="T185" s="33"/>
      <c r="U185" s="35"/>
      <c r="V185" s="36"/>
      <c r="W185" s="37"/>
      <c r="X185" s="34"/>
      <c r="Y185" s="33"/>
      <c r="Z185" s="33"/>
      <c r="AA185" s="33"/>
      <c r="AB185" s="35"/>
      <c r="AC185" s="34"/>
      <c r="AD185" s="34"/>
      <c r="AE185" s="34"/>
      <c r="AF185" s="34"/>
      <c r="AG185" s="34"/>
      <c r="AH185" s="33"/>
      <c r="AI185" s="33"/>
      <c r="AJ185" s="34"/>
      <c r="AK185" s="33"/>
      <c r="AL185" s="33"/>
      <c r="AM185" s="33"/>
      <c r="AN185" s="34">
        <v>150</v>
      </c>
      <c r="AO185" s="34">
        <v>235</v>
      </c>
      <c r="AP185" s="33" t="s">
        <v>227</v>
      </c>
      <c r="AQ185" s="34"/>
      <c r="AR185" s="33">
        <v>235</v>
      </c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4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5"/>
      <c r="CC185" s="33"/>
      <c r="CD185" s="33"/>
      <c r="CE185" s="33"/>
      <c r="CF185" s="34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4">
        <v>150</v>
      </c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4"/>
      <c r="DN185" s="34" t="s">
        <v>208</v>
      </c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8"/>
    </row>
    <row r="186" spans="2:137" ht="13.2">
      <c r="B186" s="30" t="str">
        <f t="shared" si="6"/>
        <v>2023/3</v>
      </c>
      <c r="C186" s="31" t="str">
        <f t="shared" si="7"/>
        <v/>
      </c>
      <c r="D186" s="32">
        <v>44994</v>
      </c>
      <c r="E186" s="33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3"/>
      <c r="R186" s="33"/>
      <c r="S186" s="33"/>
      <c r="T186" s="33"/>
      <c r="U186" s="35"/>
      <c r="V186" s="36"/>
      <c r="W186" s="37"/>
      <c r="X186" s="34"/>
      <c r="Y186" s="33"/>
      <c r="Z186" s="33"/>
      <c r="AA186" s="33"/>
      <c r="AB186" s="35"/>
      <c r="AC186" s="34"/>
      <c r="AD186" s="34"/>
      <c r="AE186" s="34"/>
      <c r="AF186" s="34"/>
      <c r="AG186" s="34"/>
      <c r="AH186" s="33"/>
      <c r="AI186" s="33"/>
      <c r="AJ186" s="34" t="s">
        <v>211</v>
      </c>
      <c r="AK186" s="33"/>
      <c r="AL186" s="33"/>
      <c r="AM186" s="33"/>
      <c r="AN186" s="34"/>
      <c r="AO186" s="34"/>
      <c r="AP186" s="33"/>
      <c r="AQ186" s="34"/>
      <c r="AR186" s="33"/>
      <c r="AS186" s="33"/>
      <c r="AT186" s="33"/>
      <c r="AU186" s="39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4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5"/>
      <c r="CC186" s="33"/>
      <c r="CD186" s="33"/>
      <c r="CE186" s="33"/>
      <c r="CF186" s="34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4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4"/>
      <c r="DN186" s="34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8"/>
    </row>
    <row r="187" spans="2:137" ht="13.2">
      <c r="B187" s="30" t="str">
        <f t="shared" si="6"/>
        <v>2023/3</v>
      </c>
      <c r="C187" s="31">
        <f t="shared" si="7"/>
        <v>200</v>
      </c>
      <c r="D187" s="32">
        <v>44995</v>
      </c>
      <c r="E187" s="33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3"/>
      <c r="R187" s="33"/>
      <c r="S187" s="33"/>
      <c r="T187" s="33"/>
      <c r="U187" s="35"/>
      <c r="V187" s="36"/>
      <c r="W187" s="37"/>
      <c r="X187" s="34"/>
      <c r="Y187" s="33"/>
      <c r="Z187" s="33"/>
      <c r="AA187" s="33"/>
      <c r="AB187" s="35"/>
      <c r="AC187" s="34"/>
      <c r="AD187" s="34"/>
      <c r="AE187" s="34"/>
      <c r="AF187" s="34"/>
      <c r="AG187" s="34"/>
      <c r="AH187" s="33"/>
      <c r="AI187" s="33"/>
      <c r="AJ187" s="34"/>
      <c r="AK187" s="33"/>
      <c r="AL187" s="33"/>
      <c r="AM187" s="33">
        <v>200</v>
      </c>
      <c r="AN187" s="34"/>
      <c r="AO187" s="34"/>
      <c r="AP187" s="33" t="s">
        <v>227</v>
      </c>
      <c r="AQ187" s="34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4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5"/>
      <c r="CC187" s="33"/>
      <c r="CD187" s="33"/>
      <c r="CE187" s="33"/>
      <c r="CF187" s="34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4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4"/>
      <c r="DN187" s="34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8"/>
    </row>
    <row r="188" spans="2:137" ht="13.2">
      <c r="B188" s="30" t="str">
        <f t="shared" si="6"/>
        <v>2023/3</v>
      </c>
      <c r="C188" s="31">
        <f t="shared" si="7"/>
        <v>200</v>
      </c>
      <c r="D188" s="32">
        <v>44998</v>
      </c>
      <c r="E188" s="33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3"/>
      <c r="R188" s="33"/>
      <c r="S188" s="33"/>
      <c r="T188" s="33"/>
      <c r="U188" s="35"/>
      <c r="V188" s="36"/>
      <c r="W188" s="37"/>
      <c r="X188" s="34"/>
      <c r="Y188" s="33"/>
      <c r="Z188" s="33"/>
      <c r="AA188" s="33"/>
      <c r="AB188" s="35"/>
      <c r="AC188" s="34"/>
      <c r="AD188" s="34"/>
      <c r="AE188" s="34"/>
      <c r="AF188" s="34"/>
      <c r="AG188" s="34"/>
      <c r="AH188" s="33"/>
      <c r="AI188" s="33"/>
      <c r="AJ188" s="34"/>
      <c r="AK188" s="33"/>
      <c r="AL188" s="33"/>
      <c r="AM188" s="33"/>
      <c r="AN188" s="34"/>
      <c r="AO188" s="34"/>
      <c r="AP188" s="33"/>
      <c r="AQ188" s="34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4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5"/>
      <c r="CC188" s="33"/>
      <c r="CD188" s="33"/>
      <c r="CE188" s="33"/>
      <c r="CF188" s="34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>
        <v>200</v>
      </c>
      <c r="CS188" s="33"/>
      <c r="CT188" s="33"/>
      <c r="CU188" s="33"/>
      <c r="CV188" s="33"/>
      <c r="CW188" s="33"/>
      <c r="CX188" s="33"/>
      <c r="CY188" s="33"/>
      <c r="CZ188" s="34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4"/>
      <c r="DN188" s="34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8"/>
    </row>
    <row r="189" spans="2:137" ht="13.2">
      <c r="B189" s="30" t="str">
        <f t="shared" si="6"/>
        <v>2023/3</v>
      </c>
      <c r="C189" s="31">
        <f t="shared" si="7"/>
        <v>200</v>
      </c>
      <c r="D189" s="32">
        <v>44999</v>
      </c>
      <c r="E189" s="33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3"/>
      <c r="R189" s="33"/>
      <c r="S189" s="33"/>
      <c r="T189" s="33"/>
      <c r="U189" s="35"/>
      <c r="V189" s="36"/>
      <c r="W189" s="37"/>
      <c r="X189" s="34"/>
      <c r="Y189" s="33"/>
      <c r="Z189" s="33"/>
      <c r="AA189" s="33"/>
      <c r="AB189" s="35"/>
      <c r="AC189" s="34"/>
      <c r="AD189" s="34"/>
      <c r="AE189" s="34"/>
      <c r="AF189" s="34"/>
      <c r="AG189" s="34"/>
      <c r="AH189" s="33"/>
      <c r="AI189" s="33"/>
      <c r="AJ189" s="34"/>
      <c r="AK189" s="33"/>
      <c r="AL189" s="33"/>
      <c r="AM189" s="33"/>
      <c r="AN189" s="34"/>
      <c r="AO189" s="34"/>
      <c r="AP189" s="33" t="s">
        <v>227</v>
      </c>
      <c r="AQ189" s="34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4" t="s">
        <v>207</v>
      </c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5"/>
      <c r="CC189" s="33"/>
      <c r="CD189" s="33"/>
      <c r="CE189" s="33"/>
      <c r="CF189" s="34" t="s">
        <v>227</v>
      </c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4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4"/>
      <c r="DN189" s="34"/>
      <c r="DO189" s="33">
        <v>200</v>
      </c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8"/>
    </row>
    <row r="190" spans="2:137" ht="13.2">
      <c r="B190" s="30" t="str">
        <f t="shared" si="6"/>
        <v>2023/3</v>
      </c>
      <c r="C190" s="31">
        <f t="shared" si="7"/>
        <v>1320</v>
      </c>
      <c r="D190" s="32">
        <v>45000</v>
      </c>
      <c r="E190" s="33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3"/>
      <c r="R190" s="33"/>
      <c r="S190" s="33"/>
      <c r="T190" s="33"/>
      <c r="U190" s="35"/>
      <c r="V190" s="36"/>
      <c r="W190" s="37"/>
      <c r="X190" s="34"/>
      <c r="Y190" s="33"/>
      <c r="Z190" s="33"/>
      <c r="AA190" s="33"/>
      <c r="AB190" s="35"/>
      <c r="AC190" s="34"/>
      <c r="AD190" s="34"/>
      <c r="AE190" s="34"/>
      <c r="AF190" s="34"/>
      <c r="AG190" s="34"/>
      <c r="AH190" s="33"/>
      <c r="AI190" s="33"/>
      <c r="AJ190" s="34"/>
      <c r="AK190" s="33"/>
      <c r="AL190" s="33"/>
      <c r="AM190" s="33"/>
      <c r="AN190" s="34"/>
      <c r="AO190" s="34">
        <v>235</v>
      </c>
      <c r="AP190" s="33"/>
      <c r="AQ190" s="34">
        <v>150</v>
      </c>
      <c r="AR190" s="33">
        <v>235</v>
      </c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4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5"/>
      <c r="CC190" s="33"/>
      <c r="CD190" s="33"/>
      <c r="CE190" s="33"/>
      <c r="CF190" s="34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4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4"/>
      <c r="DN190" s="34">
        <v>700</v>
      </c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8"/>
    </row>
    <row r="191" spans="2:137" ht="13.2">
      <c r="B191" s="30" t="str">
        <f t="shared" si="6"/>
        <v>2023/3</v>
      </c>
      <c r="C191" s="31">
        <f t="shared" si="7"/>
        <v>500</v>
      </c>
      <c r="D191" s="32">
        <v>45001</v>
      </c>
      <c r="E191" s="33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3"/>
      <c r="R191" s="33"/>
      <c r="S191" s="33"/>
      <c r="T191" s="33"/>
      <c r="U191" s="35"/>
      <c r="V191" s="36"/>
      <c r="W191" s="37"/>
      <c r="X191" s="34"/>
      <c r="Y191" s="33"/>
      <c r="Z191" s="33"/>
      <c r="AA191" s="33"/>
      <c r="AB191" s="35"/>
      <c r="AC191" s="34"/>
      <c r="AD191" s="34"/>
      <c r="AE191" s="34"/>
      <c r="AF191" s="34"/>
      <c r="AG191" s="34"/>
      <c r="AH191" s="33"/>
      <c r="AI191" s="33"/>
      <c r="AJ191" s="34">
        <v>300</v>
      </c>
      <c r="AK191" s="33"/>
      <c r="AL191" s="33"/>
      <c r="AM191" s="33"/>
      <c r="AN191" s="34"/>
      <c r="AO191" s="34"/>
      <c r="AP191" s="33"/>
      <c r="AQ191" s="34"/>
      <c r="AR191" s="33"/>
      <c r="AS191" s="33"/>
      <c r="AT191" s="33"/>
      <c r="AU191" s="39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4"/>
      <c r="BM191" s="33"/>
      <c r="BN191" s="33"/>
      <c r="BO191" s="33"/>
      <c r="BP191" s="33">
        <v>200</v>
      </c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5"/>
      <c r="CC191" s="33"/>
      <c r="CD191" s="33"/>
      <c r="CE191" s="33"/>
      <c r="CF191" s="34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4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4"/>
      <c r="DN191" s="34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8"/>
    </row>
    <row r="192" spans="2:137" ht="13.2">
      <c r="B192" s="30" t="str">
        <f t="shared" si="6"/>
        <v>2023/3</v>
      </c>
      <c r="C192" s="31">
        <f t="shared" si="7"/>
        <v>200</v>
      </c>
      <c r="D192" s="32">
        <v>45002</v>
      </c>
      <c r="E192" s="33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3"/>
      <c r="R192" s="33"/>
      <c r="S192" s="33"/>
      <c r="T192" s="33"/>
      <c r="U192" s="35"/>
      <c r="V192" s="36"/>
      <c r="W192" s="37"/>
      <c r="X192" s="34"/>
      <c r="Y192" s="33"/>
      <c r="Z192" s="33"/>
      <c r="AA192" s="33"/>
      <c r="AB192" s="35"/>
      <c r="AC192" s="34"/>
      <c r="AD192" s="34"/>
      <c r="AE192" s="34"/>
      <c r="AF192" s="34"/>
      <c r="AG192" s="34"/>
      <c r="AH192" s="33"/>
      <c r="AI192" s="33"/>
      <c r="AJ192" s="34"/>
      <c r="AK192" s="33"/>
      <c r="AL192" s="33"/>
      <c r="AM192" s="33"/>
      <c r="AN192" s="34"/>
      <c r="AO192" s="34"/>
      <c r="AP192" s="33"/>
      <c r="AQ192" s="34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4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5"/>
      <c r="CC192" s="33"/>
      <c r="CD192" s="33"/>
      <c r="CE192" s="33"/>
      <c r="CF192" s="34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4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4">
        <v>200</v>
      </c>
      <c r="DN192" s="34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8"/>
    </row>
    <row r="193" spans="2:137" ht="13.2">
      <c r="B193" s="30" t="str">
        <f t="shared" si="6"/>
        <v>2023/3</v>
      </c>
      <c r="C193" s="31">
        <f t="shared" si="7"/>
        <v>1000</v>
      </c>
      <c r="D193" s="32">
        <v>45006</v>
      </c>
      <c r="E193" s="33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3"/>
      <c r="R193" s="33"/>
      <c r="S193" s="33"/>
      <c r="T193" s="33"/>
      <c r="U193" s="35"/>
      <c r="V193" s="36"/>
      <c r="W193" s="37"/>
      <c r="X193" s="34"/>
      <c r="Y193" s="33"/>
      <c r="Z193" s="33"/>
      <c r="AA193" s="33"/>
      <c r="AB193" s="35"/>
      <c r="AC193" s="34"/>
      <c r="AD193" s="34"/>
      <c r="AE193" s="34"/>
      <c r="AF193" s="34"/>
      <c r="AG193" s="34"/>
      <c r="AH193" s="33"/>
      <c r="AI193" s="33"/>
      <c r="AJ193" s="34"/>
      <c r="AK193" s="33"/>
      <c r="AL193" s="33"/>
      <c r="AM193" s="33"/>
      <c r="AN193" s="34"/>
      <c r="AO193" s="34"/>
      <c r="AP193" s="33">
        <v>1000</v>
      </c>
      <c r="AQ193" s="34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4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5"/>
      <c r="CC193" s="33"/>
      <c r="CD193" s="33"/>
      <c r="CE193" s="33"/>
      <c r="CF193" s="34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4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4"/>
      <c r="DN193" s="34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8"/>
    </row>
    <row r="194" spans="2:137" ht="13.2">
      <c r="B194" s="30" t="str">
        <f t="shared" si="6"/>
        <v>2023/3</v>
      </c>
      <c r="C194" s="31">
        <f t="shared" si="7"/>
        <v>4070</v>
      </c>
      <c r="D194" s="32">
        <v>45007</v>
      </c>
      <c r="E194" s="33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3"/>
      <c r="R194" s="33"/>
      <c r="S194" s="33"/>
      <c r="T194" s="33"/>
      <c r="U194" s="35"/>
      <c r="V194" s="36"/>
      <c r="W194" s="37"/>
      <c r="X194" s="34"/>
      <c r="Y194" s="33"/>
      <c r="Z194" s="33"/>
      <c r="AA194" s="33"/>
      <c r="AB194" s="35"/>
      <c r="AC194" s="34"/>
      <c r="AD194" s="34"/>
      <c r="AE194" s="34"/>
      <c r="AF194" s="34"/>
      <c r="AG194" s="34"/>
      <c r="AH194" s="33"/>
      <c r="AI194" s="33"/>
      <c r="AJ194" s="34"/>
      <c r="AK194" s="33"/>
      <c r="AL194" s="33"/>
      <c r="AM194" s="33"/>
      <c r="AN194" s="34">
        <v>150</v>
      </c>
      <c r="AO194" s="34">
        <v>235</v>
      </c>
      <c r="AP194" s="33"/>
      <c r="AQ194" s="34"/>
      <c r="AR194" s="33">
        <v>235</v>
      </c>
      <c r="AS194" s="33"/>
      <c r="AT194" s="33"/>
      <c r="AU194" s="33"/>
      <c r="AV194" s="33">
        <v>2900</v>
      </c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4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5"/>
      <c r="CC194" s="33"/>
      <c r="CD194" s="33"/>
      <c r="CE194" s="33"/>
      <c r="CF194" s="34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>
        <v>400</v>
      </c>
      <c r="CS194" s="33"/>
      <c r="CT194" s="33"/>
      <c r="CU194" s="33"/>
      <c r="CV194" s="33"/>
      <c r="CW194" s="33"/>
      <c r="CX194" s="33"/>
      <c r="CY194" s="33"/>
      <c r="CZ194" s="34">
        <v>150</v>
      </c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4"/>
      <c r="DN194" s="34" t="s">
        <v>206</v>
      </c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8"/>
    </row>
    <row r="195" spans="2:137" ht="13.2">
      <c r="B195" s="30" t="str">
        <f t="shared" si="6"/>
        <v>2023/3</v>
      </c>
      <c r="C195" s="31" t="str">
        <f t="shared" si="7"/>
        <v/>
      </c>
      <c r="D195" s="32">
        <v>45008</v>
      </c>
      <c r="E195" s="33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3"/>
      <c r="R195" s="33"/>
      <c r="S195" s="33"/>
      <c r="T195" s="33"/>
      <c r="U195" s="35"/>
      <c r="V195" s="36"/>
      <c r="W195" s="37"/>
      <c r="X195" s="34"/>
      <c r="Y195" s="33"/>
      <c r="Z195" s="33"/>
      <c r="AA195" s="33"/>
      <c r="AB195" s="35"/>
      <c r="AC195" s="34"/>
      <c r="AD195" s="34"/>
      <c r="AE195" s="34"/>
      <c r="AF195" s="34"/>
      <c r="AG195" s="34"/>
      <c r="AH195" s="33"/>
      <c r="AI195" s="33"/>
      <c r="AJ195" s="34"/>
      <c r="AK195" s="33"/>
      <c r="AL195" s="33"/>
      <c r="AM195" s="33"/>
      <c r="AN195" s="34"/>
      <c r="AO195" s="34"/>
      <c r="AP195" s="33"/>
      <c r="AQ195" s="34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4" t="s">
        <v>208</v>
      </c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5"/>
      <c r="CC195" s="33"/>
      <c r="CD195" s="33"/>
      <c r="CE195" s="33"/>
      <c r="CF195" s="34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4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4"/>
      <c r="DN195" s="34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8"/>
    </row>
    <row r="196" spans="2:137" ht="13.2">
      <c r="B196" s="30" t="str">
        <f t="shared" ref="B196:B259" si="8">IF(D196&gt;0, CONCATENATE(YEAR(D196),"/",MONTH(D196)),"")</f>
        <v>2023/3</v>
      </c>
      <c r="C196" s="31">
        <f t="shared" ref="C196:C259" si="9">IF(SUM(E196:EG196)=0,"",SUM(E196:EG196))</f>
        <v>200</v>
      </c>
      <c r="D196" s="32">
        <v>45009</v>
      </c>
      <c r="E196" s="33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3"/>
      <c r="R196" s="33"/>
      <c r="S196" s="33"/>
      <c r="T196" s="33"/>
      <c r="U196" s="35"/>
      <c r="V196" s="36"/>
      <c r="W196" s="37"/>
      <c r="X196" s="34"/>
      <c r="Y196" s="33"/>
      <c r="Z196" s="33"/>
      <c r="AA196" s="33"/>
      <c r="AB196" s="35"/>
      <c r="AC196" s="34"/>
      <c r="AD196" s="34"/>
      <c r="AE196" s="34"/>
      <c r="AF196" s="34"/>
      <c r="AG196" s="34"/>
      <c r="AH196" s="33"/>
      <c r="AI196" s="33"/>
      <c r="AJ196" s="34"/>
      <c r="AK196" s="33"/>
      <c r="AL196" s="33"/>
      <c r="AM196" s="33"/>
      <c r="AN196" s="34"/>
      <c r="AO196" s="34"/>
      <c r="AP196" s="33"/>
      <c r="AQ196" s="34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4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5">
        <v>200</v>
      </c>
      <c r="CC196" s="33"/>
      <c r="CD196" s="33"/>
      <c r="CE196" s="33"/>
      <c r="CF196" s="34" t="s">
        <v>227</v>
      </c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4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4"/>
      <c r="DN196" s="34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8"/>
    </row>
    <row r="197" spans="2:137" ht="13.2">
      <c r="B197" s="30" t="str">
        <f t="shared" si="8"/>
        <v>2023/3</v>
      </c>
      <c r="C197" s="31">
        <f t="shared" si="9"/>
        <v>500</v>
      </c>
      <c r="D197" s="32">
        <v>45013</v>
      </c>
      <c r="E197" s="33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3"/>
      <c r="R197" s="33"/>
      <c r="S197" s="33"/>
      <c r="T197" s="33"/>
      <c r="U197" s="35"/>
      <c r="V197" s="36"/>
      <c r="W197" s="37"/>
      <c r="X197" s="34"/>
      <c r="Y197" s="33"/>
      <c r="Z197" s="33"/>
      <c r="AA197" s="33"/>
      <c r="AB197" s="35"/>
      <c r="AC197" s="34"/>
      <c r="AD197" s="34"/>
      <c r="AE197" s="34"/>
      <c r="AF197" s="34"/>
      <c r="AG197" s="34"/>
      <c r="AH197" s="33"/>
      <c r="AI197" s="33"/>
      <c r="AJ197" s="34"/>
      <c r="AK197" s="33"/>
      <c r="AL197" s="33"/>
      <c r="AM197" s="33"/>
      <c r="AN197" s="34"/>
      <c r="AO197" s="34"/>
      <c r="AP197" s="33" t="s">
        <v>227</v>
      </c>
      <c r="AQ197" s="34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4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5"/>
      <c r="CC197" s="33"/>
      <c r="CD197" s="33"/>
      <c r="CE197" s="33"/>
      <c r="CF197" s="34">
        <v>300</v>
      </c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4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4"/>
      <c r="DN197" s="34"/>
      <c r="DO197" s="33">
        <v>200</v>
      </c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8"/>
    </row>
    <row r="198" spans="2:137" ht="13.2">
      <c r="B198" s="30" t="str">
        <f t="shared" si="8"/>
        <v>2023/3</v>
      </c>
      <c r="C198" s="31">
        <f t="shared" si="9"/>
        <v>470</v>
      </c>
      <c r="D198" s="32">
        <v>45014</v>
      </c>
      <c r="E198" s="33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3"/>
      <c r="R198" s="33"/>
      <c r="S198" s="33"/>
      <c r="T198" s="33"/>
      <c r="U198" s="35"/>
      <c r="V198" s="36"/>
      <c r="W198" s="37"/>
      <c r="X198" s="34"/>
      <c r="Y198" s="33"/>
      <c r="Z198" s="33"/>
      <c r="AA198" s="33"/>
      <c r="AB198" s="35"/>
      <c r="AC198" s="34"/>
      <c r="AD198" s="34"/>
      <c r="AE198" s="34"/>
      <c r="AF198" s="34"/>
      <c r="AG198" s="34"/>
      <c r="AH198" s="33"/>
      <c r="AI198" s="33"/>
      <c r="AJ198" s="34"/>
      <c r="AK198" s="33"/>
      <c r="AL198" s="33"/>
      <c r="AM198" s="33"/>
      <c r="AN198" s="34"/>
      <c r="AO198" s="34">
        <v>235</v>
      </c>
      <c r="AP198" s="33"/>
      <c r="AQ198" s="34"/>
      <c r="AR198" s="33">
        <v>235</v>
      </c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4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5"/>
      <c r="CC198" s="33"/>
      <c r="CD198" s="33"/>
      <c r="CE198" s="33"/>
      <c r="CF198" s="34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4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4"/>
      <c r="DN198" s="34" t="s">
        <v>207</v>
      </c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8"/>
    </row>
    <row r="199" spans="2:137" ht="13.2">
      <c r="B199" s="30" t="str">
        <f t="shared" si="8"/>
        <v>2023/3</v>
      </c>
      <c r="C199" s="31" t="str">
        <f t="shared" si="9"/>
        <v/>
      </c>
      <c r="D199" s="32">
        <v>45015</v>
      </c>
      <c r="E199" s="33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3"/>
      <c r="R199" s="33"/>
      <c r="S199" s="33"/>
      <c r="T199" s="33"/>
      <c r="U199" s="35"/>
      <c r="V199" s="36"/>
      <c r="W199" s="37"/>
      <c r="X199" s="34"/>
      <c r="Y199" s="33"/>
      <c r="Z199" s="33"/>
      <c r="AA199" s="33"/>
      <c r="AB199" s="35"/>
      <c r="AC199" s="34"/>
      <c r="AD199" s="34"/>
      <c r="AE199" s="34"/>
      <c r="AF199" s="34"/>
      <c r="AG199" s="34"/>
      <c r="AH199" s="33"/>
      <c r="AI199" s="33"/>
      <c r="AJ199" s="34"/>
      <c r="AK199" s="33"/>
      <c r="AL199" s="33"/>
      <c r="AM199" s="33"/>
      <c r="AN199" s="34"/>
      <c r="AO199" s="34"/>
      <c r="AP199" s="33"/>
      <c r="AQ199" s="34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4" t="s">
        <v>209</v>
      </c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5"/>
      <c r="CC199" s="33"/>
      <c r="CD199" s="33"/>
      <c r="CE199" s="33"/>
      <c r="CF199" s="34" t="s">
        <v>227</v>
      </c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4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4"/>
      <c r="DN199" s="34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8"/>
    </row>
    <row r="200" spans="2:137" ht="13.2">
      <c r="B200" s="30" t="str">
        <f t="shared" si="8"/>
        <v>2023/3</v>
      </c>
      <c r="C200" s="31">
        <f t="shared" si="9"/>
        <v>200</v>
      </c>
      <c r="D200" s="32">
        <v>45016</v>
      </c>
      <c r="E200" s="33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3"/>
      <c r="R200" s="33"/>
      <c r="S200" s="33"/>
      <c r="T200" s="33"/>
      <c r="U200" s="35"/>
      <c r="V200" s="36"/>
      <c r="W200" s="37"/>
      <c r="X200" s="34"/>
      <c r="Y200" s="33"/>
      <c r="Z200" s="33"/>
      <c r="AA200" s="33"/>
      <c r="AB200" s="35"/>
      <c r="AC200" s="34"/>
      <c r="AD200" s="34"/>
      <c r="AE200" s="34"/>
      <c r="AF200" s="34"/>
      <c r="AG200" s="34"/>
      <c r="AH200" s="33"/>
      <c r="AI200" s="33"/>
      <c r="AJ200" s="34"/>
      <c r="AK200" s="33"/>
      <c r="AL200" s="33"/>
      <c r="AM200" s="33"/>
      <c r="AN200" s="34"/>
      <c r="AO200" s="34"/>
      <c r="AP200" s="33" t="s">
        <v>227</v>
      </c>
      <c r="AQ200" s="34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4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5"/>
      <c r="CC200" s="33"/>
      <c r="CD200" s="33"/>
      <c r="CE200" s="33"/>
      <c r="CF200" s="34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4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4">
        <v>200</v>
      </c>
      <c r="DN200" s="34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8"/>
    </row>
    <row r="201" spans="2:137" ht="13.2">
      <c r="B201" s="30" t="str">
        <f t="shared" si="8"/>
        <v>2023/4</v>
      </c>
      <c r="C201" s="31">
        <f t="shared" si="9"/>
        <v>2620</v>
      </c>
      <c r="D201" s="32">
        <v>45020</v>
      </c>
      <c r="E201" s="33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3"/>
      <c r="R201" s="33"/>
      <c r="S201" s="33"/>
      <c r="T201" s="33"/>
      <c r="U201" s="35"/>
      <c r="V201" s="36"/>
      <c r="W201" s="37"/>
      <c r="X201" s="34"/>
      <c r="Y201" s="33"/>
      <c r="Z201" s="33"/>
      <c r="AA201" s="33"/>
      <c r="AB201" s="35"/>
      <c r="AC201" s="34"/>
      <c r="AD201" s="34"/>
      <c r="AE201" s="34"/>
      <c r="AF201" s="34"/>
      <c r="AG201" s="34"/>
      <c r="AH201" s="33"/>
      <c r="AI201" s="33"/>
      <c r="AJ201" s="34"/>
      <c r="AK201" s="33"/>
      <c r="AL201" s="33"/>
      <c r="AM201" s="33"/>
      <c r="AN201" s="34"/>
      <c r="AO201" s="34">
        <v>235</v>
      </c>
      <c r="AP201" s="33">
        <v>750</v>
      </c>
      <c r="AQ201" s="34"/>
      <c r="AR201" s="33">
        <v>235</v>
      </c>
      <c r="AS201" s="33" t="s">
        <v>209</v>
      </c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4">
        <v>800</v>
      </c>
      <c r="BM201" s="33"/>
      <c r="BN201" s="33"/>
      <c r="BO201" s="33"/>
      <c r="BP201" s="33">
        <v>200</v>
      </c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5"/>
      <c r="CC201" s="33"/>
      <c r="CD201" s="33"/>
      <c r="CE201" s="33"/>
      <c r="CF201" s="34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>
        <v>400</v>
      </c>
      <c r="CS201" s="33"/>
      <c r="CT201" s="33"/>
      <c r="CU201" s="33"/>
      <c r="CV201" s="33"/>
      <c r="CW201" s="33"/>
      <c r="CX201" s="33"/>
      <c r="CY201" s="33"/>
      <c r="CZ201" s="34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4"/>
      <c r="DN201" s="34" t="s">
        <v>208</v>
      </c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8"/>
    </row>
    <row r="202" spans="2:137" ht="13.2">
      <c r="B202" s="30" t="str">
        <f t="shared" si="8"/>
        <v>2023/4</v>
      </c>
      <c r="C202" s="31">
        <f t="shared" si="9"/>
        <v>200</v>
      </c>
      <c r="D202" s="32">
        <v>45021</v>
      </c>
      <c r="E202" s="33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3"/>
      <c r="R202" s="33"/>
      <c r="S202" s="33"/>
      <c r="T202" s="33"/>
      <c r="U202" s="35"/>
      <c r="V202" s="36"/>
      <c r="W202" s="37"/>
      <c r="X202" s="34"/>
      <c r="Y202" s="33"/>
      <c r="Z202" s="33"/>
      <c r="AA202" s="33"/>
      <c r="AB202" s="35"/>
      <c r="AC202" s="34"/>
      <c r="AD202" s="34"/>
      <c r="AE202" s="34"/>
      <c r="AF202" s="34"/>
      <c r="AG202" s="34"/>
      <c r="AH202" s="33"/>
      <c r="AI202" s="33"/>
      <c r="AJ202" s="34"/>
      <c r="AK202" s="33"/>
      <c r="AL202" s="33"/>
      <c r="AM202" s="33"/>
      <c r="AN202" s="34"/>
      <c r="AO202" s="34"/>
      <c r="AP202" s="33"/>
      <c r="AQ202" s="34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4"/>
      <c r="BM202" s="33"/>
      <c r="BN202" s="33"/>
      <c r="BO202" s="33"/>
      <c r="BP202" s="33">
        <v>200</v>
      </c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5"/>
      <c r="CC202" s="33"/>
      <c r="CD202" s="33"/>
      <c r="CE202" s="33"/>
      <c r="CF202" s="34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4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4"/>
      <c r="DN202" s="34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8"/>
    </row>
    <row r="203" spans="2:137" ht="13.2">
      <c r="B203" s="30" t="str">
        <f t="shared" si="8"/>
        <v>2023/4</v>
      </c>
      <c r="C203" s="31">
        <f t="shared" si="9"/>
        <v>971.25</v>
      </c>
      <c r="D203" s="32">
        <v>45022</v>
      </c>
      <c r="E203" s="33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3"/>
      <c r="R203" s="33"/>
      <c r="S203" s="33"/>
      <c r="T203" s="33"/>
      <c r="U203" s="35"/>
      <c r="V203" s="36"/>
      <c r="W203" s="37"/>
      <c r="X203" s="34"/>
      <c r="Y203" s="33"/>
      <c r="Z203" s="33"/>
      <c r="AA203" s="33"/>
      <c r="AB203" s="35"/>
      <c r="AC203" s="34"/>
      <c r="AD203" s="34"/>
      <c r="AE203" s="34"/>
      <c r="AF203" s="34"/>
      <c r="AG203" s="34"/>
      <c r="AH203" s="33"/>
      <c r="AI203" s="33"/>
      <c r="AJ203" s="34"/>
      <c r="AK203" s="33"/>
      <c r="AL203" s="33"/>
      <c r="AM203" s="33"/>
      <c r="AN203" s="34"/>
      <c r="AO203" s="34"/>
      <c r="AP203" s="33"/>
      <c r="AQ203" s="34"/>
      <c r="AR203" s="33"/>
      <c r="AS203" s="33"/>
      <c r="AT203" s="33"/>
      <c r="AU203" s="33"/>
      <c r="AV203" s="33"/>
      <c r="AW203" s="33"/>
      <c r="AX203" s="33"/>
      <c r="AY203" s="33"/>
      <c r="AZ203" s="33">
        <v>971.25</v>
      </c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4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5"/>
      <c r="CC203" s="33"/>
      <c r="CD203" s="33"/>
      <c r="CE203" s="33"/>
      <c r="CF203" s="34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4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4"/>
      <c r="DN203" s="34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8"/>
    </row>
    <row r="204" spans="2:137" ht="13.2">
      <c r="B204" s="30" t="str">
        <f t="shared" si="8"/>
        <v>2023/4</v>
      </c>
      <c r="C204" s="31">
        <f t="shared" si="9"/>
        <v>250</v>
      </c>
      <c r="D204" s="32">
        <v>45023</v>
      </c>
      <c r="E204" s="33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3"/>
      <c r="R204" s="33"/>
      <c r="S204" s="33"/>
      <c r="T204" s="33"/>
      <c r="U204" s="35"/>
      <c r="V204" s="36"/>
      <c r="W204" s="37"/>
      <c r="X204" s="34"/>
      <c r="Y204" s="33"/>
      <c r="Z204" s="33"/>
      <c r="AA204" s="33"/>
      <c r="AB204" s="35"/>
      <c r="AC204" s="34"/>
      <c r="AD204" s="34"/>
      <c r="AE204" s="34"/>
      <c r="AF204" s="34"/>
      <c r="AG204" s="34"/>
      <c r="AH204" s="33"/>
      <c r="AI204" s="33"/>
      <c r="AJ204" s="34"/>
      <c r="AK204" s="33"/>
      <c r="AL204" s="33"/>
      <c r="AM204" s="33"/>
      <c r="AN204" s="34"/>
      <c r="AO204" s="34"/>
      <c r="AP204" s="33"/>
      <c r="AQ204" s="34"/>
      <c r="AR204" s="33"/>
      <c r="AS204" s="33">
        <v>250</v>
      </c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4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5"/>
      <c r="CC204" s="33"/>
      <c r="CD204" s="33"/>
      <c r="CE204" s="33"/>
      <c r="CF204" s="34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4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4"/>
      <c r="DN204" s="34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8"/>
    </row>
    <row r="205" spans="2:137" ht="13.2">
      <c r="B205" s="30" t="str">
        <f t="shared" si="8"/>
        <v>2023/4</v>
      </c>
      <c r="C205" s="31">
        <f t="shared" si="9"/>
        <v>500</v>
      </c>
      <c r="D205" s="32">
        <v>45027</v>
      </c>
      <c r="E205" s="33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3"/>
      <c r="R205" s="33"/>
      <c r="S205" s="33"/>
      <c r="T205" s="33"/>
      <c r="U205" s="35"/>
      <c r="V205" s="36"/>
      <c r="W205" s="37"/>
      <c r="X205" s="34"/>
      <c r="Y205" s="33"/>
      <c r="Z205" s="33"/>
      <c r="AA205" s="33"/>
      <c r="AB205" s="35"/>
      <c r="AC205" s="34"/>
      <c r="AD205" s="34"/>
      <c r="AE205" s="34"/>
      <c r="AF205" s="34"/>
      <c r="AG205" s="34"/>
      <c r="AH205" s="33"/>
      <c r="AI205" s="33"/>
      <c r="AJ205" s="34"/>
      <c r="AK205" s="33"/>
      <c r="AL205" s="33"/>
      <c r="AM205" s="33"/>
      <c r="AN205" s="34"/>
      <c r="AO205" s="34"/>
      <c r="AP205" s="33" t="s">
        <v>227</v>
      </c>
      <c r="AQ205" s="34"/>
      <c r="AR205" s="33"/>
      <c r="AS205" s="33" t="s">
        <v>206</v>
      </c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4" t="s">
        <v>206</v>
      </c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5"/>
      <c r="CC205" s="33"/>
      <c r="CD205" s="33"/>
      <c r="CE205" s="33"/>
      <c r="CF205" s="34">
        <v>300</v>
      </c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4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4"/>
      <c r="DN205" s="34" t="s">
        <v>209</v>
      </c>
      <c r="DO205" s="33">
        <v>200</v>
      </c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8"/>
    </row>
    <row r="206" spans="2:137" ht="13.2">
      <c r="B206" s="30" t="str">
        <f t="shared" si="8"/>
        <v>2023/4</v>
      </c>
      <c r="C206" s="31">
        <f t="shared" si="9"/>
        <v>150</v>
      </c>
      <c r="D206" s="32">
        <v>45028</v>
      </c>
      <c r="E206" s="33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3"/>
      <c r="R206" s="33"/>
      <c r="S206" s="33"/>
      <c r="T206" s="33"/>
      <c r="U206" s="35"/>
      <c r="V206" s="36"/>
      <c r="W206" s="37"/>
      <c r="X206" s="34"/>
      <c r="Y206" s="33"/>
      <c r="Z206" s="33"/>
      <c r="AA206" s="33"/>
      <c r="AB206" s="35"/>
      <c r="AC206" s="34"/>
      <c r="AD206" s="34"/>
      <c r="AE206" s="34"/>
      <c r="AF206" s="34"/>
      <c r="AG206" s="34"/>
      <c r="AH206" s="33"/>
      <c r="AI206" s="33"/>
      <c r="AJ206" s="34">
        <v>150</v>
      </c>
      <c r="AK206" s="33"/>
      <c r="AL206" s="33"/>
      <c r="AM206" s="33"/>
      <c r="AN206" s="34"/>
      <c r="AO206" s="34"/>
      <c r="AP206" s="33"/>
      <c r="AQ206" s="34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4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5"/>
      <c r="CC206" s="33"/>
      <c r="CD206" s="33"/>
      <c r="CE206" s="33"/>
      <c r="CF206" s="34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4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4"/>
      <c r="DN206" s="34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8"/>
    </row>
    <row r="207" spans="2:137" ht="13.2">
      <c r="B207" s="30" t="str">
        <f t="shared" si="8"/>
        <v>2023/4</v>
      </c>
      <c r="C207" s="31">
        <f t="shared" si="9"/>
        <v>435</v>
      </c>
      <c r="D207" s="32">
        <v>45029</v>
      </c>
      <c r="E207" s="33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3"/>
      <c r="R207" s="33"/>
      <c r="S207" s="33"/>
      <c r="T207" s="33"/>
      <c r="U207" s="35"/>
      <c r="V207" s="36"/>
      <c r="W207" s="37"/>
      <c r="X207" s="34"/>
      <c r="Y207" s="33"/>
      <c r="Z207" s="33"/>
      <c r="AA207" s="33"/>
      <c r="AB207" s="35"/>
      <c r="AC207" s="34"/>
      <c r="AD207" s="34"/>
      <c r="AE207" s="34"/>
      <c r="AF207" s="34"/>
      <c r="AG207" s="34"/>
      <c r="AH207" s="33"/>
      <c r="AI207" s="33"/>
      <c r="AJ207" s="34"/>
      <c r="AK207" s="33"/>
      <c r="AL207" s="33"/>
      <c r="AM207" s="33"/>
      <c r="AN207" s="34">
        <v>200</v>
      </c>
      <c r="AO207" s="34"/>
      <c r="AP207" s="33"/>
      <c r="AQ207" s="34"/>
      <c r="AR207" s="33">
        <v>235</v>
      </c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4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5"/>
      <c r="CC207" s="33"/>
      <c r="CD207" s="33"/>
      <c r="CE207" s="33"/>
      <c r="CF207" s="34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4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4"/>
      <c r="DN207" s="34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8"/>
    </row>
    <row r="208" spans="2:137" ht="13.2">
      <c r="B208" s="30" t="str">
        <f t="shared" si="8"/>
        <v>2023/4</v>
      </c>
      <c r="C208" s="31">
        <f t="shared" si="9"/>
        <v>400</v>
      </c>
      <c r="D208" s="32">
        <v>45030</v>
      </c>
      <c r="E208" s="33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3"/>
      <c r="R208" s="33"/>
      <c r="S208" s="33"/>
      <c r="T208" s="33"/>
      <c r="U208" s="35"/>
      <c r="V208" s="36"/>
      <c r="W208" s="37"/>
      <c r="X208" s="34"/>
      <c r="Y208" s="33"/>
      <c r="Z208" s="33"/>
      <c r="AA208" s="33"/>
      <c r="AB208" s="35"/>
      <c r="AC208" s="34"/>
      <c r="AD208" s="34"/>
      <c r="AE208" s="34"/>
      <c r="AF208" s="34"/>
      <c r="AG208" s="34"/>
      <c r="AH208" s="33"/>
      <c r="AI208" s="33"/>
      <c r="AJ208" s="34"/>
      <c r="AK208" s="33"/>
      <c r="AL208" s="33"/>
      <c r="AM208" s="33"/>
      <c r="AN208" s="34"/>
      <c r="AO208" s="34"/>
      <c r="AP208" s="33" t="s">
        <v>227</v>
      </c>
      <c r="AQ208" s="34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4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5"/>
      <c r="CC208" s="33"/>
      <c r="CD208" s="33"/>
      <c r="CE208" s="33"/>
      <c r="CF208" s="34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>
        <v>200</v>
      </c>
      <c r="CS208" s="33"/>
      <c r="CT208" s="33"/>
      <c r="CU208" s="33"/>
      <c r="CV208" s="33"/>
      <c r="CW208" s="33"/>
      <c r="CX208" s="33"/>
      <c r="CY208" s="33"/>
      <c r="CZ208" s="34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4">
        <v>200</v>
      </c>
      <c r="DN208" s="34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8"/>
    </row>
    <row r="209" spans="2:137" ht="13.2">
      <c r="B209" s="30" t="str">
        <f t="shared" si="8"/>
        <v>2023/4</v>
      </c>
      <c r="C209" s="31">
        <f t="shared" si="9"/>
        <v>200</v>
      </c>
      <c r="D209" s="32">
        <v>45034</v>
      </c>
      <c r="E209" s="33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3"/>
      <c r="R209" s="33"/>
      <c r="S209" s="33"/>
      <c r="T209" s="33"/>
      <c r="U209" s="35"/>
      <c r="V209" s="36"/>
      <c r="W209" s="37"/>
      <c r="X209" s="34"/>
      <c r="Y209" s="33"/>
      <c r="Z209" s="33"/>
      <c r="AA209" s="33"/>
      <c r="AB209" s="35"/>
      <c r="AC209" s="34"/>
      <c r="AD209" s="34"/>
      <c r="AE209" s="34"/>
      <c r="AF209" s="34"/>
      <c r="AG209" s="34"/>
      <c r="AH209" s="33"/>
      <c r="AI209" s="33"/>
      <c r="AJ209" s="34"/>
      <c r="AK209" s="33"/>
      <c r="AL209" s="33"/>
      <c r="AM209" s="33"/>
      <c r="AN209" s="34"/>
      <c r="AO209" s="34"/>
      <c r="AP209" s="33"/>
      <c r="AQ209" s="34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4" t="s">
        <v>207</v>
      </c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5">
        <v>200</v>
      </c>
      <c r="CC209" s="33"/>
      <c r="CD209" s="33"/>
      <c r="CE209" s="33"/>
      <c r="CF209" s="34" t="s">
        <v>227</v>
      </c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4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4"/>
      <c r="DN209" s="34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8"/>
    </row>
    <row r="210" spans="2:137" ht="13.2">
      <c r="B210" s="30" t="str">
        <f t="shared" si="8"/>
        <v>2023/4</v>
      </c>
      <c r="C210" s="31">
        <f t="shared" si="9"/>
        <v>150</v>
      </c>
      <c r="D210" s="32">
        <v>45035</v>
      </c>
      <c r="E210" s="33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3"/>
      <c r="R210" s="33"/>
      <c r="S210" s="33"/>
      <c r="T210" s="33"/>
      <c r="U210" s="35"/>
      <c r="V210" s="36"/>
      <c r="W210" s="37"/>
      <c r="X210" s="34"/>
      <c r="Y210" s="33"/>
      <c r="Z210" s="33"/>
      <c r="AA210" s="33"/>
      <c r="AB210" s="35"/>
      <c r="AC210" s="34"/>
      <c r="AD210" s="34"/>
      <c r="AE210" s="34"/>
      <c r="AF210" s="34"/>
      <c r="AG210" s="34"/>
      <c r="AH210" s="33"/>
      <c r="AI210" s="33"/>
      <c r="AJ210" s="34"/>
      <c r="AK210" s="33"/>
      <c r="AL210" s="33"/>
      <c r="AM210" s="33"/>
      <c r="AN210" s="34"/>
      <c r="AO210" s="34"/>
      <c r="AP210" s="33"/>
      <c r="AQ210" s="34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4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5"/>
      <c r="CC210" s="33"/>
      <c r="CD210" s="33"/>
      <c r="CE210" s="33"/>
      <c r="CF210" s="34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4">
        <v>150</v>
      </c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4"/>
      <c r="DN210" s="34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8"/>
    </row>
    <row r="211" spans="2:137" ht="13.2">
      <c r="B211" s="30" t="str">
        <f t="shared" si="8"/>
        <v>2023/4</v>
      </c>
      <c r="C211" s="31">
        <f t="shared" si="9"/>
        <v>1100</v>
      </c>
      <c r="D211" s="32">
        <v>45036</v>
      </c>
      <c r="E211" s="33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3"/>
      <c r="R211" s="33"/>
      <c r="S211" s="33"/>
      <c r="T211" s="33"/>
      <c r="U211" s="35"/>
      <c r="V211" s="36"/>
      <c r="W211" s="37"/>
      <c r="X211" s="34"/>
      <c r="Y211" s="33"/>
      <c r="Z211" s="33"/>
      <c r="AA211" s="33"/>
      <c r="AB211" s="35"/>
      <c r="AC211" s="34"/>
      <c r="AD211" s="34"/>
      <c r="AE211" s="34"/>
      <c r="AF211" s="34"/>
      <c r="AG211" s="34"/>
      <c r="AH211" s="33"/>
      <c r="AI211" s="33"/>
      <c r="AJ211" s="34"/>
      <c r="AK211" s="33"/>
      <c r="AL211" s="33"/>
      <c r="AM211" s="33"/>
      <c r="AN211" s="34"/>
      <c r="AO211" s="34"/>
      <c r="AP211" s="33"/>
      <c r="AQ211" s="34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4"/>
      <c r="BM211" s="33"/>
      <c r="BN211" s="33"/>
      <c r="BO211" s="33"/>
      <c r="BP211" s="33">
        <v>200</v>
      </c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5"/>
      <c r="CC211" s="33"/>
      <c r="CD211" s="33"/>
      <c r="CE211" s="33"/>
      <c r="CF211" s="34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 t="s">
        <v>227</v>
      </c>
      <c r="CS211" s="33"/>
      <c r="CT211" s="33"/>
      <c r="CU211" s="33"/>
      <c r="CV211" s="33"/>
      <c r="CW211" s="33"/>
      <c r="CX211" s="33"/>
      <c r="CY211" s="33"/>
      <c r="CZ211" s="34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4">
        <v>200</v>
      </c>
      <c r="DN211" s="34">
        <v>700</v>
      </c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8"/>
    </row>
    <row r="212" spans="2:137" ht="13.2">
      <c r="B212" s="30" t="str">
        <f t="shared" si="8"/>
        <v>2023/4</v>
      </c>
      <c r="C212" s="31" t="str">
        <f t="shared" si="9"/>
        <v/>
      </c>
      <c r="D212" s="32">
        <v>45037</v>
      </c>
      <c r="E212" s="33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3"/>
      <c r="R212" s="33"/>
      <c r="S212" s="33"/>
      <c r="T212" s="33"/>
      <c r="U212" s="35"/>
      <c r="V212" s="36"/>
      <c r="W212" s="37"/>
      <c r="X212" s="34"/>
      <c r="Y212" s="33"/>
      <c r="Z212" s="33"/>
      <c r="AA212" s="33"/>
      <c r="AB212" s="35"/>
      <c r="AC212" s="34"/>
      <c r="AD212" s="34"/>
      <c r="AE212" s="34"/>
      <c r="AF212" s="34"/>
      <c r="AG212" s="34"/>
      <c r="AH212" s="33"/>
      <c r="AI212" s="33"/>
      <c r="AJ212" s="34"/>
      <c r="AK212" s="33"/>
      <c r="AL212" s="33"/>
      <c r="AM212" s="33"/>
      <c r="AN212" s="34"/>
      <c r="AO212" s="34"/>
      <c r="AP212" s="33"/>
      <c r="AQ212" s="34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4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5"/>
      <c r="CC212" s="33"/>
      <c r="CD212" s="33"/>
      <c r="CE212" s="33"/>
      <c r="CF212" s="34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4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4"/>
      <c r="DN212" s="34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8"/>
    </row>
    <row r="213" spans="2:137" ht="13.2">
      <c r="B213" s="30" t="str">
        <f t="shared" si="8"/>
        <v>2023/4</v>
      </c>
      <c r="C213" s="31">
        <f t="shared" si="9"/>
        <v>500</v>
      </c>
      <c r="D213" s="32">
        <v>45041</v>
      </c>
      <c r="E213" s="33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3"/>
      <c r="R213" s="33"/>
      <c r="S213" s="33"/>
      <c r="T213" s="33"/>
      <c r="U213" s="35"/>
      <c r="V213" s="36"/>
      <c r="W213" s="37"/>
      <c r="X213" s="34"/>
      <c r="Y213" s="33"/>
      <c r="Z213" s="33"/>
      <c r="AA213" s="33"/>
      <c r="AB213" s="35"/>
      <c r="AC213" s="34"/>
      <c r="AD213" s="34"/>
      <c r="AE213" s="34"/>
      <c r="AF213" s="34"/>
      <c r="AG213" s="34"/>
      <c r="AH213" s="33"/>
      <c r="AI213" s="33"/>
      <c r="AJ213" s="34"/>
      <c r="AK213" s="33"/>
      <c r="AL213" s="33"/>
      <c r="AM213" s="33"/>
      <c r="AN213" s="34"/>
      <c r="AO213" s="34"/>
      <c r="AP213" s="33"/>
      <c r="AQ213" s="34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4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5"/>
      <c r="CC213" s="33"/>
      <c r="CD213" s="33"/>
      <c r="CE213" s="33"/>
      <c r="CF213" s="34">
        <v>300</v>
      </c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4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4"/>
      <c r="DN213" s="34"/>
      <c r="DO213" s="33">
        <v>200</v>
      </c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8"/>
    </row>
    <row r="214" spans="2:137" ht="13.2">
      <c r="B214" s="30" t="str">
        <f t="shared" si="8"/>
        <v>2023/4</v>
      </c>
      <c r="C214" s="31">
        <f t="shared" si="9"/>
        <v>3390</v>
      </c>
      <c r="D214" s="32">
        <v>45042</v>
      </c>
      <c r="E214" s="33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3"/>
      <c r="R214" s="33"/>
      <c r="S214" s="33"/>
      <c r="T214" s="33"/>
      <c r="U214" s="35"/>
      <c r="V214" s="36"/>
      <c r="W214" s="37"/>
      <c r="X214" s="34"/>
      <c r="Y214" s="33"/>
      <c r="Z214" s="33"/>
      <c r="AA214" s="33"/>
      <c r="AB214" s="35"/>
      <c r="AC214" s="34"/>
      <c r="AD214" s="34"/>
      <c r="AE214" s="34"/>
      <c r="AF214" s="34"/>
      <c r="AG214" s="34"/>
      <c r="AH214" s="33"/>
      <c r="AI214" s="33"/>
      <c r="AJ214" s="34"/>
      <c r="AK214" s="33"/>
      <c r="AL214" s="33"/>
      <c r="AM214" s="33"/>
      <c r="AN214" s="34"/>
      <c r="AO214" s="34"/>
      <c r="AP214" s="33"/>
      <c r="AQ214" s="34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>
        <v>2990</v>
      </c>
      <c r="BD214" s="33"/>
      <c r="BE214" s="33"/>
      <c r="BF214" s="33"/>
      <c r="BG214" s="33"/>
      <c r="BH214" s="33"/>
      <c r="BI214" s="33"/>
      <c r="BJ214" s="33"/>
      <c r="BK214" s="33"/>
      <c r="BL214" s="34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5"/>
      <c r="CC214" s="33"/>
      <c r="CD214" s="33"/>
      <c r="CE214" s="33"/>
      <c r="CF214" s="34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>
        <v>400</v>
      </c>
      <c r="CS214" s="33"/>
      <c r="CT214" s="33"/>
      <c r="CU214" s="33"/>
      <c r="CV214" s="33"/>
      <c r="CW214" s="33"/>
      <c r="CX214" s="33"/>
      <c r="CY214" s="33"/>
      <c r="CZ214" s="34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4"/>
      <c r="DN214" s="34" t="s">
        <v>207</v>
      </c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8"/>
    </row>
    <row r="215" spans="2:137" ht="13.2">
      <c r="B215" s="30" t="str">
        <f t="shared" si="8"/>
        <v>2023/4</v>
      </c>
      <c r="C215" s="31">
        <f t="shared" si="9"/>
        <v>235</v>
      </c>
      <c r="D215" s="32">
        <v>45043</v>
      </c>
      <c r="E215" s="33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3"/>
      <c r="R215" s="33"/>
      <c r="S215" s="33"/>
      <c r="T215" s="33"/>
      <c r="U215" s="35"/>
      <c r="V215" s="36"/>
      <c r="W215" s="37"/>
      <c r="X215" s="34"/>
      <c r="Y215" s="33"/>
      <c r="Z215" s="33"/>
      <c r="AA215" s="33"/>
      <c r="AB215" s="35"/>
      <c r="AC215" s="34"/>
      <c r="AD215" s="34"/>
      <c r="AE215" s="34"/>
      <c r="AF215" s="34"/>
      <c r="AG215" s="34"/>
      <c r="AH215" s="33"/>
      <c r="AI215" s="33"/>
      <c r="AJ215" s="34"/>
      <c r="AK215" s="33"/>
      <c r="AL215" s="33"/>
      <c r="AM215" s="33"/>
      <c r="AN215" s="34"/>
      <c r="AO215" s="34"/>
      <c r="AP215" s="33"/>
      <c r="AQ215" s="34"/>
      <c r="AR215" s="33">
        <v>235</v>
      </c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4" t="s">
        <v>208</v>
      </c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5"/>
      <c r="CC215" s="33"/>
      <c r="CD215" s="33"/>
      <c r="CE215" s="33"/>
      <c r="CF215" s="34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4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4"/>
      <c r="DN215" s="34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8"/>
    </row>
    <row r="216" spans="2:137" ht="13.2">
      <c r="B216" s="30" t="str">
        <f t="shared" si="8"/>
        <v>2023/4</v>
      </c>
      <c r="C216" s="31" t="str">
        <f t="shared" si="9"/>
        <v/>
      </c>
      <c r="D216" s="32">
        <v>45044</v>
      </c>
      <c r="E216" s="33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3"/>
      <c r="R216" s="33"/>
      <c r="S216" s="33"/>
      <c r="T216" s="33"/>
      <c r="U216" s="35"/>
      <c r="V216" s="36"/>
      <c r="W216" s="37"/>
      <c r="X216" s="34"/>
      <c r="Y216" s="33"/>
      <c r="Z216" s="33"/>
      <c r="AA216" s="33"/>
      <c r="AB216" s="35"/>
      <c r="AC216" s="34"/>
      <c r="AD216" s="34"/>
      <c r="AE216" s="34"/>
      <c r="AF216" s="34"/>
      <c r="AG216" s="34"/>
      <c r="AH216" s="33"/>
      <c r="AI216" s="33"/>
      <c r="AJ216" s="34"/>
      <c r="AK216" s="33"/>
      <c r="AL216" s="33"/>
      <c r="AM216" s="33"/>
      <c r="AN216" s="34"/>
      <c r="AO216" s="34"/>
      <c r="AP216" s="33"/>
      <c r="AQ216" s="34"/>
      <c r="AR216" s="33"/>
      <c r="AS216" s="33"/>
      <c r="AT216" s="33"/>
      <c r="AU216" s="33" t="s">
        <v>228</v>
      </c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4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5"/>
      <c r="CC216" s="33"/>
      <c r="CD216" s="33"/>
      <c r="CE216" s="33"/>
      <c r="CF216" s="34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4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4"/>
      <c r="DN216" s="34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8"/>
    </row>
    <row r="217" spans="2:137" ht="13.2">
      <c r="B217" s="30" t="str">
        <f t="shared" si="8"/>
        <v>2023/5</v>
      </c>
      <c r="C217" s="31" t="str">
        <f t="shared" si="9"/>
        <v/>
      </c>
      <c r="D217" s="32">
        <v>45048</v>
      </c>
      <c r="E217" s="33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3"/>
      <c r="R217" s="33"/>
      <c r="S217" s="33"/>
      <c r="T217" s="33"/>
      <c r="U217" s="35"/>
      <c r="V217" s="36"/>
      <c r="W217" s="37"/>
      <c r="X217" s="34"/>
      <c r="Y217" s="33"/>
      <c r="Z217" s="33"/>
      <c r="AA217" s="33"/>
      <c r="AB217" s="35"/>
      <c r="AC217" s="34"/>
      <c r="AD217" s="34"/>
      <c r="AE217" s="34"/>
      <c r="AF217" s="34"/>
      <c r="AG217" s="34"/>
      <c r="AH217" s="33"/>
      <c r="AI217" s="33"/>
      <c r="AJ217" s="34"/>
      <c r="AK217" s="33"/>
      <c r="AL217" s="33"/>
      <c r="AM217" s="33"/>
      <c r="AN217" s="34"/>
      <c r="AO217" s="34"/>
      <c r="AP217" s="33"/>
      <c r="AQ217" s="34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4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5"/>
      <c r="CC217" s="33"/>
      <c r="CD217" s="33"/>
      <c r="CE217" s="33"/>
      <c r="CF217" s="34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4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4"/>
      <c r="DN217" s="34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8"/>
    </row>
    <row r="218" spans="2:137" ht="13.2">
      <c r="B218" s="30" t="str">
        <f t="shared" si="8"/>
        <v>2023/5</v>
      </c>
      <c r="C218" s="31">
        <f t="shared" si="9"/>
        <v>200</v>
      </c>
      <c r="D218" s="32">
        <v>45049</v>
      </c>
      <c r="E218" s="33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3"/>
      <c r="R218" s="33"/>
      <c r="S218" s="33"/>
      <c r="T218" s="33"/>
      <c r="U218" s="35"/>
      <c r="V218" s="36"/>
      <c r="W218" s="37"/>
      <c r="X218" s="34"/>
      <c r="Y218" s="33"/>
      <c r="Z218" s="33"/>
      <c r="AA218" s="33"/>
      <c r="AB218" s="35"/>
      <c r="AC218" s="34"/>
      <c r="AD218" s="34"/>
      <c r="AE218" s="34"/>
      <c r="AF218" s="34"/>
      <c r="AG218" s="34"/>
      <c r="AH218" s="33"/>
      <c r="AI218" s="33"/>
      <c r="AJ218" s="34"/>
      <c r="AK218" s="33"/>
      <c r="AL218" s="33"/>
      <c r="AM218" s="33"/>
      <c r="AN218" s="34">
        <v>200</v>
      </c>
      <c r="AO218" s="34"/>
      <c r="AP218" s="33"/>
      <c r="AQ218" s="34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4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5"/>
      <c r="CC218" s="33"/>
      <c r="CD218" s="33"/>
      <c r="CE218" s="33"/>
      <c r="CF218" s="34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4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4"/>
      <c r="DN218" s="34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8"/>
    </row>
    <row r="219" spans="2:137" ht="13.2">
      <c r="B219" s="30" t="str">
        <f t="shared" si="8"/>
        <v>2023/5</v>
      </c>
      <c r="C219" s="31">
        <f t="shared" si="9"/>
        <v>800</v>
      </c>
      <c r="D219" s="32">
        <v>45050</v>
      </c>
      <c r="E219" s="33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3"/>
      <c r="R219" s="33"/>
      <c r="S219" s="33"/>
      <c r="T219" s="33"/>
      <c r="U219" s="35"/>
      <c r="V219" s="36"/>
      <c r="W219" s="37"/>
      <c r="X219" s="34"/>
      <c r="Y219" s="33"/>
      <c r="Z219" s="33"/>
      <c r="AA219" s="33"/>
      <c r="AB219" s="35"/>
      <c r="AC219" s="34"/>
      <c r="AD219" s="34"/>
      <c r="AE219" s="34"/>
      <c r="AF219" s="34"/>
      <c r="AG219" s="34"/>
      <c r="AH219" s="33"/>
      <c r="AI219" s="33"/>
      <c r="AJ219" s="34"/>
      <c r="AK219" s="33"/>
      <c r="AL219" s="33"/>
      <c r="AM219" s="33"/>
      <c r="AN219" s="34"/>
      <c r="AO219" s="34"/>
      <c r="AP219" s="33"/>
      <c r="AQ219" s="34"/>
      <c r="AR219" s="33"/>
      <c r="AS219" s="33"/>
      <c r="AT219" s="33"/>
      <c r="AU219" s="33">
        <v>600</v>
      </c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4" t="s">
        <v>209</v>
      </c>
      <c r="BM219" s="33"/>
      <c r="BN219" s="33"/>
      <c r="BO219" s="33"/>
      <c r="BP219" s="33">
        <v>200</v>
      </c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5"/>
      <c r="CC219" s="33"/>
      <c r="CD219" s="33"/>
      <c r="CE219" s="33"/>
      <c r="CF219" s="34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4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4"/>
      <c r="DN219" s="34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8"/>
    </row>
    <row r="220" spans="2:137" ht="13.2">
      <c r="B220" s="30" t="str">
        <f t="shared" si="8"/>
        <v>2023/5</v>
      </c>
      <c r="C220" s="31">
        <f t="shared" si="9"/>
        <v>1371.25</v>
      </c>
      <c r="D220" s="32">
        <v>45051</v>
      </c>
      <c r="E220" s="33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3"/>
      <c r="R220" s="33"/>
      <c r="S220" s="33"/>
      <c r="T220" s="33"/>
      <c r="U220" s="35"/>
      <c r="V220" s="36"/>
      <c r="W220" s="37"/>
      <c r="X220" s="34"/>
      <c r="Y220" s="33"/>
      <c r="Z220" s="33"/>
      <c r="AA220" s="33"/>
      <c r="AB220" s="35"/>
      <c r="AC220" s="34"/>
      <c r="AD220" s="34"/>
      <c r="AE220" s="34"/>
      <c r="AF220" s="34"/>
      <c r="AG220" s="34"/>
      <c r="AH220" s="33"/>
      <c r="AI220" s="33"/>
      <c r="AJ220" s="34"/>
      <c r="AK220" s="33"/>
      <c r="AL220" s="33"/>
      <c r="AM220" s="33"/>
      <c r="AN220" s="34"/>
      <c r="AO220" s="34"/>
      <c r="AP220" s="33"/>
      <c r="AQ220" s="34"/>
      <c r="AR220" s="33"/>
      <c r="AS220" s="33"/>
      <c r="AT220" s="33"/>
      <c r="AU220" s="33"/>
      <c r="AV220" s="33"/>
      <c r="AW220" s="33"/>
      <c r="AX220" s="33"/>
      <c r="AY220" s="33"/>
      <c r="AZ220" s="33">
        <v>971.25</v>
      </c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4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5">
        <v>200</v>
      </c>
      <c r="CC220" s="33"/>
      <c r="CD220" s="33"/>
      <c r="CE220" s="33"/>
      <c r="CF220" s="34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4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4">
        <v>200</v>
      </c>
      <c r="DN220" s="34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8"/>
    </row>
    <row r="221" spans="2:137" ht="13.2">
      <c r="B221" s="30" t="str">
        <f t="shared" si="8"/>
        <v>2023/5</v>
      </c>
      <c r="C221" s="31">
        <f t="shared" si="9"/>
        <v>1335</v>
      </c>
      <c r="D221" s="32">
        <v>45055</v>
      </c>
      <c r="E221" s="33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3"/>
      <c r="R221" s="33"/>
      <c r="S221" s="33"/>
      <c r="T221" s="33"/>
      <c r="U221" s="35"/>
      <c r="V221" s="36"/>
      <c r="W221" s="37"/>
      <c r="X221" s="34"/>
      <c r="Y221" s="33"/>
      <c r="Z221" s="33"/>
      <c r="AA221" s="33"/>
      <c r="AB221" s="35"/>
      <c r="AC221" s="34"/>
      <c r="AD221" s="34"/>
      <c r="AE221" s="34"/>
      <c r="AF221" s="34"/>
      <c r="AG221" s="34"/>
      <c r="AH221" s="33"/>
      <c r="AI221" s="33"/>
      <c r="AJ221" s="34"/>
      <c r="AK221" s="33"/>
      <c r="AL221" s="33"/>
      <c r="AM221" s="33"/>
      <c r="AN221" s="34"/>
      <c r="AO221" s="34"/>
      <c r="AP221" s="33">
        <v>500</v>
      </c>
      <c r="AQ221" s="34"/>
      <c r="AR221" s="33">
        <v>235</v>
      </c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>
        <v>250</v>
      </c>
      <c r="BD221" s="33"/>
      <c r="BE221" s="33"/>
      <c r="BF221" s="33"/>
      <c r="BG221" s="33"/>
      <c r="BH221" s="33"/>
      <c r="BI221" s="33"/>
      <c r="BJ221" s="33"/>
      <c r="BK221" s="33"/>
      <c r="BL221" s="34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5"/>
      <c r="CC221" s="33"/>
      <c r="CD221" s="33"/>
      <c r="CE221" s="33"/>
      <c r="CF221" s="34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4">
        <v>150</v>
      </c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4"/>
      <c r="DN221" s="34"/>
      <c r="DO221" s="33">
        <v>200</v>
      </c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8"/>
    </row>
    <row r="222" spans="2:137" ht="13.2">
      <c r="B222" s="30" t="str">
        <f t="shared" si="8"/>
        <v>2023/5</v>
      </c>
      <c r="C222" s="31" t="str">
        <f t="shared" si="9"/>
        <v/>
      </c>
      <c r="D222" s="32">
        <v>45056</v>
      </c>
      <c r="E222" s="33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3"/>
      <c r="R222" s="33"/>
      <c r="S222" s="33"/>
      <c r="T222" s="33"/>
      <c r="U222" s="35"/>
      <c r="V222" s="36"/>
      <c r="W222" s="37"/>
      <c r="X222" s="34"/>
      <c r="Y222" s="33"/>
      <c r="Z222" s="33"/>
      <c r="AA222" s="33"/>
      <c r="AB222" s="35"/>
      <c r="AC222" s="34"/>
      <c r="AD222" s="34"/>
      <c r="AE222" s="34"/>
      <c r="AF222" s="34"/>
      <c r="AG222" s="34"/>
      <c r="AH222" s="33"/>
      <c r="AI222" s="33"/>
      <c r="AJ222" s="34"/>
      <c r="AK222" s="33"/>
      <c r="AL222" s="33"/>
      <c r="AM222" s="33"/>
      <c r="AN222" s="34"/>
      <c r="AO222" s="34"/>
      <c r="AP222" s="33"/>
      <c r="AQ222" s="34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4" t="s">
        <v>206</v>
      </c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5"/>
      <c r="CC222" s="33"/>
      <c r="CD222" s="33"/>
      <c r="CE222" s="33"/>
      <c r="CF222" s="34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4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4"/>
      <c r="DN222" s="34" t="s">
        <v>208</v>
      </c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8"/>
    </row>
    <row r="223" spans="2:137" ht="13.2">
      <c r="B223" s="30" t="str">
        <f t="shared" si="8"/>
        <v>2023/5</v>
      </c>
      <c r="C223" s="31" t="str">
        <f t="shared" si="9"/>
        <v/>
      </c>
      <c r="D223" s="32">
        <v>45057</v>
      </c>
      <c r="E223" s="33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3"/>
      <c r="R223" s="33"/>
      <c r="S223" s="33"/>
      <c r="T223" s="33"/>
      <c r="U223" s="35"/>
      <c r="V223" s="36"/>
      <c r="W223" s="37"/>
      <c r="X223" s="34"/>
      <c r="Y223" s="33"/>
      <c r="Z223" s="33"/>
      <c r="AA223" s="33"/>
      <c r="AB223" s="35"/>
      <c r="AC223" s="34"/>
      <c r="AD223" s="34"/>
      <c r="AE223" s="34"/>
      <c r="AF223" s="34"/>
      <c r="AG223" s="34"/>
      <c r="AH223" s="33"/>
      <c r="AI223" s="33"/>
      <c r="AJ223" s="34"/>
      <c r="AK223" s="33"/>
      <c r="AL223" s="33"/>
      <c r="AM223" s="33"/>
      <c r="AN223" s="34"/>
      <c r="AO223" s="34"/>
      <c r="AP223" s="33"/>
      <c r="AQ223" s="34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4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5"/>
      <c r="CC223" s="33"/>
      <c r="CD223" s="33"/>
      <c r="CE223" s="33"/>
      <c r="CF223" s="34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4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4"/>
      <c r="DN223" s="34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8"/>
    </row>
    <row r="224" spans="2:137" ht="13.2">
      <c r="B224" s="30" t="str">
        <f t="shared" si="8"/>
        <v>2023/5</v>
      </c>
      <c r="C224" s="31">
        <f t="shared" si="9"/>
        <v>1500</v>
      </c>
      <c r="D224" s="32">
        <v>45058</v>
      </c>
      <c r="E224" s="33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3"/>
      <c r="R224" s="33"/>
      <c r="S224" s="33"/>
      <c r="T224" s="33"/>
      <c r="U224" s="35"/>
      <c r="V224" s="36"/>
      <c r="W224" s="37"/>
      <c r="X224" s="34"/>
      <c r="Y224" s="33"/>
      <c r="Z224" s="33"/>
      <c r="AA224" s="33"/>
      <c r="AB224" s="35"/>
      <c r="AC224" s="34"/>
      <c r="AD224" s="34"/>
      <c r="AE224" s="34"/>
      <c r="AF224" s="34"/>
      <c r="AG224" s="34"/>
      <c r="AH224" s="33"/>
      <c r="AI224" s="33"/>
      <c r="AJ224" s="34"/>
      <c r="AK224" s="33"/>
      <c r="AL224" s="33"/>
      <c r="AM224" s="33"/>
      <c r="AN224" s="34"/>
      <c r="AO224" s="34"/>
      <c r="AP224" s="33"/>
      <c r="AQ224" s="34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4">
        <v>800</v>
      </c>
      <c r="BM224" s="33"/>
      <c r="BN224" s="33"/>
      <c r="BO224" s="33"/>
      <c r="BP224" s="33">
        <v>200</v>
      </c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5"/>
      <c r="CC224" s="33"/>
      <c r="CD224" s="33"/>
      <c r="CE224" s="33"/>
      <c r="CF224" s="34">
        <v>300</v>
      </c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4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4">
        <v>200</v>
      </c>
      <c r="DN224" s="34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8"/>
    </row>
    <row r="225" spans="2:137" ht="13.2">
      <c r="B225" s="30" t="str">
        <f t="shared" si="8"/>
        <v>2023/5</v>
      </c>
      <c r="C225" s="31">
        <f t="shared" si="9"/>
        <v>450</v>
      </c>
      <c r="D225" s="32">
        <v>45062</v>
      </c>
      <c r="E225" s="33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3"/>
      <c r="R225" s="33"/>
      <c r="S225" s="33"/>
      <c r="T225" s="33"/>
      <c r="U225" s="35"/>
      <c r="V225" s="36"/>
      <c r="W225" s="37"/>
      <c r="X225" s="34"/>
      <c r="Y225" s="33"/>
      <c r="Z225" s="33"/>
      <c r="AA225" s="33"/>
      <c r="AB225" s="35"/>
      <c r="AC225" s="34"/>
      <c r="AD225" s="34"/>
      <c r="AE225" s="34"/>
      <c r="AF225" s="34"/>
      <c r="AG225" s="34"/>
      <c r="AH225" s="33"/>
      <c r="AI225" s="33"/>
      <c r="AJ225" s="34"/>
      <c r="AK225" s="33"/>
      <c r="AL225" s="33"/>
      <c r="AM225" s="33"/>
      <c r="AN225" s="34"/>
      <c r="AO225" s="34"/>
      <c r="AP225" s="33"/>
      <c r="AQ225" s="34"/>
      <c r="AR225" s="33"/>
      <c r="AS225" s="33">
        <v>250</v>
      </c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4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5"/>
      <c r="CC225" s="33"/>
      <c r="CD225" s="33"/>
      <c r="CE225" s="33"/>
      <c r="CF225" s="34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>
        <v>200</v>
      </c>
      <c r="CS225" s="33"/>
      <c r="CT225" s="33"/>
      <c r="CU225" s="33"/>
      <c r="CV225" s="33"/>
      <c r="CW225" s="33"/>
      <c r="CX225" s="33"/>
      <c r="CY225" s="33"/>
      <c r="CZ225" s="34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4"/>
      <c r="DN225" s="34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8"/>
    </row>
    <row r="226" spans="2:137" ht="13.2">
      <c r="B226" s="30" t="str">
        <f t="shared" si="8"/>
        <v>2023/5</v>
      </c>
      <c r="C226" s="31">
        <f t="shared" si="9"/>
        <v>700</v>
      </c>
      <c r="D226" s="32">
        <v>45063</v>
      </c>
      <c r="E226" s="33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3"/>
      <c r="R226" s="33"/>
      <c r="S226" s="33"/>
      <c r="T226" s="33"/>
      <c r="U226" s="35"/>
      <c r="V226" s="36"/>
      <c r="W226" s="37"/>
      <c r="X226" s="34"/>
      <c r="Y226" s="33"/>
      <c r="Z226" s="33"/>
      <c r="AA226" s="33"/>
      <c r="AB226" s="35"/>
      <c r="AC226" s="34"/>
      <c r="AD226" s="34"/>
      <c r="AE226" s="34"/>
      <c r="AF226" s="34"/>
      <c r="AG226" s="34"/>
      <c r="AH226" s="33"/>
      <c r="AI226" s="33"/>
      <c r="AJ226" s="34"/>
      <c r="AK226" s="33"/>
      <c r="AL226" s="33"/>
      <c r="AM226" s="33"/>
      <c r="AN226" s="34"/>
      <c r="AO226" s="34"/>
      <c r="AP226" s="33"/>
      <c r="AQ226" s="34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4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5"/>
      <c r="CC226" s="33"/>
      <c r="CD226" s="33"/>
      <c r="CE226" s="33"/>
      <c r="CF226" s="34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4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4"/>
      <c r="DN226" s="34">
        <v>700</v>
      </c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8"/>
    </row>
    <row r="227" spans="2:137" ht="13.2">
      <c r="B227" s="30" t="str">
        <f t="shared" si="8"/>
        <v>2023/5</v>
      </c>
      <c r="C227" s="31">
        <f t="shared" si="9"/>
        <v>450</v>
      </c>
      <c r="D227" s="32">
        <v>45064</v>
      </c>
      <c r="E227" s="33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3"/>
      <c r="R227" s="33"/>
      <c r="S227" s="33"/>
      <c r="T227" s="33"/>
      <c r="U227" s="35"/>
      <c r="V227" s="36"/>
      <c r="W227" s="37"/>
      <c r="X227" s="34"/>
      <c r="Y227" s="33"/>
      <c r="Z227" s="33"/>
      <c r="AA227" s="33"/>
      <c r="AB227" s="35"/>
      <c r="AC227" s="34"/>
      <c r="AD227" s="34"/>
      <c r="AE227" s="34"/>
      <c r="AF227" s="34"/>
      <c r="AG227" s="34"/>
      <c r="AH227" s="33"/>
      <c r="AI227" s="33"/>
      <c r="AJ227" s="34"/>
      <c r="AK227" s="33"/>
      <c r="AL227" s="33"/>
      <c r="AM227" s="33"/>
      <c r="AN227" s="34"/>
      <c r="AO227" s="34"/>
      <c r="AP227" s="33"/>
      <c r="AQ227" s="34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>
        <v>250</v>
      </c>
      <c r="BJ227" s="33"/>
      <c r="BK227" s="33"/>
      <c r="BL227" s="34"/>
      <c r="BM227" s="33"/>
      <c r="BN227" s="33"/>
      <c r="BO227" s="33"/>
      <c r="BP227" s="33">
        <v>200</v>
      </c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5"/>
      <c r="CC227" s="33"/>
      <c r="CD227" s="33"/>
      <c r="CE227" s="33"/>
      <c r="CF227" s="34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4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4"/>
      <c r="DN227" s="34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8"/>
    </row>
    <row r="228" spans="2:137" ht="13.2">
      <c r="B228" s="30" t="str">
        <f t="shared" si="8"/>
        <v>2023/5</v>
      </c>
      <c r="C228" s="31" t="str">
        <f t="shared" si="9"/>
        <v/>
      </c>
      <c r="D228" s="32">
        <v>45065</v>
      </c>
      <c r="E228" s="33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3"/>
      <c r="R228" s="33"/>
      <c r="S228" s="33"/>
      <c r="T228" s="33"/>
      <c r="U228" s="35"/>
      <c r="V228" s="36"/>
      <c r="W228" s="37"/>
      <c r="X228" s="34"/>
      <c r="Y228" s="33"/>
      <c r="Z228" s="33"/>
      <c r="AA228" s="33"/>
      <c r="AB228" s="35"/>
      <c r="AC228" s="34"/>
      <c r="AD228" s="34"/>
      <c r="AE228" s="34"/>
      <c r="AF228" s="34"/>
      <c r="AG228" s="34"/>
      <c r="AH228" s="33"/>
      <c r="AI228" s="33"/>
      <c r="AJ228" s="34"/>
      <c r="AK228" s="33"/>
      <c r="AL228" s="33"/>
      <c r="AM228" s="33"/>
      <c r="AN228" s="34"/>
      <c r="AO228" s="34"/>
      <c r="AP228" s="33"/>
      <c r="AQ228" s="34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4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5"/>
      <c r="CC228" s="33"/>
      <c r="CD228" s="33"/>
      <c r="CE228" s="33"/>
      <c r="CF228" s="34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4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4"/>
      <c r="DN228" s="34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8"/>
    </row>
    <row r="229" spans="2:137" ht="13.2">
      <c r="B229" s="30" t="str">
        <f t="shared" si="8"/>
        <v>2023/5</v>
      </c>
      <c r="C229" s="31" t="str">
        <f t="shared" si="9"/>
        <v/>
      </c>
      <c r="D229" s="32">
        <v>45069</v>
      </c>
      <c r="E229" s="33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3"/>
      <c r="R229" s="33"/>
      <c r="S229" s="33"/>
      <c r="T229" s="33"/>
      <c r="U229" s="35"/>
      <c r="V229" s="36"/>
      <c r="W229" s="37"/>
      <c r="X229" s="34"/>
      <c r="Y229" s="33"/>
      <c r="Z229" s="33"/>
      <c r="AA229" s="33"/>
      <c r="AB229" s="35"/>
      <c r="AC229" s="34"/>
      <c r="AD229" s="34"/>
      <c r="AE229" s="34"/>
      <c r="AF229" s="34"/>
      <c r="AG229" s="34"/>
      <c r="AH229" s="33"/>
      <c r="AI229" s="33"/>
      <c r="AJ229" s="34"/>
      <c r="AK229" s="33"/>
      <c r="AL229" s="33"/>
      <c r="AM229" s="33"/>
      <c r="AN229" s="34"/>
      <c r="AO229" s="34"/>
      <c r="AP229" s="33"/>
      <c r="AQ229" s="34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4" t="s">
        <v>207</v>
      </c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5"/>
      <c r="CC229" s="33"/>
      <c r="CD229" s="33"/>
      <c r="CE229" s="33"/>
      <c r="CF229" s="34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4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4"/>
      <c r="DN229" s="34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8"/>
    </row>
    <row r="230" spans="2:137" ht="13.2">
      <c r="B230" s="30" t="str">
        <f t="shared" si="8"/>
        <v>2023/5</v>
      </c>
      <c r="C230" s="31">
        <f t="shared" si="9"/>
        <v>200</v>
      </c>
      <c r="D230" s="32">
        <v>45070</v>
      </c>
      <c r="E230" s="33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3"/>
      <c r="R230" s="33"/>
      <c r="S230" s="33"/>
      <c r="T230" s="33"/>
      <c r="U230" s="35"/>
      <c r="V230" s="36"/>
      <c r="W230" s="37"/>
      <c r="X230" s="34"/>
      <c r="Y230" s="33"/>
      <c r="Z230" s="33"/>
      <c r="AA230" s="33"/>
      <c r="AB230" s="35"/>
      <c r="AC230" s="34"/>
      <c r="AD230" s="34"/>
      <c r="AE230" s="34"/>
      <c r="AF230" s="34"/>
      <c r="AG230" s="34"/>
      <c r="AH230" s="33"/>
      <c r="AI230" s="33"/>
      <c r="AJ230" s="34"/>
      <c r="AK230" s="33"/>
      <c r="AL230" s="33"/>
      <c r="AM230" s="33"/>
      <c r="AN230" s="34"/>
      <c r="AO230" s="34"/>
      <c r="AP230" s="33"/>
      <c r="AQ230" s="34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4" t="s">
        <v>208</v>
      </c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5"/>
      <c r="CC230" s="33"/>
      <c r="CD230" s="33"/>
      <c r="CE230" s="33"/>
      <c r="CF230" s="34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4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4"/>
      <c r="DN230" s="34"/>
      <c r="DO230" s="33">
        <v>200</v>
      </c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8"/>
    </row>
    <row r="231" spans="2:137" ht="13.2">
      <c r="B231" s="30" t="str">
        <f t="shared" si="8"/>
        <v>2023/5</v>
      </c>
      <c r="C231" s="31">
        <f t="shared" si="9"/>
        <v>300</v>
      </c>
      <c r="D231" s="32">
        <v>45071</v>
      </c>
      <c r="E231" s="33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3"/>
      <c r="R231" s="33"/>
      <c r="S231" s="33"/>
      <c r="T231" s="33"/>
      <c r="U231" s="35"/>
      <c r="V231" s="36"/>
      <c r="W231" s="37"/>
      <c r="X231" s="34"/>
      <c r="Y231" s="33"/>
      <c r="Z231" s="33"/>
      <c r="AA231" s="33"/>
      <c r="AB231" s="35"/>
      <c r="AC231" s="34"/>
      <c r="AD231" s="34"/>
      <c r="AE231" s="34"/>
      <c r="AF231" s="34"/>
      <c r="AG231" s="34"/>
      <c r="AH231" s="33"/>
      <c r="AI231" s="33"/>
      <c r="AJ231" s="34"/>
      <c r="AK231" s="33"/>
      <c r="AL231" s="33"/>
      <c r="AM231" s="33"/>
      <c r="AN231" s="34"/>
      <c r="AO231" s="34"/>
      <c r="AP231" s="33"/>
      <c r="AQ231" s="34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4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5"/>
      <c r="CC231" s="33"/>
      <c r="CD231" s="33"/>
      <c r="CE231" s="33"/>
      <c r="CF231" s="34">
        <v>300</v>
      </c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4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4"/>
      <c r="DN231" s="34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8"/>
    </row>
    <row r="232" spans="2:137" ht="13.2">
      <c r="B232" s="30" t="str">
        <f t="shared" si="8"/>
        <v>2023/5</v>
      </c>
      <c r="C232" s="31">
        <f t="shared" si="9"/>
        <v>1350</v>
      </c>
      <c r="D232" s="32">
        <v>45072</v>
      </c>
      <c r="E232" s="33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3"/>
      <c r="R232" s="33"/>
      <c r="S232" s="33"/>
      <c r="T232" s="33"/>
      <c r="U232" s="35"/>
      <c r="V232" s="36"/>
      <c r="W232" s="37"/>
      <c r="X232" s="34"/>
      <c r="Y232" s="33"/>
      <c r="Z232" s="33"/>
      <c r="AA232" s="33"/>
      <c r="AB232" s="35"/>
      <c r="AC232" s="34"/>
      <c r="AD232" s="34"/>
      <c r="AE232" s="34"/>
      <c r="AF232" s="34"/>
      <c r="AG232" s="34"/>
      <c r="AH232" s="33"/>
      <c r="AI232" s="33"/>
      <c r="AJ232" s="34"/>
      <c r="AK232" s="33"/>
      <c r="AL232" s="33"/>
      <c r="AM232" s="33"/>
      <c r="AN232" s="34"/>
      <c r="AO232" s="34"/>
      <c r="AP232" s="33"/>
      <c r="AQ232" s="34"/>
      <c r="AR232" s="33"/>
      <c r="AS232" s="33"/>
      <c r="AT232" s="33"/>
      <c r="AU232" s="33">
        <v>150</v>
      </c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4"/>
      <c r="BM232" s="33"/>
      <c r="BN232" s="33"/>
      <c r="BO232" s="33"/>
      <c r="BP232" s="33">
        <v>200</v>
      </c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5">
        <v>400</v>
      </c>
      <c r="CC232" s="33"/>
      <c r="CD232" s="33"/>
      <c r="CE232" s="33"/>
      <c r="CF232" s="34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>
        <v>400</v>
      </c>
      <c r="CS232" s="33"/>
      <c r="CT232" s="33"/>
      <c r="CU232" s="33"/>
      <c r="CV232" s="33"/>
      <c r="CW232" s="33"/>
      <c r="CX232" s="33"/>
      <c r="CY232" s="33"/>
      <c r="CZ232" s="34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4">
        <v>200</v>
      </c>
      <c r="DN232" s="34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8"/>
    </row>
    <row r="233" spans="2:137" ht="13.2">
      <c r="B233" s="30" t="str">
        <f t="shared" si="8"/>
        <v>2023/5</v>
      </c>
      <c r="C233" s="31">
        <f t="shared" si="9"/>
        <v>250</v>
      </c>
      <c r="D233" s="32">
        <v>45076</v>
      </c>
      <c r="E233" s="33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3"/>
      <c r="R233" s="33"/>
      <c r="S233" s="33"/>
      <c r="T233" s="33"/>
      <c r="U233" s="35"/>
      <c r="V233" s="36"/>
      <c r="W233" s="37"/>
      <c r="X233" s="34"/>
      <c r="Y233" s="33"/>
      <c r="Z233" s="33"/>
      <c r="AA233" s="33"/>
      <c r="AB233" s="35"/>
      <c r="AC233" s="34"/>
      <c r="AD233" s="34"/>
      <c r="AE233" s="34"/>
      <c r="AF233" s="34"/>
      <c r="AG233" s="34"/>
      <c r="AH233" s="33"/>
      <c r="AI233" s="33"/>
      <c r="AJ233" s="34"/>
      <c r="AK233" s="33"/>
      <c r="AL233" s="33"/>
      <c r="AM233" s="33"/>
      <c r="AN233" s="34"/>
      <c r="AO233" s="34"/>
      <c r="AP233" s="33"/>
      <c r="AQ233" s="34"/>
      <c r="AR233" s="33"/>
      <c r="AS233" s="33"/>
      <c r="AT233" s="33">
        <v>250</v>
      </c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4" t="s">
        <v>209</v>
      </c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5"/>
      <c r="CC233" s="33"/>
      <c r="CD233" s="33"/>
      <c r="CE233" s="33"/>
      <c r="CF233" s="34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4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4"/>
      <c r="DN233" s="34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8"/>
    </row>
    <row r="234" spans="2:137" ht="13.2">
      <c r="B234" s="30" t="str">
        <f t="shared" si="8"/>
        <v>2023/5</v>
      </c>
      <c r="C234" s="31" t="str">
        <f t="shared" si="9"/>
        <v/>
      </c>
      <c r="D234" s="32">
        <v>45077</v>
      </c>
      <c r="E234" s="33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3"/>
      <c r="R234" s="33"/>
      <c r="S234" s="33"/>
      <c r="T234" s="33"/>
      <c r="U234" s="35"/>
      <c r="V234" s="36"/>
      <c r="W234" s="37"/>
      <c r="X234" s="34"/>
      <c r="Y234" s="33"/>
      <c r="Z234" s="33"/>
      <c r="AA234" s="33"/>
      <c r="AB234" s="35"/>
      <c r="AC234" s="34"/>
      <c r="AD234" s="34"/>
      <c r="AE234" s="34"/>
      <c r="AF234" s="34"/>
      <c r="AG234" s="34"/>
      <c r="AH234" s="33"/>
      <c r="AI234" s="33"/>
      <c r="AJ234" s="34"/>
      <c r="AK234" s="33"/>
      <c r="AL234" s="33"/>
      <c r="AM234" s="33"/>
      <c r="AN234" s="34"/>
      <c r="AO234" s="34"/>
      <c r="AP234" s="33"/>
      <c r="AQ234" s="34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4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5"/>
      <c r="CC234" s="33"/>
      <c r="CD234" s="33"/>
      <c r="CE234" s="33"/>
      <c r="CF234" s="34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4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4"/>
      <c r="DN234" s="34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8"/>
    </row>
    <row r="235" spans="2:137" ht="13.2">
      <c r="B235" s="30" t="str">
        <f t="shared" si="8"/>
        <v>2023/6</v>
      </c>
      <c r="C235" s="31" t="str">
        <f t="shared" si="9"/>
        <v/>
      </c>
      <c r="D235" s="32">
        <v>45078</v>
      </c>
      <c r="E235" s="33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3"/>
      <c r="R235" s="33"/>
      <c r="S235" s="33"/>
      <c r="T235" s="33"/>
      <c r="U235" s="35"/>
      <c r="V235" s="36"/>
      <c r="W235" s="37"/>
      <c r="X235" s="34"/>
      <c r="Y235" s="33"/>
      <c r="Z235" s="33"/>
      <c r="AA235" s="33"/>
      <c r="AB235" s="35"/>
      <c r="AC235" s="34"/>
      <c r="AD235" s="34"/>
      <c r="AE235" s="34"/>
      <c r="AF235" s="34"/>
      <c r="AG235" s="34"/>
      <c r="AH235" s="33"/>
      <c r="AI235" s="33"/>
      <c r="AJ235" s="34"/>
      <c r="AK235" s="33"/>
      <c r="AL235" s="33"/>
      <c r="AM235" s="33"/>
      <c r="AN235" s="34"/>
      <c r="AO235" s="34"/>
      <c r="AP235" s="33"/>
      <c r="AQ235" s="34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4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5"/>
      <c r="CC235" s="33"/>
      <c r="CD235" s="33"/>
      <c r="CE235" s="33"/>
      <c r="CF235" s="34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4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4"/>
      <c r="DN235" s="34" t="s">
        <v>206</v>
      </c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8"/>
    </row>
    <row r="236" spans="2:137" ht="13.2">
      <c r="B236" s="30" t="str">
        <f t="shared" si="8"/>
        <v>2023/6</v>
      </c>
      <c r="C236" s="31">
        <f t="shared" si="9"/>
        <v>200</v>
      </c>
      <c r="D236" s="32">
        <v>45079</v>
      </c>
      <c r="E236" s="33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3"/>
      <c r="R236" s="33"/>
      <c r="S236" s="33"/>
      <c r="T236" s="33"/>
      <c r="U236" s="35"/>
      <c r="V236" s="36"/>
      <c r="W236" s="37"/>
      <c r="X236" s="34"/>
      <c r="Y236" s="33"/>
      <c r="Z236" s="33"/>
      <c r="AA236" s="33"/>
      <c r="AB236" s="35"/>
      <c r="AC236" s="34"/>
      <c r="AD236" s="34"/>
      <c r="AE236" s="34"/>
      <c r="AF236" s="34"/>
      <c r="AG236" s="34"/>
      <c r="AH236" s="33"/>
      <c r="AI236" s="33"/>
      <c r="AJ236" s="34"/>
      <c r="AK236" s="33"/>
      <c r="AL236" s="33"/>
      <c r="AM236" s="33"/>
      <c r="AN236" s="34"/>
      <c r="AO236" s="34"/>
      <c r="AP236" s="33"/>
      <c r="AQ236" s="34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4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5"/>
      <c r="CC236" s="33"/>
      <c r="CD236" s="33"/>
      <c r="CE236" s="33"/>
      <c r="CF236" s="34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4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4">
        <v>200</v>
      </c>
      <c r="DN236" s="34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8"/>
    </row>
    <row r="237" spans="2:137" ht="13.2">
      <c r="B237" s="30" t="str">
        <f t="shared" si="8"/>
        <v>2023/6</v>
      </c>
      <c r="C237" s="31">
        <f t="shared" si="9"/>
        <v>1000</v>
      </c>
      <c r="D237" s="32">
        <v>45083</v>
      </c>
      <c r="E237" s="33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3"/>
      <c r="R237" s="33"/>
      <c r="S237" s="33"/>
      <c r="T237" s="33"/>
      <c r="U237" s="35"/>
      <c r="V237" s="36"/>
      <c r="W237" s="37"/>
      <c r="X237" s="34"/>
      <c r="Y237" s="33"/>
      <c r="Z237" s="33"/>
      <c r="AA237" s="33"/>
      <c r="AB237" s="35"/>
      <c r="AC237" s="34"/>
      <c r="AD237" s="34"/>
      <c r="AE237" s="34"/>
      <c r="AF237" s="34"/>
      <c r="AG237" s="34"/>
      <c r="AH237" s="33"/>
      <c r="AI237" s="33"/>
      <c r="AJ237" s="34"/>
      <c r="AK237" s="33"/>
      <c r="AL237" s="33"/>
      <c r="AM237" s="33"/>
      <c r="AN237" s="34"/>
      <c r="AO237" s="34"/>
      <c r="AP237" s="33"/>
      <c r="AQ237" s="34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4">
        <v>800</v>
      </c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5"/>
      <c r="CC237" s="33"/>
      <c r="CD237" s="33"/>
      <c r="CE237" s="33"/>
      <c r="CF237" s="34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4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4"/>
      <c r="DN237" s="34"/>
      <c r="DO237" s="33">
        <v>200</v>
      </c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8"/>
    </row>
    <row r="238" spans="2:137" ht="13.2">
      <c r="B238" s="30" t="str">
        <f t="shared" si="8"/>
        <v>2023/6</v>
      </c>
      <c r="C238" s="31">
        <f t="shared" si="9"/>
        <v>1571.25</v>
      </c>
      <c r="D238" s="32">
        <v>45084</v>
      </c>
      <c r="E238" s="33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3"/>
      <c r="R238" s="33"/>
      <c r="S238" s="33"/>
      <c r="T238" s="33"/>
      <c r="U238" s="35"/>
      <c r="V238" s="36"/>
      <c r="W238" s="37"/>
      <c r="X238" s="34"/>
      <c r="Y238" s="33"/>
      <c r="Z238" s="33"/>
      <c r="AA238" s="33"/>
      <c r="AB238" s="35"/>
      <c r="AC238" s="34"/>
      <c r="AD238" s="34"/>
      <c r="AE238" s="34"/>
      <c r="AF238" s="34"/>
      <c r="AG238" s="34"/>
      <c r="AH238" s="33"/>
      <c r="AI238" s="33"/>
      <c r="AJ238" s="34"/>
      <c r="AK238" s="33"/>
      <c r="AL238" s="33"/>
      <c r="AM238" s="33"/>
      <c r="AN238" s="34"/>
      <c r="AO238" s="34"/>
      <c r="AP238" s="33"/>
      <c r="AQ238" s="34"/>
      <c r="AR238" s="33"/>
      <c r="AS238" s="33"/>
      <c r="AT238" s="33"/>
      <c r="AU238" s="33"/>
      <c r="AV238" s="33"/>
      <c r="AW238" s="33"/>
      <c r="AX238" s="33"/>
      <c r="AY238" s="33"/>
      <c r="AZ238" s="33">
        <v>971.25</v>
      </c>
      <c r="BA238" s="33"/>
      <c r="BB238" s="33"/>
      <c r="BC238" s="33"/>
      <c r="BD238" s="33"/>
      <c r="BE238" s="33"/>
      <c r="BF238" s="33"/>
      <c r="BG238" s="33"/>
      <c r="BH238" s="33"/>
      <c r="BI238" s="33">
        <v>250</v>
      </c>
      <c r="BJ238" s="33"/>
      <c r="BK238" s="33"/>
      <c r="BL238" s="34"/>
      <c r="BM238" s="33"/>
      <c r="BN238" s="33"/>
      <c r="BO238" s="33"/>
      <c r="BP238" s="33">
        <v>200</v>
      </c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5"/>
      <c r="CC238" s="33"/>
      <c r="CD238" s="33"/>
      <c r="CE238" s="33"/>
      <c r="CF238" s="34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4">
        <v>150</v>
      </c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4"/>
      <c r="DN238" s="34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8"/>
    </row>
    <row r="239" spans="2:137" ht="13.2">
      <c r="B239" s="30" t="str">
        <f t="shared" si="8"/>
        <v>2023/6</v>
      </c>
      <c r="C239" s="31">
        <f t="shared" si="9"/>
        <v>250</v>
      </c>
      <c r="D239" s="32">
        <v>45085</v>
      </c>
      <c r="E239" s="33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3"/>
      <c r="R239" s="33"/>
      <c r="S239" s="33"/>
      <c r="T239" s="33"/>
      <c r="U239" s="35"/>
      <c r="V239" s="36"/>
      <c r="W239" s="37"/>
      <c r="X239" s="34"/>
      <c r="Y239" s="33"/>
      <c r="Z239" s="33"/>
      <c r="AA239" s="33"/>
      <c r="AB239" s="35"/>
      <c r="AC239" s="34"/>
      <c r="AD239" s="34"/>
      <c r="AE239" s="34"/>
      <c r="AF239" s="34"/>
      <c r="AG239" s="34"/>
      <c r="AH239" s="33"/>
      <c r="AI239" s="33"/>
      <c r="AJ239" s="34"/>
      <c r="AK239" s="33"/>
      <c r="AL239" s="33"/>
      <c r="AM239" s="33"/>
      <c r="AN239" s="34"/>
      <c r="AO239" s="34"/>
      <c r="AP239" s="33"/>
      <c r="AQ239" s="34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4"/>
      <c r="BM239" s="33"/>
      <c r="BN239" s="33"/>
      <c r="BO239" s="33"/>
      <c r="BP239" s="33"/>
      <c r="BQ239" s="33"/>
      <c r="BR239" s="33">
        <v>250</v>
      </c>
      <c r="BS239" s="33"/>
      <c r="BT239" s="33"/>
      <c r="BU239" s="33"/>
      <c r="BV239" s="33"/>
      <c r="BW239" s="33"/>
      <c r="BX239" s="33"/>
      <c r="BY239" s="33"/>
      <c r="BZ239" s="33"/>
      <c r="CA239" s="33"/>
      <c r="CB239" s="35"/>
      <c r="CC239" s="33"/>
      <c r="CD239" s="33"/>
      <c r="CE239" s="33"/>
      <c r="CF239" s="34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4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4"/>
      <c r="DN239" s="34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8"/>
    </row>
    <row r="240" spans="2:137" ht="13.2">
      <c r="B240" s="30" t="str">
        <f t="shared" si="8"/>
        <v>2023/6</v>
      </c>
      <c r="C240" s="31">
        <f t="shared" si="9"/>
        <v>4190</v>
      </c>
      <c r="D240" s="32">
        <v>45086</v>
      </c>
      <c r="E240" s="33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3"/>
      <c r="R240" s="33"/>
      <c r="S240" s="33"/>
      <c r="T240" s="33"/>
      <c r="U240" s="35"/>
      <c r="V240" s="36"/>
      <c r="W240" s="37"/>
      <c r="X240" s="34"/>
      <c r="Y240" s="33"/>
      <c r="Z240" s="33"/>
      <c r="AA240" s="33"/>
      <c r="AB240" s="35"/>
      <c r="AC240" s="34"/>
      <c r="AD240" s="34"/>
      <c r="AE240" s="34"/>
      <c r="AF240" s="34"/>
      <c r="AG240" s="34"/>
      <c r="AH240" s="33"/>
      <c r="AI240" s="33"/>
      <c r="AJ240" s="34"/>
      <c r="AK240" s="33"/>
      <c r="AL240" s="33"/>
      <c r="AM240" s="33"/>
      <c r="AN240" s="34"/>
      <c r="AO240" s="34"/>
      <c r="AP240" s="33"/>
      <c r="AQ240" s="34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>
        <v>2990</v>
      </c>
      <c r="BC240" s="33">
        <v>750</v>
      </c>
      <c r="BD240" s="33"/>
      <c r="BE240" s="33"/>
      <c r="BF240" s="33"/>
      <c r="BG240" s="33"/>
      <c r="BH240" s="33"/>
      <c r="BI240" s="33"/>
      <c r="BJ240" s="33"/>
      <c r="BK240" s="33"/>
      <c r="BL240" s="34" t="s">
        <v>206</v>
      </c>
      <c r="BM240" s="33"/>
      <c r="BN240" s="33"/>
      <c r="BO240" s="33"/>
      <c r="BP240" s="33"/>
      <c r="BQ240" s="33"/>
      <c r="BR240" s="33">
        <v>250</v>
      </c>
      <c r="BS240" s="33"/>
      <c r="BT240" s="33"/>
      <c r="BU240" s="33"/>
      <c r="BV240" s="33"/>
      <c r="BW240" s="33"/>
      <c r="BX240" s="33"/>
      <c r="BY240" s="33"/>
      <c r="BZ240" s="33"/>
      <c r="CA240" s="33"/>
      <c r="CB240" s="35"/>
      <c r="CC240" s="33"/>
      <c r="CD240" s="33"/>
      <c r="CE240" s="33"/>
      <c r="CF240" s="34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4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4">
        <v>200</v>
      </c>
      <c r="DN240" s="34" t="s">
        <v>207</v>
      </c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8"/>
    </row>
    <row r="241" spans="2:137" ht="13.2">
      <c r="B241" s="30" t="str">
        <f t="shared" si="8"/>
        <v>2023/6</v>
      </c>
      <c r="C241" s="31">
        <f t="shared" si="9"/>
        <v>700</v>
      </c>
      <c r="D241" s="32">
        <v>45090</v>
      </c>
      <c r="E241" s="33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3"/>
      <c r="R241" s="33"/>
      <c r="S241" s="33"/>
      <c r="T241" s="33"/>
      <c r="U241" s="35"/>
      <c r="V241" s="36"/>
      <c r="W241" s="37"/>
      <c r="X241" s="34"/>
      <c r="Y241" s="33"/>
      <c r="Z241" s="33"/>
      <c r="AA241" s="33"/>
      <c r="AB241" s="35"/>
      <c r="AC241" s="34"/>
      <c r="AD241" s="34"/>
      <c r="AE241" s="34"/>
      <c r="AF241" s="34"/>
      <c r="AG241" s="34"/>
      <c r="AH241" s="33"/>
      <c r="AI241" s="33"/>
      <c r="AJ241" s="34"/>
      <c r="AK241" s="33"/>
      <c r="AL241" s="33"/>
      <c r="AM241" s="33"/>
      <c r="AN241" s="34"/>
      <c r="AO241" s="34"/>
      <c r="AP241" s="33"/>
      <c r="AQ241" s="34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4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5"/>
      <c r="CC241" s="33"/>
      <c r="CD241" s="33"/>
      <c r="CE241" s="33"/>
      <c r="CF241" s="34">
        <v>300</v>
      </c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>
        <v>400</v>
      </c>
      <c r="CS241" s="33"/>
      <c r="CT241" s="33"/>
      <c r="CU241" s="33"/>
      <c r="CV241" s="33"/>
      <c r="CW241" s="33"/>
      <c r="CX241" s="33"/>
      <c r="CY241" s="33"/>
      <c r="CZ241" s="34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4"/>
      <c r="DN241" s="34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8"/>
    </row>
    <row r="242" spans="2:137" ht="13.2">
      <c r="B242" s="30" t="str">
        <f t="shared" si="8"/>
        <v>2023/6</v>
      </c>
      <c r="C242" s="31" t="str">
        <f t="shared" si="9"/>
        <v/>
      </c>
      <c r="D242" s="32">
        <v>45091</v>
      </c>
      <c r="E242" s="33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3"/>
      <c r="R242" s="33"/>
      <c r="S242" s="33"/>
      <c r="T242" s="33"/>
      <c r="U242" s="35"/>
      <c r="V242" s="36"/>
      <c r="W242" s="37"/>
      <c r="X242" s="34"/>
      <c r="Y242" s="33"/>
      <c r="Z242" s="33"/>
      <c r="AA242" s="33"/>
      <c r="AB242" s="35"/>
      <c r="AC242" s="34"/>
      <c r="AD242" s="34"/>
      <c r="AE242" s="34"/>
      <c r="AF242" s="34"/>
      <c r="AG242" s="34"/>
      <c r="AH242" s="33"/>
      <c r="AI242" s="33"/>
      <c r="AJ242" s="34"/>
      <c r="AK242" s="33"/>
      <c r="AL242" s="33"/>
      <c r="AM242" s="33"/>
      <c r="AN242" s="34"/>
      <c r="AO242" s="34"/>
      <c r="AP242" s="33"/>
      <c r="AQ242" s="34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4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5"/>
      <c r="CC242" s="33"/>
      <c r="CD242" s="33"/>
      <c r="CE242" s="33"/>
      <c r="CF242" s="34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4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4"/>
      <c r="DN242" s="34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8"/>
    </row>
    <row r="243" spans="2:137" ht="13.2">
      <c r="B243" s="30" t="str">
        <f t="shared" si="8"/>
        <v>2023/6</v>
      </c>
      <c r="C243" s="31">
        <f t="shared" si="9"/>
        <v>200</v>
      </c>
      <c r="D243" s="32">
        <v>45092</v>
      </c>
      <c r="E243" s="33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3"/>
      <c r="R243" s="33"/>
      <c r="S243" s="33"/>
      <c r="T243" s="33"/>
      <c r="U243" s="35"/>
      <c r="V243" s="36"/>
      <c r="W243" s="37"/>
      <c r="X243" s="34"/>
      <c r="Y243" s="33"/>
      <c r="Z243" s="33"/>
      <c r="AA243" s="33"/>
      <c r="AB243" s="35"/>
      <c r="AC243" s="34"/>
      <c r="AD243" s="34"/>
      <c r="AE243" s="34"/>
      <c r="AF243" s="34"/>
      <c r="AG243" s="34"/>
      <c r="AH243" s="33"/>
      <c r="AI243" s="33"/>
      <c r="AJ243" s="34"/>
      <c r="AK243" s="33"/>
      <c r="AL243" s="33"/>
      <c r="AM243" s="33"/>
      <c r="AN243" s="34"/>
      <c r="AO243" s="34"/>
      <c r="AP243" s="33"/>
      <c r="AQ243" s="34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4" t="s">
        <v>207</v>
      </c>
      <c r="BM243" s="33"/>
      <c r="BN243" s="33"/>
      <c r="BO243" s="33"/>
      <c r="BP243" s="33">
        <v>200</v>
      </c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5"/>
      <c r="CC243" s="33"/>
      <c r="CD243" s="33"/>
      <c r="CE243" s="33"/>
      <c r="CF243" s="34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4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4"/>
      <c r="DN243" s="34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8"/>
    </row>
    <row r="244" spans="2:137" ht="13.2">
      <c r="B244" s="30" t="str">
        <f t="shared" si="8"/>
        <v>2023/6</v>
      </c>
      <c r="C244" s="31">
        <f t="shared" si="9"/>
        <v>700</v>
      </c>
      <c r="D244" s="32">
        <v>45093</v>
      </c>
      <c r="E244" s="33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3"/>
      <c r="R244" s="33"/>
      <c r="S244" s="33"/>
      <c r="T244" s="33"/>
      <c r="U244" s="35"/>
      <c r="V244" s="36"/>
      <c r="W244" s="37"/>
      <c r="X244" s="34"/>
      <c r="Y244" s="33"/>
      <c r="Z244" s="33"/>
      <c r="AA244" s="33"/>
      <c r="AB244" s="35"/>
      <c r="AC244" s="34"/>
      <c r="AD244" s="34"/>
      <c r="AE244" s="34"/>
      <c r="AF244" s="34"/>
      <c r="AG244" s="34"/>
      <c r="AH244" s="33"/>
      <c r="AI244" s="33"/>
      <c r="AJ244" s="34"/>
      <c r="AK244" s="33"/>
      <c r="AL244" s="33"/>
      <c r="AM244" s="33"/>
      <c r="AN244" s="34"/>
      <c r="AO244" s="34"/>
      <c r="AP244" s="33"/>
      <c r="AQ244" s="34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4"/>
      <c r="BM244" s="33"/>
      <c r="BN244" s="33"/>
      <c r="BO244" s="33"/>
      <c r="BP244" s="33"/>
      <c r="BQ244" s="33"/>
      <c r="BR244" s="33">
        <v>500</v>
      </c>
      <c r="BS244" s="33"/>
      <c r="BT244" s="33"/>
      <c r="BU244" s="33"/>
      <c r="BV244" s="33"/>
      <c r="BW244" s="33"/>
      <c r="BX244" s="33"/>
      <c r="BY244" s="33"/>
      <c r="BZ244" s="33"/>
      <c r="CA244" s="33"/>
      <c r="CB244" s="35"/>
      <c r="CC244" s="33"/>
      <c r="CD244" s="33"/>
      <c r="CE244" s="33"/>
      <c r="CF244" s="34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4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4">
        <v>200</v>
      </c>
      <c r="DN244" s="34" t="s">
        <v>208</v>
      </c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8"/>
    </row>
    <row r="245" spans="2:137" ht="13.2">
      <c r="B245" s="30" t="str">
        <f t="shared" si="8"/>
        <v>2023/6</v>
      </c>
      <c r="C245" s="31">
        <f t="shared" si="9"/>
        <v>800</v>
      </c>
      <c r="D245" s="32">
        <v>45096</v>
      </c>
      <c r="E245" s="33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3"/>
      <c r="R245" s="33"/>
      <c r="S245" s="33"/>
      <c r="T245" s="33"/>
      <c r="U245" s="35"/>
      <c r="V245" s="36"/>
      <c r="W245" s="37"/>
      <c r="X245" s="34"/>
      <c r="Y245" s="33"/>
      <c r="Z245" s="33"/>
      <c r="AA245" s="33"/>
      <c r="AB245" s="35"/>
      <c r="AC245" s="34"/>
      <c r="AD245" s="34"/>
      <c r="AE245" s="34"/>
      <c r="AF245" s="34"/>
      <c r="AG245" s="34"/>
      <c r="AH245" s="33"/>
      <c r="AI245" s="33"/>
      <c r="AJ245" s="34"/>
      <c r="AK245" s="33"/>
      <c r="AL245" s="33"/>
      <c r="AM245" s="33"/>
      <c r="AN245" s="34"/>
      <c r="AO245" s="34"/>
      <c r="AP245" s="33"/>
      <c r="AQ245" s="34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4"/>
      <c r="BM245" s="33"/>
      <c r="BN245" s="33"/>
      <c r="BO245" s="33"/>
      <c r="BP245" s="33"/>
      <c r="BQ245" s="33"/>
      <c r="BR245" s="33">
        <v>250</v>
      </c>
      <c r="BS245" s="33"/>
      <c r="BT245" s="33"/>
      <c r="BU245" s="33"/>
      <c r="BV245" s="33"/>
      <c r="BW245" s="33"/>
      <c r="BX245" s="33"/>
      <c r="BY245" s="33"/>
      <c r="BZ245" s="33"/>
      <c r="CA245" s="33"/>
      <c r="CB245" s="35"/>
      <c r="CC245" s="33"/>
      <c r="CD245" s="33"/>
      <c r="CE245" s="33"/>
      <c r="CF245" s="34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4">
        <v>150</v>
      </c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4">
        <v>200</v>
      </c>
      <c r="DN245" s="34"/>
      <c r="DO245" s="33">
        <v>200</v>
      </c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8"/>
    </row>
    <row r="246" spans="2:137" ht="13.2">
      <c r="B246" s="30" t="str">
        <f t="shared" si="8"/>
        <v>2023/6</v>
      </c>
      <c r="C246" s="31">
        <f t="shared" si="9"/>
        <v>150</v>
      </c>
      <c r="D246" s="32">
        <v>45103</v>
      </c>
      <c r="E246" s="33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3"/>
      <c r="R246" s="33"/>
      <c r="S246" s="33"/>
      <c r="T246" s="33"/>
      <c r="U246" s="35"/>
      <c r="V246" s="36"/>
      <c r="W246" s="37"/>
      <c r="X246" s="34"/>
      <c r="Y246" s="33"/>
      <c r="Z246" s="33"/>
      <c r="AA246" s="33"/>
      <c r="AB246" s="35"/>
      <c r="AC246" s="34"/>
      <c r="AD246" s="34"/>
      <c r="AE246" s="34"/>
      <c r="AF246" s="34"/>
      <c r="AG246" s="34"/>
      <c r="AH246" s="33"/>
      <c r="AI246" s="33"/>
      <c r="AJ246" s="34"/>
      <c r="AK246" s="33"/>
      <c r="AL246" s="33"/>
      <c r="AM246" s="33"/>
      <c r="AN246" s="34"/>
      <c r="AO246" s="34"/>
      <c r="AP246" s="33"/>
      <c r="AQ246" s="34"/>
      <c r="AR246" s="33"/>
      <c r="AS246" s="33"/>
      <c r="AT246" s="33"/>
      <c r="AU246" s="33">
        <v>150</v>
      </c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4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5"/>
      <c r="CC246" s="33"/>
      <c r="CD246" s="33"/>
      <c r="CE246" s="33"/>
      <c r="CF246" s="34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4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4"/>
      <c r="DN246" s="34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8"/>
    </row>
    <row r="247" spans="2:137" ht="13.2">
      <c r="B247" s="30" t="str">
        <f t="shared" si="8"/>
        <v>2023/6</v>
      </c>
      <c r="C247" s="31">
        <f t="shared" si="9"/>
        <v>1450</v>
      </c>
      <c r="D247" s="32">
        <v>45104</v>
      </c>
      <c r="E247" s="33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3"/>
      <c r="R247" s="33"/>
      <c r="S247" s="33"/>
      <c r="T247" s="33"/>
      <c r="U247" s="35"/>
      <c r="V247" s="36"/>
      <c r="W247" s="37"/>
      <c r="X247" s="34"/>
      <c r="Y247" s="33"/>
      <c r="Z247" s="33"/>
      <c r="AA247" s="33"/>
      <c r="AB247" s="35"/>
      <c r="AC247" s="34"/>
      <c r="AD247" s="34"/>
      <c r="AE247" s="34"/>
      <c r="AF247" s="34"/>
      <c r="AG247" s="34"/>
      <c r="AH247" s="33"/>
      <c r="AI247" s="33"/>
      <c r="AJ247" s="34"/>
      <c r="AK247" s="33"/>
      <c r="AL247" s="33"/>
      <c r="AM247" s="33"/>
      <c r="AN247" s="34"/>
      <c r="AO247" s="34"/>
      <c r="AP247" s="33"/>
      <c r="AQ247" s="34"/>
      <c r="AR247" s="33"/>
      <c r="AS247" s="33"/>
      <c r="AT247" s="33"/>
      <c r="AU247" s="33" t="s">
        <v>213</v>
      </c>
      <c r="AV247" s="33"/>
      <c r="AW247" s="33"/>
      <c r="AX247" s="33">
        <v>950</v>
      </c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4"/>
      <c r="BM247" s="33"/>
      <c r="BN247" s="33"/>
      <c r="BO247" s="33"/>
      <c r="BP247" s="33"/>
      <c r="BQ247" s="33"/>
      <c r="BR247" s="33">
        <v>500</v>
      </c>
      <c r="BS247" s="33"/>
      <c r="BT247" s="33"/>
      <c r="BU247" s="33"/>
      <c r="BV247" s="33"/>
      <c r="BW247" s="33"/>
      <c r="BX247" s="33"/>
      <c r="BY247" s="33"/>
      <c r="BZ247" s="33"/>
      <c r="CA247" s="33"/>
      <c r="CB247" s="35"/>
      <c r="CC247" s="33"/>
      <c r="CD247" s="33"/>
      <c r="CE247" s="33"/>
      <c r="CF247" s="34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4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4"/>
      <c r="DN247" s="34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8"/>
    </row>
    <row r="248" spans="2:137" ht="13.2">
      <c r="B248" s="30" t="str">
        <f t="shared" si="8"/>
        <v>2023/6</v>
      </c>
      <c r="C248" s="31">
        <f t="shared" si="9"/>
        <v>650</v>
      </c>
      <c r="D248" s="32">
        <v>45105</v>
      </c>
      <c r="E248" s="33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3"/>
      <c r="R248" s="33"/>
      <c r="S248" s="33"/>
      <c r="T248" s="33"/>
      <c r="U248" s="35"/>
      <c r="V248" s="36"/>
      <c r="W248" s="37"/>
      <c r="X248" s="34"/>
      <c r="Y248" s="33"/>
      <c r="Z248" s="33"/>
      <c r="AA248" s="33"/>
      <c r="AB248" s="35"/>
      <c r="AC248" s="34"/>
      <c r="AD248" s="34"/>
      <c r="AE248" s="34"/>
      <c r="AF248" s="34"/>
      <c r="AG248" s="34"/>
      <c r="AH248" s="33"/>
      <c r="AI248" s="33"/>
      <c r="AJ248" s="34"/>
      <c r="AK248" s="33"/>
      <c r="AL248" s="33"/>
      <c r="AM248" s="33"/>
      <c r="AN248" s="34"/>
      <c r="AO248" s="34"/>
      <c r="AP248" s="33"/>
      <c r="AQ248" s="34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4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5">
        <v>400</v>
      </c>
      <c r="CC248" s="33"/>
      <c r="CD248" s="33"/>
      <c r="CE248" s="33"/>
      <c r="CF248" s="34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4"/>
      <c r="DA248" s="33"/>
      <c r="DB248" s="33"/>
      <c r="DC248" s="33"/>
      <c r="DD248" s="33"/>
      <c r="DE248" s="33"/>
      <c r="DF248" s="33"/>
      <c r="DG248" s="33"/>
      <c r="DH248" s="33">
        <v>250</v>
      </c>
      <c r="DI248" s="33"/>
      <c r="DJ248" s="33"/>
      <c r="DK248" s="33"/>
      <c r="DL248" s="33"/>
      <c r="DM248" s="34"/>
      <c r="DN248" s="34" t="s">
        <v>210</v>
      </c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8"/>
    </row>
    <row r="249" spans="2:137" ht="13.2">
      <c r="B249" s="30" t="str">
        <f t="shared" si="8"/>
        <v>2023/6</v>
      </c>
      <c r="C249" s="31">
        <f t="shared" si="9"/>
        <v>200</v>
      </c>
      <c r="D249" s="32">
        <v>45106</v>
      </c>
      <c r="E249" s="33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3"/>
      <c r="R249" s="33"/>
      <c r="S249" s="33"/>
      <c r="T249" s="33"/>
      <c r="U249" s="35"/>
      <c r="V249" s="36"/>
      <c r="W249" s="37"/>
      <c r="X249" s="34"/>
      <c r="Y249" s="33"/>
      <c r="Z249" s="33"/>
      <c r="AA249" s="33"/>
      <c r="AB249" s="35"/>
      <c r="AC249" s="34"/>
      <c r="AD249" s="34"/>
      <c r="AE249" s="34"/>
      <c r="AF249" s="34"/>
      <c r="AG249" s="34"/>
      <c r="AH249" s="33"/>
      <c r="AI249" s="33"/>
      <c r="AJ249" s="34"/>
      <c r="AK249" s="33"/>
      <c r="AL249" s="33"/>
      <c r="AM249" s="33"/>
      <c r="AN249" s="34"/>
      <c r="AO249" s="34"/>
      <c r="AP249" s="33"/>
      <c r="AQ249" s="34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4"/>
      <c r="BM249" s="33"/>
      <c r="BN249" s="33"/>
      <c r="BO249" s="33"/>
      <c r="BP249" s="33">
        <v>200</v>
      </c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5"/>
      <c r="CC249" s="33"/>
      <c r="CD249" s="33"/>
      <c r="CE249" s="33"/>
      <c r="CF249" s="34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4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4"/>
      <c r="DN249" s="34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8"/>
    </row>
    <row r="250" spans="2:137" ht="13.2">
      <c r="B250" s="30" t="str">
        <f t="shared" si="8"/>
        <v>2023/6</v>
      </c>
      <c r="C250" s="31">
        <f t="shared" si="9"/>
        <v>950</v>
      </c>
      <c r="D250" s="32">
        <v>45107</v>
      </c>
      <c r="E250" s="33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3"/>
      <c r="R250" s="33"/>
      <c r="S250" s="33"/>
      <c r="T250" s="33"/>
      <c r="U250" s="35"/>
      <c r="V250" s="36"/>
      <c r="W250" s="37"/>
      <c r="X250" s="34"/>
      <c r="Y250" s="33"/>
      <c r="Z250" s="33"/>
      <c r="AA250" s="33"/>
      <c r="AB250" s="35"/>
      <c r="AC250" s="34"/>
      <c r="AD250" s="34"/>
      <c r="AE250" s="34"/>
      <c r="AF250" s="34"/>
      <c r="AG250" s="34"/>
      <c r="AH250" s="33"/>
      <c r="AI250" s="33"/>
      <c r="AJ250" s="34"/>
      <c r="AK250" s="33"/>
      <c r="AL250" s="33"/>
      <c r="AM250" s="33"/>
      <c r="AN250" s="34"/>
      <c r="AO250" s="34"/>
      <c r="AP250" s="33"/>
      <c r="AQ250" s="34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4" t="s">
        <v>218</v>
      </c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5"/>
      <c r="CC250" s="33"/>
      <c r="CD250" s="33"/>
      <c r="CE250" s="33"/>
      <c r="CF250" s="34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>
        <v>600</v>
      </c>
      <c r="CS250" s="33"/>
      <c r="CT250" s="33"/>
      <c r="CU250" s="33"/>
      <c r="CV250" s="33"/>
      <c r="CW250" s="33"/>
      <c r="CX250" s="33"/>
      <c r="CY250" s="33"/>
      <c r="CZ250" s="34">
        <v>150</v>
      </c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4">
        <v>200</v>
      </c>
      <c r="DN250" s="34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8"/>
    </row>
    <row r="251" spans="2:137" ht="13.2">
      <c r="B251" s="30" t="str">
        <f t="shared" si="8"/>
        <v>2023/7</v>
      </c>
      <c r="C251" s="31" t="str">
        <f t="shared" si="9"/>
        <v/>
      </c>
      <c r="D251" s="32">
        <v>45110</v>
      </c>
      <c r="E251" s="33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3"/>
      <c r="R251" s="33"/>
      <c r="S251" s="33"/>
      <c r="T251" s="33"/>
      <c r="U251" s="35"/>
      <c r="V251" s="36"/>
      <c r="W251" s="37"/>
      <c r="X251" s="34"/>
      <c r="Y251" s="33"/>
      <c r="Z251" s="33"/>
      <c r="AA251" s="33"/>
      <c r="AB251" s="35"/>
      <c r="AC251" s="34"/>
      <c r="AD251" s="34"/>
      <c r="AE251" s="34"/>
      <c r="AF251" s="34"/>
      <c r="AG251" s="34"/>
      <c r="AH251" s="33"/>
      <c r="AI251" s="33"/>
      <c r="AJ251" s="34"/>
      <c r="AK251" s="33"/>
      <c r="AL251" s="33"/>
      <c r="AM251" s="33"/>
      <c r="AN251" s="34"/>
      <c r="AO251" s="34"/>
      <c r="AP251" s="33"/>
      <c r="AQ251" s="34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4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5"/>
      <c r="CC251" s="33"/>
      <c r="CD251" s="33"/>
      <c r="CE251" s="33"/>
      <c r="CF251" s="34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4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4"/>
      <c r="DN251" s="34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8"/>
    </row>
    <row r="252" spans="2:137" ht="13.2">
      <c r="B252" s="30" t="str">
        <f t="shared" si="8"/>
        <v>2023/7</v>
      </c>
      <c r="C252" s="31">
        <f t="shared" si="9"/>
        <v>500</v>
      </c>
      <c r="D252" s="32">
        <v>45111</v>
      </c>
      <c r="E252" s="33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3"/>
      <c r="R252" s="33"/>
      <c r="S252" s="33"/>
      <c r="T252" s="33"/>
      <c r="U252" s="35"/>
      <c r="V252" s="36"/>
      <c r="W252" s="37"/>
      <c r="X252" s="34"/>
      <c r="Y252" s="33"/>
      <c r="Z252" s="33"/>
      <c r="AA252" s="33"/>
      <c r="AB252" s="35"/>
      <c r="AC252" s="34"/>
      <c r="AD252" s="34"/>
      <c r="AE252" s="34"/>
      <c r="AF252" s="34"/>
      <c r="AG252" s="34"/>
      <c r="AH252" s="33"/>
      <c r="AI252" s="33"/>
      <c r="AJ252" s="34"/>
      <c r="AK252" s="33"/>
      <c r="AL252" s="33"/>
      <c r="AM252" s="33"/>
      <c r="AN252" s="34"/>
      <c r="AO252" s="34"/>
      <c r="AP252" s="33"/>
      <c r="AQ252" s="34"/>
      <c r="AR252" s="33"/>
      <c r="AS252" s="33"/>
      <c r="AT252" s="33"/>
      <c r="AU252" s="33"/>
      <c r="AV252" s="33"/>
      <c r="AW252" s="33"/>
      <c r="AX252" s="33" t="s">
        <v>206</v>
      </c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4" t="s">
        <v>209</v>
      </c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5"/>
      <c r="CC252" s="33"/>
      <c r="CD252" s="33"/>
      <c r="CE252" s="33"/>
      <c r="CF252" s="34">
        <v>300</v>
      </c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4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4"/>
      <c r="DN252" s="34"/>
      <c r="DO252" s="33">
        <v>200</v>
      </c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8"/>
    </row>
    <row r="253" spans="2:137" ht="13.2">
      <c r="B253" s="30" t="str">
        <f t="shared" si="8"/>
        <v>2023/7</v>
      </c>
      <c r="C253" s="31">
        <f t="shared" si="9"/>
        <v>2271.25</v>
      </c>
      <c r="D253" s="32">
        <v>45112</v>
      </c>
      <c r="E253" s="33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3"/>
      <c r="R253" s="33"/>
      <c r="S253" s="33"/>
      <c r="T253" s="33"/>
      <c r="U253" s="35"/>
      <c r="V253" s="36"/>
      <c r="W253" s="37"/>
      <c r="X253" s="34"/>
      <c r="Y253" s="33"/>
      <c r="Z253" s="33"/>
      <c r="AA253" s="33"/>
      <c r="AB253" s="35"/>
      <c r="AC253" s="34"/>
      <c r="AD253" s="34"/>
      <c r="AE253" s="34"/>
      <c r="AF253" s="34"/>
      <c r="AG253" s="34"/>
      <c r="AH253" s="33"/>
      <c r="AI253" s="33"/>
      <c r="AJ253" s="34"/>
      <c r="AK253" s="33"/>
      <c r="AL253" s="33"/>
      <c r="AM253" s="33"/>
      <c r="AN253" s="34"/>
      <c r="AO253" s="34"/>
      <c r="AP253" s="33"/>
      <c r="AQ253" s="34"/>
      <c r="AR253" s="33"/>
      <c r="AS253" s="33"/>
      <c r="AT253" s="33"/>
      <c r="AU253" s="33"/>
      <c r="AV253" s="33"/>
      <c r="AW253" s="33"/>
      <c r="AX253" s="33"/>
      <c r="AY253" s="33">
        <v>250</v>
      </c>
      <c r="AZ253" s="33">
        <v>971.25</v>
      </c>
      <c r="BA253" s="33"/>
      <c r="BB253" s="33"/>
      <c r="BC253" s="33"/>
      <c r="BD253" s="33"/>
      <c r="BE253" s="33"/>
      <c r="BF253" s="33"/>
      <c r="BG253" s="33"/>
      <c r="BH253" s="33"/>
      <c r="BI253" s="33">
        <v>250</v>
      </c>
      <c r="BJ253" s="33"/>
      <c r="BK253" s="33"/>
      <c r="BL253" s="34">
        <v>800</v>
      </c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5"/>
      <c r="CC253" s="33"/>
      <c r="CD253" s="33"/>
      <c r="CE253" s="33"/>
      <c r="CF253" s="34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4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4"/>
      <c r="DN253" s="34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8"/>
    </row>
    <row r="254" spans="2:137" ht="13.2">
      <c r="B254" s="30" t="str">
        <f t="shared" si="8"/>
        <v>2023/7</v>
      </c>
      <c r="C254" s="31">
        <f t="shared" si="9"/>
        <v>150</v>
      </c>
      <c r="D254" s="32">
        <v>45113</v>
      </c>
      <c r="E254" s="33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3"/>
      <c r="R254" s="33"/>
      <c r="S254" s="33"/>
      <c r="T254" s="33"/>
      <c r="U254" s="35"/>
      <c r="V254" s="36"/>
      <c r="W254" s="37"/>
      <c r="X254" s="34"/>
      <c r="Y254" s="33"/>
      <c r="Z254" s="33"/>
      <c r="AA254" s="33"/>
      <c r="AB254" s="35"/>
      <c r="AC254" s="34"/>
      <c r="AD254" s="34"/>
      <c r="AE254" s="34"/>
      <c r="AF254" s="34"/>
      <c r="AG254" s="34"/>
      <c r="AH254" s="33"/>
      <c r="AI254" s="33"/>
      <c r="AJ254" s="34"/>
      <c r="AK254" s="33"/>
      <c r="AL254" s="33"/>
      <c r="AM254" s="33"/>
      <c r="AN254" s="34"/>
      <c r="AO254" s="34"/>
      <c r="AP254" s="33"/>
      <c r="AQ254" s="34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4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5"/>
      <c r="CC254" s="33"/>
      <c r="CD254" s="33"/>
      <c r="CE254" s="33"/>
      <c r="CF254" s="34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4">
        <v>150</v>
      </c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4"/>
      <c r="DN254" s="34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8"/>
    </row>
    <row r="255" spans="2:137" ht="13.2">
      <c r="B255" s="30" t="str">
        <f t="shared" si="8"/>
        <v>2023/7</v>
      </c>
      <c r="C255" s="31">
        <f t="shared" si="9"/>
        <v>950</v>
      </c>
      <c r="D255" s="32">
        <v>45114</v>
      </c>
      <c r="E255" s="33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3"/>
      <c r="R255" s="33"/>
      <c r="S255" s="33"/>
      <c r="T255" s="33"/>
      <c r="U255" s="35"/>
      <c r="V255" s="36"/>
      <c r="W255" s="37"/>
      <c r="X255" s="34"/>
      <c r="Y255" s="33"/>
      <c r="Z255" s="33"/>
      <c r="AA255" s="33"/>
      <c r="AB255" s="35"/>
      <c r="AC255" s="34"/>
      <c r="AD255" s="34"/>
      <c r="AE255" s="34"/>
      <c r="AF255" s="34"/>
      <c r="AG255" s="34"/>
      <c r="AH255" s="33"/>
      <c r="AI255" s="33"/>
      <c r="AJ255" s="34"/>
      <c r="AK255" s="33"/>
      <c r="AL255" s="33"/>
      <c r="AM255" s="33"/>
      <c r="AN255" s="34"/>
      <c r="AO255" s="34"/>
      <c r="AP255" s="33"/>
      <c r="AQ255" s="34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4"/>
      <c r="BM255" s="33"/>
      <c r="BN255" s="33"/>
      <c r="BO255" s="33"/>
      <c r="BP255" s="33"/>
      <c r="BQ255" s="33"/>
      <c r="BR255" s="33">
        <v>500</v>
      </c>
      <c r="BS255" s="33"/>
      <c r="BT255" s="33"/>
      <c r="BU255" s="33"/>
      <c r="BV255" s="33"/>
      <c r="BW255" s="33"/>
      <c r="BX255" s="33"/>
      <c r="BY255" s="33"/>
      <c r="BZ255" s="33"/>
      <c r="CA255" s="33"/>
      <c r="CB255" s="35"/>
      <c r="CC255" s="33"/>
      <c r="CD255" s="33"/>
      <c r="CE255" s="33"/>
      <c r="CF255" s="34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4"/>
      <c r="DA255" s="33"/>
      <c r="DB255" s="33"/>
      <c r="DC255" s="33"/>
      <c r="DD255" s="33"/>
      <c r="DE255" s="33"/>
      <c r="DF255" s="33"/>
      <c r="DG255" s="33"/>
      <c r="DH255" s="33">
        <v>250</v>
      </c>
      <c r="DI255" s="33"/>
      <c r="DJ255" s="33"/>
      <c r="DK255" s="33"/>
      <c r="DL255" s="33"/>
      <c r="DM255" s="34">
        <v>200</v>
      </c>
      <c r="DN255" s="34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8"/>
    </row>
    <row r="256" spans="2:137" ht="13.2">
      <c r="B256" s="30" t="str">
        <f t="shared" si="8"/>
        <v>2023/7</v>
      </c>
      <c r="C256" s="31">
        <f t="shared" si="9"/>
        <v>1450</v>
      </c>
      <c r="D256" s="32">
        <v>45118</v>
      </c>
      <c r="E256" s="33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3"/>
      <c r="R256" s="33"/>
      <c r="S256" s="33"/>
      <c r="T256" s="33"/>
      <c r="U256" s="35"/>
      <c r="V256" s="36"/>
      <c r="W256" s="37"/>
      <c r="X256" s="34"/>
      <c r="Y256" s="33"/>
      <c r="Z256" s="33"/>
      <c r="AA256" s="33"/>
      <c r="AB256" s="35"/>
      <c r="AC256" s="34"/>
      <c r="AD256" s="34"/>
      <c r="AE256" s="34"/>
      <c r="AF256" s="34"/>
      <c r="AG256" s="34"/>
      <c r="AH256" s="33"/>
      <c r="AI256" s="33"/>
      <c r="AJ256" s="34"/>
      <c r="AK256" s="33"/>
      <c r="AL256" s="33"/>
      <c r="AM256" s="33"/>
      <c r="AN256" s="34"/>
      <c r="AO256" s="34"/>
      <c r="AP256" s="33"/>
      <c r="AQ256" s="34"/>
      <c r="AR256" s="33"/>
      <c r="AS256" s="33"/>
      <c r="AT256" s="33"/>
      <c r="AU256" s="33"/>
      <c r="AV256" s="33"/>
      <c r="AW256" s="33">
        <v>250</v>
      </c>
      <c r="AX256" s="33" t="s">
        <v>207</v>
      </c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>
        <v>250</v>
      </c>
      <c r="BJ256" s="33"/>
      <c r="BK256" s="33"/>
      <c r="BL256" s="34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5"/>
      <c r="CC256" s="33"/>
      <c r="CD256" s="33"/>
      <c r="CE256" s="33"/>
      <c r="CF256" s="34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>
        <v>250</v>
      </c>
      <c r="CV256" s="33"/>
      <c r="CW256" s="33"/>
      <c r="CX256" s="33"/>
      <c r="CY256" s="33"/>
      <c r="CZ256" s="34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4"/>
      <c r="DN256" s="34">
        <v>700</v>
      </c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8"/>
    </row>
    <row r="257" spans="2:137" ht="13.2">
      <c r="B257" s="30" t="str">
        <f t="shared" si="8"/>
        <v>2023/7</v>
      </c>
      <c r="C257" s="31">
        <f t="shared" si="9"/>
        <v>250</v>
      </c>
      <c r="D257" s="32">
        <v>45119</v>
      </c>
      <c r="E257" s="33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3"/>
      <c r="R257" s="33"/>
      <c r="S257" s="33"/>
      <c r="T257" s="33"/>
      <c r="U257" s="35"/>
      <c r="V257" s="36"/>
      <c r="W257" s="37"/>
      <c r="X257" s="34"/>
      <c r="Y257" s="33"/>
      <c r="Z257" s="33"/>
      <c r="AA257" s="33"/>
      <c r="AB257" s="35"/>
      <c r="AC257" s="34"/>
      <c r="AD257" s="34"/>
      <c r="AE257" s="34"/>
      <c r="AF257" s="34"/>
      <c r="AG257" s="34"/>
      <c r="AH257" s="33"/>
      <c r="AI257" s="33"/>
      <c r="AJ257" s="34"/>
      <c r="AK257" s="33"/>
      <c r="AL257" s="33"/>
      <c r="AM257" s="33"/>
      <c r="AN257" s="34"/>
      <c r="AO257" s="34"/>
      <c r="AP257" s="33"/>
      <c r="AQ257" s="34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4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5"/>
      <c r="CC257" s="33"/>
      <c r="CD257" s="33"/>
      <c r="CE257" s="33"/>
      <c r="CF257" s="34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4"/>
      <c r="DA257" s="33"/>
      <c r="DB257" s="33"/>
      <c r="DC257" s="33"/>
      <c r="DD257" s="33"/>
      <c r="DE257" s="33"/>
      <c r="DF257" s="33"/>
      <c r="DG257" s="33"/>
      <c r="DH257" s="33">
        <v>250</v>
      </c>
      <c r="DI257" s="33"/>
      <c r="DJ257" s="33"/>
      <c r="DK257" s="33"/>
      <c r="DL257" s="33"/>
      <c r="DM257" s="34"/>
      <c r="DN257" s="34" t="s">
        <v>206</v>
      </c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8"/>
    </row>
    <row r="258" spans="2:137" ht="13.2">
      <c r="B258" s="30" t="str">
        <f t="shared" si="8"/>
        <v>2023/7</v>
      </c>
      <c r="C258" s="31">
        <f t="shared" si="9"/>
        <v>650</v>
      </c>
      <c r="D258" s="32">
        <v>45120</v>
      </c>
      <c r="E258" s="33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3"/>
      <c r="R258" s="33"/>
      <c r="S258" s="33"/>
      <c r="T258" s="33"/>
      <c r="U258" s="35"/>
      <c r="V258" s="36"/>
      <c r="W258" s="37"/>
      <c r="X258" s="34"/>
      <c r="Y258" s="33"/>
      <c r="Z258" s="33"/>
      <c r="AA258" s="33"/>
      <c r="AB258" s="35"/>
      <c r="AC258" s="34"/>
      <c r="AD258" s="34"/>
      <c r="AE258" s="34"/>
      <c r="AF258" s="34"/>
      <c r="AG258" s="34"/>
      <c r="AH258" s="33"/>
      <c r="AI258" s="33"/>
      <c r="AJ258" s="34"/>
      <c r="AK258" s="33"/>
      <c r="AL258" s="33"/>
      <c r="AM258" s="33"/>
      <c r="AN258" s="34"/>
      <c r="AO258" s="34"/>
      <c r="AP258" s="33"/>
      <c r="AQ258" s="34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4"/>
      <c r="BM258" s="33"/>
      <c r="BN258" s="33"/>
      <c r="BO258" s="33"/>
      <c r="BP258" s="33">
        <v>200</v>
      </c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5"/>
      <c r="CC258" s="33"/>
      <c r="CD258" s="33"/>
      <c r="CE258" s="33"/>
      <c r="CF258" s="34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4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4">
        <v>200</v>
      </c>
      <c r="DN258" s="34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>
        <v>250</v>
      </c>
      <c r="DZ258" s="33"/>
      <c r="EA258" s="33"/>
      <c r="EB258" s="33"/>
      <c r="EC258" s="33"/>
      <c r="ED258" s="33"/>
      <c r="EE258" s="33"/>
      <c r="EF258" s="33"/>
      <c r="EG258" s="38"/>
    </row>
    <row r="259" spans="2:137" ht="13.2">
      <c r="B259" s="30" t="str">
        <f t="shared" si="8"/>
        <v>2023/7</v>
      </c>
      <c r="C259" s="31">
        <f t="shared" si="9"/>
        <v>2000</v>
      </c>
      <c r="D259" s="32">
        <v>45121</v>
      </c>
      <c r="E259" s="33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3"/>
      <c r="R259" s="33"/>
      <c r="S259" s="33"/>
      <c r="T259" s="33"/>
      <c r="U259" s="35"/>
      <c r="V259" s="36"/>
      <c r="W259" s="37"/>
      <c r="X259" s="34"/>
      <c r="Y259" s="33"/>
      <c r="Z259" s="33"/>
      <c r="AA259" s="33"/>
      <c r="AB259" s="35"/>
      <c r="AC259" s="34"/>
      <c r="AD259" s="34"/>
      <c r="AE259" s="34"/>
      <c r="AF259" s="34"/>
      <c r="AG259" s="34"/>
      <c r="AH259" s="33"/>
      <c r="AI259" s="33"/>
      <c r="AJ259" s="34"/>
      <c r="AK259" s="33"/>
      <c r="AL259" s="33"/>
      <c r="AM259" s="33"/>
      <c r="AN259" s="34"/>
      <c r="AO259" s="34"/>
      <c r="AP259" s="33"/>
      <c r="AQ259" s="34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4" t="s">
        <v>206</v>
      </c>
      <c r="BM259" s="33"/>
      <c r="BN259" s="33"/>
      <c r="BO259" s="33"/>
      <c r="BP259" s="33"/>
      <c r="BQ259" s="33"/>
      <c r="BR259" s="33">
        <v>500</v>
      </c>
      <c r="BS259" s="33"/>
      <c r="BT259" s="33"/>
      <c r="BU259" s="33"/>
      <c r="BV259" s="33"/>
      <c r="BW259" s="33"/>
      <c r="BX259" s="33"/>
      <c r="BY259" s="33"/>
      <c r="BZ259" s="33"/>
      <c r="CA259" s="33"/>
      <c r="CB259" s="35"/>
      <c r="CC259" s="33"/>
      <c r="CD259" s="33"/>
      <c r="CE259" s="33"/>
      <c r="CF259" s="34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>
        <v>1250</v>
      </c>
      <c r="CY259" s="33"/>
      <c r="CZ259" s="34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4"/>
      <c r="DN259" s="34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>
        <v>250</v>
      </c>
      <c r="DZ259" s="33"/>
      <c r="EA259" s="33"/>
      <c r="EB259" s="33"/>
      <c r="EC259" s="33"/>
      <c r="ED259" s="33"/>
      <c r="EE259" s="33"/>
      <c r="EF259" s="33"/>
      <c r="EG259" s="38"/>
    </row>
    <row r="260" spans="2:137" ht="13.2">
      <c r="B260" s="30" t="str">
        <f t="shared" ref="B260:B323" si="10">IF(D260&gt;0, CONCATENATE(YEAR(D260),"/",MONTH(D260)),"")</f>
        <v>2023/7</v>
      </c>
      <c r="C260" s="31">
        <f t="shared" ref="C260:C323" si="11">IF(SUM(E260:EG260)=0,"",SUM(E260:EG260))</f>
        <v>950</v>
      </c>
      <c r="D260" s="32">
        <v>45125</v>
      </c>
      <c r="E260" s="33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3"/>
      <c r="R260" s="33"/>
      <c r="S260" s="33"/>
      <c r="T260" s="33"/>
      <c r="U260" s="35"/>
      <c r="V260" s="36"/>
      <c r="W260" s="37"/>
      <c r="X260" s="34"/>
      <c r="Y260" s="33"/>
      <c r="Z260" s="33"/>
      <c r="AA260" s="33"/>
      <c r="AB260" s="35"/>
      <c r="AC260" s="34"/>
      <c r="AD260" s="34"/>
      <c r="AE260" s="34"/>
      <c r="AF260" s="34"/>
      <c r="AG260" s="34"/>
      <c r="AH260" s="33"/>
      <c r="AI260" s="33"/>
      <c r="AJ260" s="34"/>
      <c r="AK260" s="33"/>
      <c r="AL260" s="33"/>
      <c r="AM260" s="33"/>
      <c r="AN260" s="34"/>
      <c r="AO260" s="34"/>
      <c r="AP260" s="33"/>
      <c r="AQ260" s="34"/>
      <c r="AR260" s="33"/>
      <c r="AS260" s="33"/>
      <c r="AT260" s="33"/>
      <c r="AU260" s="33"/>
      <c r="AV260" s="33"/>
      <c r="AW260" s="33"/>
      <c r="AX260" s="33" t="s">
        <v>208</v>
      </c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4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5"/>
      <c r="CC260" s="33"/>
      <c r="CD260" s="33"/>
      <c r="CE260" s="33"/>
      <c r="CF260" s="34">
        <v>300</v>
      </c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>
        <v>400</v>
      </c>
      <c r="CS260" s="33"/>
      <c r="CT260" s="33"/>
      <c r="CU260" s="33">
        <v>250</v>
      </c>
      <c r="CV260" s="33"/>
      <c r="CW260" s="33"/>
      <c r="CX260" s="33"/>
      <c r="CY260" s="33"/>
      <c r="CZ260" s="34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4"/>
      <c r="DN260" s="34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8"/>
    </row>
    <row r="261" spans="2:137" ht="13.2">
      <c r="B261" s="30" t="str">
        <f t="shared" si="10"/>
        <v>2023/7</v>
      </c>
      <c r="C261" s="31">
        <f t="shared" si="11"/>
        <v>200</v>
      </c>
      <c r="D261" s="32">
        <v>45126</v>
      </c>
      <c r="E261" s="33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3"/>
      <c r="R261" s="33"/>
      <c r="S261" s="33"/>
      <c r="T261" s="33"/>
      <c r="U261" s="35"/>
      <c r="V261" s="36"/>
      <c r="W261" s="37"/>
      <c r="X261" s="34"/>
      <c r="Y261" s="33"/>
      <c r="Z261" s="33"/>
      <c r="AA261" s="33"/>
      <c r="AB261" s="35"/>
      <c r="AC261" s="34"/>
      <c r="AD261" s="34"/>
      <c r="AE261" s="34"/>
      <c r="AF261" s="34"/>
      <c r="AG261" s="34"/>
      <c r="AH261" s="33"/>
      <c r="AI261" s="33"/>
      <c r="AJ261" s="34"/>
      <c r="AK261" s="33"/>
      <c r="AL261" s="33"/>
      <c r="AM261" s="33"/>
      <c r="AN261" s="34"/>
      <c r="AO261" s="34"/>
      <c r="AP261" s="33"/>
      <c r="AQ261" s="34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4"/>
      <c r="BM261" s="33"/>
      <c r="BN261" s="33"/>
      <c r="BO261" s="33"/>
      <c r="BP261" s="33">
        <v>200</v>
      </c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5"/>
      <c r="CC261" s="33"/>
      <c r="CD261" s="33"/>
      <c r="CE261" s="33"/>
      <c r="CF261" s="34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 t="s">
        <v>209</v>
      </c>
      <c r="CY261" s="33"/>
      <c r="CZ261" s="34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4"/>
      <c r="DN261" s="34" t="s">
        <v>207</v>
      </c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8"/>
    </row>
    <row r="262" spans="2:137" ht="13.2">
      <c r="B262" s="30" t="str">
        <f t="shared" si="10"/>
        <v>2023/7</v>
      </c>
      <c r="C262" s="31" t="str">
        <f t="shared" si="11"/>
        <v/>
      </c>
      <c r="D262" s="32">
        <v>45127</v>
      </c>
      <c r="E262" s="33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3"/>
      <c r="R262" s="33"/>
      <c r="S262" s="33"/>
      <c r="T262" s="33"/>
      <c r="U262" s="35"/>
      <c r="V262" s="36"/>
      <c r="W262" s="37"/>
      <c r="X262" s="34"/>
      <c r="Y262" s="33"/>
      <c r="Z262" s="33"/>
      <c r="AA262" s="33"/>
      <c r="AB262" s="35"/>
      <c r="AC262" s="34"/>
      <c r="AD262" s="34"/>
      <c r="AE262" s="34"/>
      <c r="AF262" s="34"/>
      <c r="AG262" s="34"/>
      <c r="AH262" s="33"/>
      <c r="AI262" s="33"/>
      <c r="AJ262" s="34"/>
      <c r="AK262" s="33"/>
      <c r="AL262" s="33"/>
      <c r="AM262" s="33"/>
      <c r="AN262" s="34"/>
      <c r="AO262" s="34"/>
      <c r="AP262" s="33"/>
      <c r="AQ262" s="34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4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5"/>
      <c r="CC262" s="33"/>
      <c r="CD262" s="33"/>
      <c r="CE262" s="33"/>
      <c r="CF262" s="34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4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4"/>
      <c r="DN262" s="34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8"/>
    </row>
    <row r="263" spans="2:137" ht="13.2">
      <c r="B263" s="30" t="str">
        <f t="shared" si="10"/>
        <v>2023/7</v>
      </c>
      <c r="C263" s="31">
        <f t="shared" si="11"/>
        <v>650</v>
      </c>
      <c r="D263" s="32">
        <v>45128</v>
      </c>
      <c r="E263" s="33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3"/>
      <c r="R263" s="33"/>
      <c r="S263" s="33"/>
      <c r="T263" s="33"/>
      <c r="U263" s="35"/>
      <c r="V263" s="36"/>
      <c r="W263" s="37"/>
      <c r="X263" s="34"/>
      <c r="Y263" s="33"/>
      <c r="Z263" s="33"/>
      <c r="AA263" s="33"/>
      <c r="AB263" s="35"/>
      <c r="AC263" s="34"/>
      <c r="AD263" s="34"/>
      <c r="AE263" s="34"/>
      <c r="AF263" s="34"/>
      <c r="AG263" s="34"/>
      <c r="AH263" s="33"/>
      <c r="AI263" s="33"/>
      <c r="AJ263" s="34"/>
      <c r="AK263" s="33"/>
      <c r="AL263" s="33"/>
      <c r="AM263" s="33"/>
      <c r="AN263" s="34"/>
      <c r="AO263" s="34"/>
      <c r="AP263" s="33"/>
      <c r="AQ263" s="34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4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5"/>
      <c r="CC263" s="33"/>
      <c r="CD263" s="33"/>
      <c r="CE263" s="33"/>
      <c r="CF263" s="34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4">
        <v>200</v>
      </c>
      <c r="DA263" s="33"/>
      <c r="DB263" s="33"/>
      <c r="DC263" s="33"/>
      <c r="DD263" s="33"/>
      <c r="DE263" s="33"/>
      <c r="DF263" s="33"/>
      <c r="DG263" s="33"/>
      <c r="DH263" s="33">
        <v>250</v>
      </c>
      <c r="DI263" s="33"/>
      <c r="DJ263" s="33"/>
      <c r="DK263" s="33"/>
      <c r="DL263" s="33"/>
      <c r="DM263" s="34">
        <v>200</v>
      </c>
      <c r="DN263" s="34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8"/>
    </row>
    <row r="264" spans="2:137" ht="13.2">
      <c r="B264" s="30" t="str">
        <f t="shared" si="10"/>
        <v>2023/7</v>
      </c>
      <c r="C264" s="31">
        <f t="shared" si="11"/>
        <v>500</v>
      </c>
      <c r="D264" s="32">
        <v>45131</v>
      </c>
      <c r="E264" s="33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3"/>
      <c r="R264" s="33"/>
      <c r="S264" s="33"/>
      <c r="T264" s="33"/>
      <c r="U264" s="35"/>
      <c r="V264" s="36"/>
      <c r="W264" s="37"/>
      <c r="X264" s="34"/>
      <c r="Y264" s="33"/>
      <c r="Z264" s="33"/>
      <c r="AA264" s="33"/>
      <c r="AB264" s="35"/>
      <c r="AC264" s="34"/>
      <c r="AD264" s="34"/>
      <c r="AE264" s="34"/>
      <c r="AF264" s="34"/>
      <c r="AG264" s="34"/>
      <c r="AH264" s="33"/>
      <c r="AI264" s="33"/>
      <c r="AJ264" s="34"/>
      <c r="AK264" s="33"/>
      <c r="AL264" s="33"/>
      <c r="AM264" s="33"/>
      <c r="AN264" s="34"/>
      <c r="AO264" s="34"/>
      <c r="AP264" s="33"/>
      <c r="AQ264" s="34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4"/>
      <c r="BM264" s="33"/>
      <c r="BN264" s="33"/>
      <c r="BO264" s="33"/>
      <c r="BP264" s="33"/>
      <c r="BQ264" s="33"/>
      <c r="BR264" s="33">
        <v>500</v>
      </c>
      <c r="BS264" s="33"/>
      <c r="BT264" s="33"/>
      <c r="BU264" s="33"/>
      <c r="BV264" s="33"/>
      <c r="BW264" s="33"/>
      <c r="BX264" s="33"/>
      <c r="BY264" s="33"/>
      <c r="BZ264" s="33"/>
      <c r="CA264" s="33"/>
      <c r="CB264" s="35"/>
      <c r="CC264" s="33"/>
      <c r="CD264" s="33"/>
      <c r="CE264" s="33"/>
      <c r="CF264" s="34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4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4"/>
      <c r="DN264" s="34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8"/>
    </row>
    <row r="265" spans="2:137" ht="13.2">
      <c r="B265" s="30" t="str">
        <f t="shared" si="10"/>
        <v>2023/7</v>
      </c>
      <c r="C265" s="31">
        <f t="shared" si="11"/>
        <v>700</v>
      </c>
      <c r="D265" s="32">
        <v>45132</v>
      </c>
      <c r="E265" s="33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3"/>
      <c r="R265" s="33"/>
      <c r="S265" s="33"/>
      <c r="T265" s="33"/>
      <c r="U265" s="35"/>
      <c r="V265" s="36"/>
      <c r="W265" s="37"/>
      <c r="X265" s="34"/>
      <c r="Y265" s="33"/>
      <c r="Z265" s="33"/>
      <c r="AA265" s="33"/>
      <c r="AB265" s="35"/>
      <c r="AC265" s="34"/>
      <c r="AD265" s="34"/>
      <c r="AE265" s="34"/>
      <c r="AF265" s="34"/>
      <c r="AG265" s="34"/>
      <c r="AH265" s="33"/>
      <c r="AI265" s="33"/>
      <c r="AJ265" s="34"/>
      <c r="AK265" s="33"/>
      <c r="AL265" s="33"/>
      <c r="AM265" s="33"/>
      <c r="AN265" s="34"/>
      <c r="AO265" s="34"/>
      <c r="AP265" s="33"/>
      <c r="AQ265" s="34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4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5"/>
      <c r="CC265" s="33"/>
      <c r="CD265" s="33"/>
      <c r="CE265" s="33"/>
      <c r="CF265" s="34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4"/>
      <c r="DA265" s="33"/>
      <c r="DB265" s="33"/>
      <c r="DC265" s="33"/>
      <c r="DD265" s="33"/>
      <c r="DE265" s="33"/>
      <c r="DF265" s="33"/>
      <c r="DG265" s="33"/>
      <c r="DH265" s="33">
        <v>250</v>
      </c>
      <c r="DI265" s="33"/>
      <c r="DJ265" s="33"/>
      <c r="DK265" s="33"/>
      <c r="DL265" s="33"/>
      <c r="DM265" s="34"/>
      <c r="DN265" s="34"/>
      <c r="DO265" s="33">
        <v>200</v>
      </c>
      <c r="DP265" s="33"/>
      <c r="DQ265" s="33"/>
      <c r="DR265" s="33"/>
      <c r="DS265" s="33"/>
      <c r="DT265" s="33"/>
      <c r="DU265" s="33"/>
      <c r="DV265" s="33"/>
      <c r="DW265" s="33"/>
      <c r="DX265" s="33"/>
      <c r="DY265" s="33">
        <v>250</v>
      </c>
      <c r="DZ265" s="33"/>
      <c r="EA265" s="33"/>
      <c r="EB265" s="33"/>
      <c r="EC265" s="33"/>
      <c r="ED265" s="33"/>
      <c r="EE265" s="33"/>
      <c r="EF265" s="33"/>
      <c r="EG265" s="38"/>
    </row>
    <row r="266" spans="2:137" ht="13.2">
      <c r="B266" s="30" t="str">
        <f t="shared" si="10"/>
        <v>2023/7</v>
      </c>
      <c r="C266" s="31">
        <f t="shared" si="11"/>
        <v>250</v>
      </c>
      <c r="D266" s="32">
        <v>45133</v>
      </c>
      <c r="E266" s="33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3"/>
      <c r="R266" s="33"/>
      <c r="S266" s="33"/>
      <c r="T266" s="33"/>
      <c r="U266" s="35"/>
      <c r="V266" s="36"/>
      <c r="W266" s="37"/>
      <c r="X266" s="34"/>
      <c r="Y266" s="33"/>
      <c r="Z266" s="33"/>
      <c r="AA266" s="33"/>
      <c r="AB266" s="35"/>
      <c r="AC266" s="34"/>
      <c r="AD266" s="34"/>
      <c r="AE266" s="34"/>
      <c r="AF266" s="34"/>
      <c r="AG266" s="34"/>
      <c r="AH266" s="33"/>
      <c r="AI266" s="33"/>
      <c r="AJ266" s="34"/>
      <c r="AK266" s="33"/>
      <c r="AL266" s="33"/>
      <c r="AM266" s="33"/>
      <c r="AN266" s="34"/>
      <c r="AO266" s="34"/>
      <c r="AP266" s="33"/>
      <c r="AQ266" s="34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4" t="s">
        <v>207</v>
      </c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5"/>
      <c r="CC266" s="33"/>
      <c r="CD266" s="33"/>
      <c r="CE266" s="33"/>
      <c r="CF266" s="34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>
        <v>250</v>
      </c>
      <c r="CV266" s="33"/>
      <c r="CW266" s="33"/>
      <c r="CX266" s="33" t="s">
        <v>206</v>
      </c>
      <c r="CY266" s="33"/>
      <c r="CZ266" s="34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4"/>
      <c r="DN266" s="34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8"/>
    </row>
    <row r="267" spans="2:137" ht="13.2">
      <c r="B267" s="30" t="str">
        <f t="shared" si="10"/>
        <v>2023/8</v>
      </c>
      <c r="C267" s="31">
        <f t="shared" si="11"/>
        <v>700</v>
      </c>
      <c r="D267" s="32">
        <v>45140</v>
      </c>
      <c r="E267" s="33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3"/>
      <c r="R267" s="33"/>
      <c r="S267" s="33"/>
      <c r="T267" s="33"/>
      <c r="U267" s="35"/>
      <c r="V267" s="36"/>
      <c r="W267" s="37"/>
      <c r="X267" s="34"/>
      <c r="Y267" s="33"/>
      <c r="Z267" s="33"/>
      <c r="AA267" s="33"/>
      <c r="AB267" s="35"/>
      <c r="AC267" s="34"/>
      <c r="AD267" s="34"/>
      <c r="AE267" s="34"/>
      <c r="AF267" s="34"/>
      <c r="AG267" s="34"/>
      <c r="AH267" s="33"/>
      <c r="AI267" s="33"/>
      <c r="AJ267" s="34"/>
      <c r="AK267" s="33"/>
      <c r="AL267" s="33"/>
      <c r="AM267" s="33"/>
      <c r="AN267" s="34"/>
      <c r="AO267" s="34"/>
      <c r="AP267" s="33"/>
      <c r="AQ267" s="34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>
        <v>200</v>
      </c>
      <c r="BC267" s="33"/>
      <c r="BD267" s="33"/>
      <c r="BE267" s="33"/>
      <c r="BF267" s="33"/>
      <c r="BG267" s="33"/>
      <c r="BH267" s="33"/>
      <c r="BI267" s="33"/>
      <c r="BJ267" s="33"/>
      <c r="BK267" s="33"/>
      <c r="BL267" s="34"/>
      <c r="BM267" s="33"/>
      <c r="BN267" s="33"/>
      <c r="BO267" s="33"/>
      <c r="BP267" s="33"/>
      <c r="BQ267" s="33"/>
      <c r="BR267" s="33">
        <v>500</v>
      </c>
      <c r="BS267" s="33"/>
      <c r="BT267" s="33"/>
      <c r="BU267" s="33"/>
      <c r="BV267" s="33"/>
      <c r="BW267" s="33"/>
      <c r="BX267" s="33"/>
      <c r="BY267" s="33"/>
      <c r="BZ267" s="33"/>
      <c r="CA267" s="33"/>
      <c r="CB267" s="35"/>
      <c r="CC267" s="33"/>
      <c r="CD267" s="33"/>
      <c r="CE267" s="33"/>
      <c r="CF267" s="34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 t="s">
        <v>229</v>
      </c>
      <c r="CY267" s="33"/>
      <c r="CZ267" s="34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4"/>
      <c r="DN267" s="34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8"/>
    </row>
    <row r="268" spans="2:137" ht="13.2">
      <c r="B268" s="30" t="str">
        <f t="shared" si="10"/>
        <v>2023/8</v>
      </c>
      <c r="C268" s="31">
        <f t="shared" si="11"/>
        <v>2200</v>
      </c>
      <c r="D268" s="32">
        <v>45141</v>
      </c>
      <c r="E268" s="33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3"/>
      <c r="R268" s="33"/>
      <c r="S268" s="33"/>
      <c r="T268" s="33"/>
      <c r="U268" s="35"/>
      <c r="V268" s="36"/>
      <c r="W268" s="37"/>
      <c r="X268" s="34"/>
      <c r="Y268" s="33"/>
      <c r="Z268" s="33"/>
      <c r="AA268" s="33"/>
      <c r="AB268" s="35"/>
      <c r="AC268" s="34"/>
      <c r="AD268" s="34"/>
      <c r="AE268" s="34"/>
      <c r="AF268" s="34"/>
      <c r="AG268" s="34"/>
      <c r="AH268" s="33"/>
      <c r="AI268" s="33"/>
      <c r="AJ268" s="34"/>
      <c r="AK268" s="33"/>
      <c r="AL268" s="33"/>
      <c r="AM268" s="33"/>
      <c r="AN268" s="34"/>
      <c r="AO268" s="34"/>
      <c r="AP268" s="33"/>
      <c r="AQ268" s="34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>
        <v>250</v>
      </c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4"/>
      <c r="BM268" s="33"/>
      <c r="BN268" s="33"/>
      <c r="BO268" s="33"/>
      <c r="BP268" s="33">
        <v>200</v>
      </c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5">
        <v>400</v>
      </c>
      <c r="CC268" s="33"/>
      <c r="CD268" s="33"/>
      <c r="CE268" s="33"/>
      <c r="CF268" s="34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>
        <v>600</v>
      </c>
      <c r="CS268" s="33"/>
      <c r="CT268" s="33"/>
      <c r="CU268" s="33">
        <v>250</v>
      </c>
      <c r="CV268" s="33"/>
      <c r="CW268" s="33"/>
      <c r="CX268" s="33"/>
      <c r="CY268" s="33"/>
      <c r="CZ268" s="34"/>
      <c r="DA268" s="33"/>
      <c r="DB268" s="33"/>
      <c r="DC268" s="33"/>
      <c r="DD268" s="33"/>
      <c r="DE268" s="33"/>
      <c r="DF268" s="33"/>
      <c r="DG268" s="33"/>
      <c r="DH268" s="33">
        <v>250</v>
      </c>
      <c r="DI268" s="33"/>
      <c r="DJ268" s="33"/>
      <c r="DK268" s="33"/>
      <c r="DL268" s="33"/>
      <c r="DM268" s="34"/>
      <c r="DN268" s="34" t="s">
        <v>208</v>
      </c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>
        <v>250</v>
      </c>
      <c r="DZ268" s="33"/>
      <c r="EA268" s="33"/>
      <c r="EB268" s="33"/>
      <c r="EC268" s="33"/>
      <c r="ED268" s="33"/>
      <c r="EE268" s="33"/>
      <c r="EF268" s="33"/>
      <c r="EG268" s="38"/>
    </row>
    <row r="269" spans="2:137" ht="13.2">
      <c r="B269" s="30" t="str">
        <f t="shared" si="10"/>
        <v>2023/8</v>
      </c>
      <c r="C269" s="31">
        <f t="shared" si="11"/>
        <v>2806.88</v>
      </c>
      <c r="D269" s="32">
        <v>45142</v>
      </c>
      <c r="E269" s="33">
        <v>250</v>
      </c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3"/>
      <c r="R269" s="33"/>
      <c r="S269" s="33"/>
      <c r="T269" s="33"/>
      <c r="U269" s="35"/>
      <c r="V269" s="36"/>
      <c r="W269" s="37"/>
      <c r="X269" s="34"/>
      <c r="Y269" s="33"/>
      <c r="Z269" s="33"/>
      <c r="AA269" s="33"/>
      <c r="AB269" s="35"/>
      <c r="AC269" s="34"/>
      <c r="AD269" s="34"/>
      <c r="AE269" s="34"/>
      <c r="AF269" s="34"/>
      <c r="AG269" s="34"/>
      <c r="AH269" s="33"/>
      <c r="AI269" s="33"/>
      <c r="AJ269" s="34"/>
      <c r="AK269" s="33"/>
      <c r="AL269" s="33"/>
      <c r="AM269" s="33"/>
      <c r="AN269" s="34"/>
      <c r="AO269" s="34"/>
      <c r="AP269" s="33"/>
      <c r="AQ269" s="34"/>
      <c r="AR269" s="33"/>
      <c r="AS269" s="33"/>
      <c r="AT269" s="33"/>
      <c r="AU269" s="33"/>
      <c r="AV269" s="33"/>
      <c r="AW269" s="33"/>
      <c r="AX269" s="33"/>
      <c r="AY269" s="33"/>
      <c r="AZ269" s="33">
        <v>2156.88</v>
      </c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4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5"/>
      <c r="CC269" s="33"/>
      <c r="CD269" s="33"/>
      <c r="CE269" s="33"/>
      <c r="CF269" s="34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4">
        <v>200</v>
      </c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4">
        <v>200</v>
      </c>
      <c r="DN269" s="34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8"/>
    </row>
    <row r="270" spans="2:137" ht="13.2">
      <c r="B270" s="30" t="str">
        <f t="shared" si="10"/>
        <v>2023/8</v>
      </c>
      <c r="C270" s="31" t="str">
        <f t="shared" si="11"/>
        <v/>
      </c>
      <c r="D270" s="32">
        <v>45145</v>
      </c>
      <c r="E270" s="33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3"/>
      <c r="R270" s="33"/>
      <c r="S270" s="33"/>
      <c r="T270" s="33"/>
      <c r="U270" s="35"/>
      <c r="V270" s="36"/>
      <c r="W270" s="37"/>
      <c r="X270" s="34"/>
      <c r="Y270" s="33"/>
      <c r="Z270" s="33"/>
      <c r="AA270" s="33"/>
      <c r="AB270" s="35"/>
      <c r="AC270" s="34"/>
      <c r="AD270" s="34"/>
      <c r="AE270" s="34"/>
      <c r="AF270" s="34"/>
      <c r="AG270" s="34"/>
      <c r="AH270" s="33"/>
      <c r="AI270" s="33"/>
      <c r="AJ270" s="34"/>
      <c r="AK270" s="33"/>
      <c r="AL270" s="33"/>
      <c r="AM270" s="33"/>
      <c r="AN270" s="34"/>
      <c r="AO270" s="34"/>
      <c r="AP270" s="33"/>
      <c r="AQ270" s="34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4" t="s">
        <v>208</v>
      </c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5"/>
      <c r="CC270" s="33"/>
      <c r="CD270" s="33"/>
      <c r="CE270" s="33"/>
      <c r="CF270" s="34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 t="s">
        <v>208</v>
      </c>
      <c r="CY270" s="33"/>
      <c r="CZ270" s="34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4"/>
      <c r="DN270" s="34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8"/>
    </row>
    <row r="271" spans="2:137" ht="13.2">
      <c r="B271" s="30" t="str">
        <f t="shared" si="10"/>
        <v>2023/8</v>
      </c>
      <c r="C271" s="31">
        <f t="shared" si="11"/>
        <v>750</v>
      </c>
      <c r="D271" s="32">
        <v>45146</v>
      </c>
      <c r="E271" s="33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3"/>
      <c r="R271" s="33"/>
      <c r="S271" s="33"/>
      <c r="T271" s="33"/>
      <c r="U271" s="35"/>
      <c r="V271" s="36"/>
      <c r="W271" s="37"/>
      <c r="X271" s="34"/>
      <c r="Y271" s="33"/>
      <c r="Z271" s="33"/>
      <c r="AA271" s="33"/>
      <c r="AB271" s="35"/>
      <c r="AC271" s="34"/>
      <c r="AD271" s="34"/>
      <c r="AE271" s="34"/>
      <c r="AF271" s="34"/>
      <c r="AG271" s="34"/>
      <c r="AH271" s="33"/>
      <c r="AI271" s="33"/>
      <c r="AJ271" s="34"/>
      <c r="AK271" s="33"/>
      <c r="AL271" s="33"/>
      <c r="AM271" s="33"/>
      <c r="AN271" s="34"/>
      <c r="AO271" s="34"/>
      <c r="AP271" s="33"/>
      <c r="AQ271" s="34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4"/>
      <c r="BM271" s="33"/>
      <c r="BN271" s="33"/>
      <c r="BO271" s="33"/>
      <c r="BP271" s="33"/>
      <c r="BQ271" s="33"/>
      <c r="BR271" s="33">
        <v>500</v>
      </c>
      <c r="BS271" s="33"/>
      <c r="BT271" s="33"/>
      <c r="BU271" s="33"/>
      <c r="BV271" s="33"/>
      <c r="BW271" s="33"/>
      <c r="BX271" s="33"/>
      <c r="BY271" s="33"/>
      <c r="BZ271" s="33"/>
      <c r="CA271" s="33"/>
      <c r="CB271" s="35"/>
      <c r="CC271" s="33"/>
      <c r="CD271" s="33"/>
      <c r="CE271" s="33"/>
      <c r="CF271" s="34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>
        <v>250</v>
      </c>
      <c r="CV271" s="33"/>
      <c r="CW271" s="33"/>
      <c r="CX271" s="33"/>
      <c r="CY271" s="33"/>
      <c r="CZ271" s="34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4"/>
      <c r="DN271" s="34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8"/>
    </row>
    <row r="272" spans="2:137" ht="13.2">
      <c r="B272" s="30" t="str">
        <f t="shared" si="10"/>
        <v>2023/8</v>
      </c>
      <c r="C272" s="31">
        <f t="shared" si="11"/>
        <v>250</v>
      </c>
      <c r="D272" s="32">
        <v>45147</v>
      </c>
      <c r="E272" s="33">
        <v>250</v>
      </c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3"/>
      <c r="R272" s="33"/>
      <c r="S272" s="33"/>
      <c r="T272" s="33"/>
      <c r="U272" s="35"/>
      <c r="V272" s="36"/>
      <c r="W272" s="37"/>
      <c r="X272" s="34"/>
      <c r="Y272" s="33"/>
      <c r="Z272" s="33"/>
      <c r="AA272" s="33"/>
      <c r="AB272" s="35"/>
      <c r="AC272" s="34"/>
      <c r="AD272" s="34"/>
      <c r="AE272" s="34"/>
      <c r="AF272" s="34"/>
      <c r="AG272" s="34"/>
      <c r="AH272" s="33"/>
      <c r="AI272" s="33"/>
      <c r="AJ272" s="34"/>
      <c r="AK272" s="33"/>
      <c r="AL272" s="33"/>
      <c r="AM272" s="33"/>
      <c r="AN272" s="34"/>
      <c r="AO272" s="34"/>
      <c r="AP272" s="33"/>
      <c r="AQ272" s="34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 t="s">
        <v>209</v>
      </c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4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5"/>
      <c r="CC272" s="33"/>
      <c r="CD272" s="33"/>
      <c r="CE272" s="33"/>
      <c r="CF272" s="34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4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4"/>
      <c r="DN272" s="34" t="s">
        <v>209</v>
      </c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8"/>
    </row>
    <row r="273" spans="2:137" ht="13.2">
      <c r="B273" s="30" t="str">
        <f t="shared" si="10"/>
        <v>2023/8</v>
      </c>
      <c r="C273" s="31">
        <f t="shared" si="11"/>
        <v>700</v>
      </c>
      <c r="D273" s="32">
        <v>45148</v>
      </c>
      <c r="E273" s="33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3"/>
      <c r="R273" s="33"/>
      <c r="S273" s="33"/>
      <c r="T273" s="33"/>
      <c r="U273" s="35"/>
      <c r="V273" s="36"/>
      <c r="W273" s="37"/>
      <c r="X273" s="34"/>
      <c r="Y273" s="33"/>
      <c r="Z273" s="33"/>
      <c r="AA273" s="33"/>
      <c r="AB273" s="35"/>
      <c r="AC273" s="34"/>
      <c r="AD273" s="34"/>
      <c r="AE273" s="34"/>
      <c r="AF273" s="34"/>
      <c r="AG273" s="34"/>
      <c r="AH273" s="33"/>
      <c r="AI273" s="33"/>
      <c r="AJ273" s="34"/>
      <c r="AK273" s="33"/>
      <c r="AL273" s="33"/>
      <c r="AM273" s="33"/>
      <c r="AN273" s="34"/>
      <c r="AO273" s="34"/>
      <c r="AP273" s="33"/>
      <c r="AQ273" s="34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>
        <v>500</v>
      </c>
      <c r="BJ273" s="33"/>
      <c r="BK273" s="33"/>
      <c r="BL273" s="34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5"/>
      <c r="CC273" s="33"/>
      <c r="CD273" s="33"/>
      <c r="CE273" s="33"/>
      <c r="CF273" s="34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4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4"/>
      <c r="DN273" s="34"/>
      <c r="DO273" s="33">
        <v>200</v>
      </c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8"/>
    </row>
    <row r="274" spans="2:137" ht="13.2">
      <c r="B274" s="30" t="str">
        <f t="shared" si="10"/>
        <v>2023/8</v>
      </c>
      <c r="C274" s="31">
        <f t="shared" si="11"/>
        <v>700</v>
      </c>
      <c r="D274" s="32">
        <v>45149</v>
      </c>
      <c r="E274" s="33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3"/>
      <c r="R274" s="33"/>
      <c r="S274" s="33"/>
      <c r="T274" s="33"/>
      <c r="U274" s="35"/>
      <c r="V274" s="36"/>
      <c r="W274" s="37"/>
      <c r="X274" s="34"/>
      <c r="Y274" s="33"/>
      <c r="Z274" s="33"/>
      <c r="AA274" s="33"/>
      <c r="AB274" s="35"/>
      <c r="AC274" s="34"/>
      <c r="AD274" s="34"/>
      <c r="AE274" s="34"/>
      <c r="AF274" s="34"/>
      <c r="AG274" s="34"/>
      <c r="AH274" s="33"/>
      <c r="AI274" s="33"/>
      <c r="AJ274" s="34"/>
      <c r="AK274" s="33"/>
      <c r="AL274" s="33"/>
      <c r="AM274" s="33"/>
      <c r="AN274" s="34"/>
      <c r="AO274" s="34"/>
      <c r="AP274" s="33"/>
      <c r="AQ274" s="34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4" t="s">
        <v>209</v>
      </c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5"/>
      <c r="CC274" s="33"/>
      <c r="CD274" s="33"/>
      <c r="CE274" s="33"/>
      <c r="CF274" s="34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4"/>
      <c r="DA274" s="33"/>
      <c r="DB274" s="33"/>
      <c r="DC274" s="33"/>
      <c r="DD274" s="33"/>
      <c r="DE274" s="33"/>
      <c r="DF274" s="33"/>
      <c r="DG274" s="33"/>
      <c r="DH274" s="33">
        <v>250</v>
      </c>
      <c r="DI274" s="33"/>
      <c r="DJ274" s="33"/>
      <c r="DK274" s="33"/>
      <c r="DL274" s="33"/>
      <c r="DM274" s="34">
        <v>200</v>
      </c>
      <c r="DN274" s="34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>
        <v>250</v>
      </c>
      <c r="DZ274" s="33"/>
      <c r="EA274" s="33"/>
      <c r="EB274" s="33"/>
      <c r="EC274" s="33"/>
      <c r="ED274" s="33"/>
      <c r="EE274" s="33"/>
      <c r="EF274" s="33"/>
      <c r="EG274" s="38"/>
    </row>
    <row r="275" spans="2:137" ht="13.2">
      <c r="B275" s="30" t="str">
        <f t="shared" si="10"/>
        <v>2023/8</v>
      </c>
      <c r="C275" s="31">
        <f t="shared" si="11"/>
        <v>750</v>
      </c>
      <c r="D275" s="32">
        <v>45152</v>
      </c>
      <c r="E275" s="33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3"/>
      <c r="R275" s="33"/>
      <c r="S275" s="33"/>
      <c r="T275" s="33"/>
      <c r="U275" s="35"/>
      <c r="V275" s="36"/>
      <c r="W275" s="37"/>
      <c r="X275" s="34"/>
      <c r="Y275" s="33"/>
      <c r="Z275" s="33"/>
      <c r="AA275" s="33"/>
      <c r="AB275" s="35"/>
      <c r="AC275" s="34"/>
      <c r="AD275" s="34"/>
      <c r="AE275" s="34"/>
      <c r="AF275" s="34"/>
      <c r="AG275" s="34"/>
      <c r="AH275" s="33"/>
      <c r="AI275" s="33"/>
      <c r="AJ275" s="34"/>
      <c r="AK275" s="33"/>
      <c r="AL275" s="33"/>
      <c r="AM275" s="33"/>
      <c r="AN275" s="34"/>
      <c r="AO275" s="34"/>
      <c r="AP275" s="33"/>
      <c r="AQ275" s="34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4"/>
      <c r="BM275" s="33"/>
      <c r="BN275" s="33"/>
      <c r="BO275" s="33"/>
      <c r="BP275" s="33"/>
      <c r="BQ275" s="33"/>
      <c r="BR275" s="33">
        <v>750</v>
      </c>
      <c r="BS275" s="33"/>
      <c r="BT275" s="33"/>
      <c r="BU275" s="33"/>
      <c r="BV275" s="33"/>
      <c r="BW275" s="33"/>
      <c r="BX275" s="33"/>
      <c r="BY275" s="33"/>
      <c r="BZ275" s="33"/>
      <c r="CA275" s="33"/>
      <c r="CB275" s="35"/>
      <c r="CC275" s="33"/>
      <c r="CD275" s="33"/>
      <c r="CE275" s="33"/>
      <c r="CF275" s="34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4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4"/>
      <c r="DN275" s="34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8"/>
    </row>
    <row r="276" spans="2:137" ht="13.2">
      <c r="B276" s="30" t="str">
        <f t="shared" si="10"/>
        <v>2023/8</v>
      </c>
      <c r="C276" s="31">
        <f t="shared" si="11"/>
        <v>1190</v>
      </c>
      <c r="D276" s="32">
        <v>45153</v>
      </c>
      <c r="E276" s="33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3"/>
      <c r="R276" s="33"/>
      <c r="S276" s="33"/>
      <c r="T276" s="33"/>
      <c r="U276" s="35"/>
      <c r="V276" s="36"/>
      <c r="W276" s="37"/>
      <c r="X276" s="34"/>
      <c r="Y276" s="33"/>
      <c r="Z276" s="33"/>
      <c r="AA276" s="33"/>
      <c r="AB276" s="35"/>
      <c r="AC276" s="34"/>
      <c r="AD276" s="34"/>
      <c r="AE276" s="34"/>
      <c r="AF276" s="34"/>
      <c r="AG276" s="34"/>
      <c r="AH276" s="33"/>
      <c r="AI276" s="33"/>
      <c r="AJ276" s="34"/>
      <c r="AK276" s="33"/>
      <c r="AL276" s="33"/>
      <c r="AM276" s="33"/>
      <c r="AN276" s="34"/>
      <c r="AO276" s="34"/>
      <c r="AP276" s="33"/>
      <c r="AQ276" s="34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>
        <v>940</v>
      </c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4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5"/>
      <c r="CC276" s="33"/>
      <c r="CD276" s="33"/>
      <c r="CE276" s="33"/>
      <c r="CF276" s="34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4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4"/>
      <c r="DN276" s="34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>
        <v>250</v>
      </c>
      <c r="DZ276" s="33"/>
      <c r="EA276" s="33"/>
      <c r="EB276" s="33"/>
      <c r="EC276" s="33"/>
      <c r="ED276" s="33"/>
      <c r="EE276" s="33"/>
      <c r="EF276" s="33"/>
      <c r="EG276" s="38"/>
    </row>
    <row r="277" spans="2:137" ht="13.2">
      <c r="B277" s="30" t="str">
        <f t="shared" si="10"/>
        <v>2023/8</v>
      </c>
      <c r="C277" s="31">
        <f t="shared" si="11"/>
        <v>1620</v>
      </c>
      <c r="D277" s="32">
        <v>45154</v>
      </c>
      <c r="E277" s="33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3"/>
      <c r="R277" s="33"/>
      <c r="S277" s="33"/>
      <c r="T277" s="33"/>
      <c r="U277" s="35"/>
      <c r="V277" s="36"/>
      <c r="W277" s="37"/>
      <c r="X277" s="34"/>
      <c r="Y277" s="33"/>
      <c r="Z277" s="33"/>
      <c r="AA277" s="33"/>
      <c r="AB277" s="35"/>
      <c r="AC277" s="34"/>
      <c r="AD277" s="34"/>
      <c r="AE277" s="34"/>
      <c r="AF277" s="34"/>
      <c r="AG277" s="34"/>
      <c r="AH277" s="33"/>
      <c r="AI277" s="33"/>
      <c r="AJ277" s="34"/>
      <c r="AK277" s="33"/>
      <c r="AL277" s="33"/>
      <c r="AM277" s="33"/>
      <c r="AN277" s="34"/>
      <c r="AO277" s="34"/>
      <c r="AP277" s="33"/>
      <c r="AQ277" s="34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 t="s">
        <v>206</v>
      </c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4">
        <v>920</v>
      </c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5"/>
      <c r="CC277" s="33"/>
      <c r="CD277" s="33"/>
      <c r="CE277" s="33"/>
      <c r="CF277" s="34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 t="s">
        <v>210</v>
      </c>
      <c r="CY277" s="33"/>
      <c r="CZ277" s="34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4"/>
      <c r="DN277" s="34">
        <v>700</v>
      </c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8"/>
    </row>
    <row r="278" spans="2:137" ht="13.2">
      <c r="B278" s="30" t="str">
        <f t="shared" si="10"/>
        <v>2023/8</v>
      </c>
      <c r="C278" s="31" t="str">
        <f t="shared" si="11"/>
        <v/>
      </c>
      <c r="D278" s="32">
        <v>45155</v>
      </c>
      <c r="E278" s="33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3"/>
      <c r="R278" s="33"/>
      <c r="S278" s="33"/>
      <c r="T278" s="33"/>
      <c r="U278" s="35"/>
      <c r="V278" s="36"/>
      <c r="W278" s="37"/>
      <c r="X278" s="34"/>
      <c r="Y278" s="33"/>
      <c r="Z278" s="33"/>
      <c r="AA278" s="33"/>
      <c r="AB278" s="35"/>
      <c r="AC278" s="34"/>
      <c r="AD278" s="34"/>
      <c r="AE278" s="34"/>
      <c r="AF278" s="34"/>
      <c r="AG278" s="34"/>
      <c r="AH278" s="33"/>
      <c r="AI278" s="33"/>
      <c r="AJ278" s="34"/>
      <c r="AK278" s="33"/>
      <c r="AL278" s="33"/>
      <c r="AM278" s="33"/>
      <c r="AN278" s="34"/>
      <c r="AO278" s="34"/>
      <c r="AP278" s="33"/>
      <c r="AQ278" s="34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4" t="s">
        <v>206</v>
      </c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5"/>
      <c r="CC278" s="33"/>
      <c r="CD278" s="33"/>
      <c r="CE278" s="33"/>
      <c r="CF278" s="34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4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4"/>
      <c r="DN278" s="34" t="s">
        <v>206</v>
      </c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8"/>
    </row>
    <row r="279" spans="2:137" ht="13.2">
      <c r="B279" s="30" t="str">
        <f t="shared" si="10"/>
        <v>2023/8</v>
      </c>
      <c r="C279" s="31">
        <f t="shared" si="11"/>
        <v>1500</v>
      </c>
      <c r="D279" s="32">
        <v>45156</v>
      </c>
      <c r="E279" s="33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3"/>
      <c r="R279" s="33"/>
      <c r="S279" s="33"/>
      <c r="T279" s="33"/>
      <c r="U279" s="35"/>
      <c r="V279" s="36"/>
      <c r="W279" s="37"/>
      <c r="X279" s="34"/>
      <c r="Y279" s="33"/>
      <c r="Z279" s="33"/>
      <c r="AA279" s="33"/>
      <c r="AB279" s="35"/>
      <c r="AC279" s="34"/>
      <c r="AD279" s="34"/>
      <c r="AE279" s="34"/>
      <c r="AF279" s="34"/>
      <c r="AG279" s="34"/>
      <c r="AH279" s="33"/>
      <c r="AI279" s="33"/>
      <c r="AJ279" s="34"/>
      <c r="AK279" s="33"/>
      <c r="AL279" s="33"/>
      <c r="AM279" s="33"/>
      <c r="AN279" s="34"/>
      <c r="AO279" s="34"/>
      <c r="AP279" s="33"/>
      <c r="AQ279" s="34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4"/>
      <c r="BM279" s="33"/>
      <c r="BN279" s="33"/>
      <c r="BO279" s="33"/>
      <c r="BP279" s="33">
        <v>200</v>
      </c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5"/>
      <c r="CC279" s="33"/>
      <c r="CD279" s="33"/>
      <c r="CE279" s="33"/>
      <c r="CF279" s="34">
        <v>400</v>
      </c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4">
        <v>200</v>
      </c>
      <c r="DA279" s="33"/>
      <c r="DB279" s="33"/>
      <c r="DC279" s="33"/>
      <c r="DD279" s="33"/>
      <c r="DE279" s="33"/>
      <c r="DF279" s="33"/>
      <c r="DG279" s="33"/>
      <c r="DH279" s="33">
        <v>250</v>
      </c>
      <c r="DI279" s="33"/>
      <c r="DJ279" s="33"/>
      <c r="DK279" s="33"/>
      <c r="DL279" s="33"/>
      <c r="DM279" s="34">
        <v>200</v>
      </c>
      <c r="DN279" s="34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>
        <v>250</v>
      </c>
      <c r="DZ279" s="33"/>
      <c r="EA279" s="33"/>
      <c r="EB279" s="33"/>
      <c r="EC279" s="33"/>
      <c r="ED279" s="33"/>
      <c r="EE279" s="33"/>
      <c r="EF279" s="33"/>
      <c r="EG279" s="38"/>
    </row>
    <row r="280" spans="2:137" ht="13.2">
      <c r="B280" s="30" t="str">
        <f t="shared" si="10"/>
        <v>2023/8</v>
      </c>
      <c r="C280" s="31">
        <f t="shared" si="11"/>
        <v>250</v>
      </c>
      <c r="D280" s="32">
        <v>45160</v>
      </c>
      <c r="E280" s="33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3"/>
      <c r="R280" s="33"/>
      <c r="S280" s="33"/>
      <c r="T280" s="33"/>
      <c r="U280" s="35"/>
      <c r="V280" s="36"/>
      <c r="W280" s="37"/>
      <c r="X280" s="34"/>
      <c r="Y280" s="33"/>
      <c r="Z280" s="33"/>
      <c r="AA280" s="33"/>
      <c r="AB280" s="35"/>
      <c r="AC280" s="34"/>
      <c r="AD280" s="34"/>
      <c r="AE280" s="34"/>
      <c r="AF280" s="34"/>
      <c r="AG280" s="34"/>
      <c r="AH280" s="33"/>
      <c r="AI280" s="33"/>
      <c r="AJ280" s="34"/>
      <c r="AK280" s="33"/>
      <c r="AL280" s="33"/>
      <c r="AM280" s="33"/>
      <c r="AN280" s="34"/>
      <c r="AO280" s="34"/>
      <c r="AP280" s="33"/>
      <c r="AQ280" s="34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4"/>
      <c r="BM280" s="33"/>
      <c r="BN280" s="33"/>
      <c r="BO280" s="33"/>
      <c r="BP280" s="33"/>
      <c r="BQ280" s="33"/>
      <c r="BR280" s="33">
        <v>250</v>
      </c>
      <c r="BS280" s="33"/>
      <c r="BT280" s="33"/>
      <c r="BU280" s="33"/>
      <c r="BV280" s="33"/>
      <c r="BW280" s="33"/>
      <c r="BX280" s="33"/>
      <c r="BY280" s="33"/>
      <c r="BZ280" s="33"/>
      <c r="CA280" s="33"/>
      <c r="CB280" s="35"/>
      <c r="CC280" s="33"/>
      <c r="CD280" s="33"/>
      <c r="CE280" s="33"/>
      <c r="CF280" s="34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4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4"/>
      <c r="DN280" s="34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8"/>
    </row>
    <row r="281" spans="2:137" ht="13.2">
      <c r="B281" s="30" t="str">
        <f t="shared" si="10"/>
        <v>2023/8</v>
      </c>
      <c r="C281" s="31" t="str">
        <f t="shared" si="11"/>
        <v/>
      </c>
      <c r="D281" s="32">
        <v>45161</v>
      </c>
      <c r="E281" s="33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3"/>
      <c r="R281" s="33"/>
      <c r="S281" s="33"/>
      <c r="T281" s="33"/>
      <c r="U281" s="35"/>
      <c r="V281" s="36"/>
      <c r="W281" s="37"/>
      <c r="X281" s="34"/>
      <c r="Y281" s="33"/>
      <c r="Z281" s="33"/>
      <c r="AA281" s="33"/>
      <c r="AB281" s="35"/>
      <c r="AC281" s="34"/>
      <c r="AD281" s="34"/>
      <c r="AE281" s="34"/>
      <c r="AF281" s="34"/>
      <c r="AG281" s="34"/>
      <c r="AH281" s="33"/>
      <c r="AI281" s="33"/>
      <c r="AJ281" s="34"/>
      <c r="AK281" s="33"/>
      <c r="AL281" s="33"/>
      <c r="AM281" s="33"/>
      <c r="AN281" s="34"/>
      <c r="AO281" s="34"/>
      <c r="AP281" s="33"/>
      <c r="AQ281" s="34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4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5"/>
      <c r="CC281" s="33"/>
      <c r="CD281" s="33"/>
      <c r="CE281" s="33"/>
      <c r="CF281" s="34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4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4"/>
      <c r="DN281" s="34" t="s">
        <v>207</v>
      </c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8"/>
    </row>
    <row r="282" spans="2:137" ht="13.2">
      <c r="B282" s="30" t="str">
        <f t="shared" si="10"/>
        <v>2023/8</v>
      </c>
      <c r="C282" s="31" t="str">
        <f t="shared" si="11"/>
        <v/>
      </c>
      <c r="D282" s="32">
        <v>45162</v>
      </c>
      <c r="E282" s="33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3"/>
      <c r="R282" s="33"/>
      <c r="S282" s="33"/>
      <c r="T282" s="33"/>
      <c r="U282" s="35"/>
      <c r="V282" s="36"/>
      <c r="W282" s="37"/>
      <c r="X282" s="34"/>
      <c r="Y282" s="33"/>
      <c r="Z282" s="33"/>
      <c r="AA282" s="33"/>
      <c r="AB282" s="35"/>
      <c r="AC282" s="34"/>
      <c r="AD282" s="34"/>
      <c r="AE282" s="34"/>
      <c r="AF282" s="34"/>
      <c r="AG282" s="34"/>
      <c r="AH282" s="33"/>
      <c r="AI282" s="33"/>
      <c r="AJ282" s="34"/>
      <c r="AK282" s="33"/>
      <c r="AL282" s="33"/>
      <c r="AM282" s="33"/>
      <c r="AN282" s="34"/>
      <c r="AO282" s="34"/>
      <c r="AP282" s="33"/>
      <c r="AQ282" s="34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 t="s">
        <v>207</v>
      </c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4" t="s">
        <v>207</v>
      </c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5"/>
      <c r="CC282" s="33"/>
      <c r="CD282" s="33"/>
      <c r="CE282" s="33"/>
      <c r="CF282" s="34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 t="s">
        <v>212</v>
      </c>
      <c r="CY282" s="33"/>
      <c r="CZ282" s="34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4"/>
      <c r="DN282" s="34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8"/>
    </row>
    <row r="283" spans="2:137" ht="13.2">
      <c r="B283" s="30" t="str">
        <f t="shared" si="10"/>
        <v>2023/8</v>
      </c>
      <c r="C283" s="31">
        <f t="shared" si="11"/>
        <v>2500</v>
      </c>
      <c r="D283" s="32">
        <v>45163</v>
      </c>
      <c r="E283" s="33">
        <v>250</v>
      </c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3"/>
      <c r="R283" s="33"/>
      <c r="S283" s="33"/>
      <c r="T283" s="33"/>
      <c r="U283" s="35"/>
      <c r="V283" s="36"/>
      <c r="W283" s="37"/>
      <c r="X283" s="34"/>
      <c r="Y283" s="33"/>
      <c r="Z283" s="33"/>
      <c r="AA283" s="33"/>
      <c r="AB283" s="35"/>
      <c r="AC283" s="34"/>
      <c r="AD283" s="34"/>
      <c r="AE283" s="34"/>
      <c r="AF283" s="34"/>
      <c r="AG283" s="34"/>
      <c r="AH283" s="33"/>
      <c r="AI283" s="33"/>
      <c r="AJ283" s="34"/>
      <c r="AK283" s="33"/>
      <c r="AL283" s="33"/>
      <c r="AM283" s="33"/>
      <c r="AN283" s="34"/>
      <c r="AO283" s="34"/>
      <c r="AP283" s="33"/>
      <c r="AQ283" s="34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4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5"/>
      <c r="CC283" s="33"/>
      <c r="CD283" s="33"/>
      <c r="CE283" s="33"/>
      <c r="CF283" s="34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>
        <v>600</v>
      </c>
      <c r="CS283" s="33"/>
      <c r="CT283" s="33"/>
      <c r="CU283" s="33"/>
      <c r="CV283" s="33"/>
      <c r="CW283" s="33"/>
      <c r="CX283" s="33">
        <v>1000</v>
      </c>
      <c r="CY283" s="33"/>
      <c r="CZ283" s="34"/>
      <c r="DA283" s="33"/>
      <c r="DB283" s="33"/>
      <c r="DC283" s="33"/>
      <c r="DD283" s="33"/>
      <c r="DE283" s="33"/>
      <c r="DF283" s="33"/>
      <c r="DG283" s="33"/>
      <c r="DH283" s="33">
        <v>250</v>
      </c>
      <c r="DI283" s="33"/>
      <c r="DJ283" s="33"/>
      <c r="DK283" s="33"/>
      <c r="DL283" s="33"/>
      <c r="DM283" s="34">
        <v>200</v>
      </c>
      <c r="DN283" s="34"/>
      <c r="DO283" s="33">
        <v>200</v>
      </c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8"/>
    </row>
    <row r="284" spans="2:137" ht="13.2">
      <c r="B284" s="30" t="str">
        <f t="shared" si="10"/>
        <v>2023/8</v>
      </c>
      <c r="C284" s="31">
        <f t="shared" si="11"/>
        <v>1250</v>
      </c>
      <c r="D284" s="32">
        <v>45167</v>
      </c>
      <c r="E284" s="33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3"/>
      <c r="R284" s="33"/>
      <c r="S284" s="33"/>
      <c r="T284" s="33"/>
      <c r="U284" s="35"/>
      <c r="V284" s="36"/>
      <c r="W284" s="37"/>
      <c r="X284" s="34"/>
      <c r="Y284" s="33"/>
      <c r="Z284" s="33"/>
      <c r="AA284" s="33"/>
      <c r="AB284" s="35"/>
      <c r="AC284" s="34"/>
      <c r="AD284" s="34"/>
      <c r="AE284" s="34"/>
      <c r="AF284" s="34"/>
      <c r="AG284" s="34"/>
      <c r="AH284" s="33"/>
      <c r="AI284" s="33"/>
      <c r="AJ284" s="34"/>
      <c r="AK284" s="33"/>
      <c r="AL284" s="33"/>
      <c r="AM284" s="33"/>
      <c r="AN284" s="34"/>
      <c r="AO284" s="34"/>
      <c r="AP284" s="33"/>
      <c r="AQ284" s="34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>
        <v>750</v>
      </c>
      <c r="BD284" s="33"/>
      <c r="BE284" s="33"/>
      <c r="BF284" s="33"/>
      <c r="BG284" s="33"/>
      <c r="BH284" s="33"/>
      <c r="BI284" s="33"/>
      <c r="BJ284" s="33"/>
      <c r="BK284" s="33"/>
      <c r="BL284" s="34"/>
      <c r="BM284" s="33"/>
      <c r="BN284" s="33"/>
      <c r="BO284" s="33"/>
      <c r="BP284" s="33"/>
      <c r="BQ284" s="33"/>
      <c r="BR284" s="33">
        <v>500</v>
      </c>
      <c r="BS284" s="33"/>
      <c r="BT284" s="33"/>
      <c r="BU284" s="33"/>
      <c r="BV284" s="33"/>
      <c r="BW284" s="33"/>
      <c r="BX284" s="33"/>
      <c r="BY284" s="33"/>
      <c r="BZ284" s="33"/>
      <c r="CA284" s="33"/>
      <c r="CB284" s="35"/>
      <c r="CC284" s="33"/>
      <c r="CD284" s="33"/>
      <c r="CE284" s="33"/>
      <c r="CF284" s="34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4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4"/>
      <c r="DN284" s="34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8"/>
    </row>
    <row r="285" spans="2:137" ht="13.2">
      <c r="B285" s="30" t="str">
        <f t="shared" si="10"/>
        <v>2023/8</v>
      </c>
      <c r="C285" s="31">
        <f t="shared" si="11"/>
        <v>500</v>
      </c>
      <c r="D285" s="32">
        <v>45168</v>
      </c>
      <c r="E285" s="33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3"/>
      <c r="R285" s="33"/>
      <c r="S285" s="33"/>
      <c r="T285" s="33"/>
      <c r="U285" s="35"/>
      <c r="V285" s="36"/>
      <c r="W285" s="37"/>
      <c r="X285" s="34"/>
      <c r="Y285" s="33"/>
      <c r="Z285" s="33"/>
      <c r="AA285" s="33"/>
      <c r="AB285" s="35"/>
      <c r="AC285" s="34"/>
      <c r="AD285" s="34"/>
      <c r="AE285" s="34"/>
      <c r="AF285" s="34"/>
      <c r="AG285" s="34"/>
      <c r="AH285" s="33"/>
      <c r="AI285" s="33"/>
      <c r="AJ285" s="34"/>
      <c r="AK285" s="33"/>
      <c r="AL285" s="33"/>
      <c r="AM285" s="33"/>
      <c r="AN285" s="34"/>
      <c r="AO285" s="34"/>
      <c r="AP285" s="33"/>
      <c r="AQ285" s="34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 t="s">
        <v>213</v>
      </c>
      <c r="BD285" s="33"/>
      <c r="BE285" s="33"/>
      <c r="BF285" s="33"/>
      <c r="BG285" s="33"/>
      <c r="BH285" s="33"/>
      <c r="BI285" s="33"/>
      <c r="BJ285" s="33"/>
      <c r="BK285" s="33"/>
      <c r="BL285" s="34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5"/>
      <c r="CC285" s="33"/>
      <c r="CD285" s="33"/>
      <c r="CE285" s="33"/>
      <c r="CF285" s="34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4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4"/>
      <c r="DN285" s="34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>
        <v>500</v>
      </c>
      <c r="DZ285" s="33"/>
      <c r="EA285" s="33"/>
      <c r="EB285" s="33"/>
      <c r="EC285" s="33"/>
      <c r="ED285" s="33"/>
      <c r="EE285" s="33"/>
      <c r="EF285" s="33"/>
      <c r="EG285" s="38"/>
    </row>
    <row r="286" spans="2:137" ht="13.2">
      <c r="B286" s="30" t="str">
        <f t="shared" si="10"/>
        <v>2023/8</v>
      </c>
      <c r="C286" s="31">
        <f t="shared" si="11"/>
        <v>400</v>
      </c>
      <c r="D286" s="32">
        <v>45169</v>
      </c>
      <c r="E286" s="33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3"/>
      <c r="R286" s="33"/>
      <c r="S286" s="33"/>
      <c r="T286" s="33"/>
      <c r="U286" s="35"/>
      <c r="V286" s="36"/>
      <c r="W286" s="37"/>
      <c r="X286" s="34"/>
      <c r="Y286" s="33"/>
      <c r="Z286" s="33"/>
      <c r="AA286" s="33"/>
      <c r="AB286" s="35"/>
      <c r="AC286" s="34"/>
      <c r="AD286" s="34"/>
      <c r="AE286" s="34"/>
      <c r="AF286" s="34"/>
      <c r="AG286" s="34"/>
      <c r="AH286" s="33"/>
      <c r="AI286" s="33"/>
      <c r="AJ286" s="34"/>
      <c r="AK286" s="33"/>
      <c r="AL286" s="33"/>
      <c r="AM286" s="33"/>
      <c r="AN286" s="34"/>
      <c r="AO286" s="34"/>
      <c r="AP286" s="33"/>
      <c r="AQ286" s="34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4" t="s">
        <v>208</v>
      </c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5"/>
      <c r="CC286" s="33"/>
      <c r="CD286" s="33"/>
      <c r="CE286" s="33"/>
      <c r="CF286" s="34">
        <v>400</v>
      </c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 t="s">
        <v>214</v>
      </c>
      <c r="CY286" s="33"/>
      <c r="CZ286" s="34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4"/>
      <c r="DN286" s="34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8"/>
    </row>
    <row r="287" spans="2:137" ht="13.2">
      <c r="B287" s="30" t="str">
        <f t="shared" si="10"/>
        <v>2023/9</v>
      </c>
      <c r="C287" s="31">
        <f t="shared" si="11"/>
        <v>1150</v>
      </c>
      <c r="D287" s="32">
        <v>45170</v>
      </c>
      <c r="E287" s="33">
        <v>250</v>
      </c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3"/>
      <c r="R287" s="33"/>
      <c r="S287" s="33"/>
      <c r="T287" s="33"/>
      <c r="U287" s="35"/>
      <c r="V287" s="36"/>
      <c r="W287" s="37"/>
      <c r="X287" s="34"/>
      <c r="Y287" s="33"/>
      <c r="Z287" s="33"/>
      <c r="AA287" s="33"/>
      <c r="AB287" s="35"/>
      <c r="AC287" s="34"/>
      <c r="AD287" s="34"/>
      <c r="AE287" s="34"/>
      <c r="AF287" s="34"/>
      <c r="AG287" s="34"/>
      <c r="AH287" s="33"/>
      <c r="AI287" s="33"/>
      <c r="AJ287" s="34"/>
      <c r="AK287" s="33"/>
      <c r="AL287" s="33"/>
      <c r="AM287" s="33"/>
      <c r="AN287" s="34"/>
      <c r="AO287" s="34"/>
      <c r="AP287" s="33"/>
      <c r="AQ287" s="34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4"/>
      <c r="BM287" s="33"/>
      <c r="BN287" s="33"/>
      <c r="BO287" s="33"/>
      <c r="BP287" s="33">
        <v>200</v>
      </c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5"/>
      <c r="CC287" s="33"/>
      <c r="CD287" s="33"/>
      <c r="CE287" s="33"/>
      <c r="CF287" s="34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4"/>
      <c r="DA287" s="33"/>
      <c r="DB287" s="33"/>
      <c r="DC287" s="33"/>
      <c r="DD287" s="33"/>
      <c r="DE287" s="33"/>
      <c r="DF287" s="33"/>
      <c r="DG287" s="33"/>
      <c r="DH287" s="33">
        <v>250</v>
      </c>
      <c r="DI287" s="33"/>
      <c r="DJ287" s="33"/>
      <c r="DK287" s="33"/>
      <c r="DL287" s="33"/>
      <c r="DM287" s="34">
        <v>200</v>
      </c>
      <c r="DN287" s="34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>
        <v>250</v>
      </c>
      <c r="DZ287" s="33"/>
      <c r="EA287" s="33"/>
      <c r="EB287" s="33"/>
      <c r="EC287" s="33"/>
      <c r="ED287" s="33"/>
      <c r="EE287" s="33"/>
      <c r="EF287" s="33"/>
      <c r="EG287" s="38"/>
    </row>
    <row r="288" spans="2:137" ht="13.2">
      <c r="B288" s="30" t="str">
        <f t="shared" si="10"/>
        <v>2023/9</v>
      </c>
      <c r="C288" s="31">
        <f t="shared" si="11"/>
        <v>430</v>
      </c>
      <c r="D288" s="32">
        <v>45173</v>
      </c>
      <c r="E288" s="33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3"/>
      <c r="R288" s="33"/>
      <c r="S288" s="33"/>
      <c r="T288" s="33"/>
      <c r="U288" s="35"/>
      <c r="V288" s="36"/>
      <c r="W288" s="37"/>
      <c r="X288" s="34"/>
      <c r="Y288" s="33"/>
      <c r="Z288" s="33"/>
      <c r="AA288" s="33"/>
      <c r="AB288" s="35"/>
      <c r="AC288" s="34"/>
      <c r="AD288" s="34"/>
      <c r="AE288" s="34"/>
      <c r="AF288" s="34"/>
      <c r="AG288" s="34"/>
      <c r="AH288" s="33"/>
      <c r="AI288" s="33"/>
      <c r="AJ288" s="34"/>
      <c r="AK288" s="33"/>
      <c r="AL288" s="33"/>
      <c r="AM288" s="33"/>
      <c r="AN288" s="34"/>
      <c r="AO288" s="34"/>
      <c r="AP288" s="33"/>
      <c r="AQ288" s="34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4">
        <v>230</v>
      </c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5"/>
      <c r="CC288" s="33"/>
      <c r="CD288" s="33"/>
      <c r="CE288" s="33"/>
      <c r="CF288" s="34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4">
        <v>200</v>
      </c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4"/>
      <c r="DN288" s="34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8"/>
    </row>
    <row r="289" spans="2:137" ht="13.2">
      <c r="B289" s="30" t="str">
        <f t="shared" si="10"/>
        <v>2023/9</v>
      </c>
      <c r="C289" s="31">
        <f t="shared" si="11"/>
        <v>1250</v>
      </c>
      <c r="D289" s="32">
        <v>45174</v>
      </c>
      <c r="E289" s="33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3"/>
      <c r="R289" s="33"/>
      <c r="S289" s="33"/>
      <c r="T289" s="33"/>
      <c r="U289" s="35"/>
      <c r="V289" s="36"/>
      <c r="W289" s="37"/>
      <c r="X289" s="34"/>
      <c r="Y289" s="33"/>
      <c r="Z289" s="33"/>
      <c r="AA289" s="33"/>
      <c r="AB289" s="35"/>
      <c r="AC289" s="34"/>
      <c r="AD289" s="34"/>
      <c r="AE289" s="34"/>
      <c r="AF289" s="34"/>
      <c r="AG289" s="34"/>
      <c r="AH289" s="33"/>
      <c r="AI289" s="33"/>
      <c r="AJ289" s="34"/>
      <c r="AK289" s="33"/>
      <c r="AL289" s="33"/>
      <c r="AM289" s="33"/>
      <c r="AN289" s="34"/>
      <c r="AO289" s="34"/>
      <c r="AP289" s="33"/>
      <c r="AQ289" s="34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>
        <v>250</v>
      </c>
      <c r="BI289" s="33"/>
      <c r="BJ289" s="33"/>
      <c r="BK289" s="33"/>
      <c r="BL289" s="34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5"/>
      <c r="CC289" s="33"/>
      <c r="CD289" s="33"/>
      <c r="CE289" s="33"/>
      <c r="CF289" s="34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>
        <v>750</v>
      </c>
      <c r="CV289" s="33"/>
      <c r="CW289" s="33"/>
      <c r="CX289" s="33"/>
      <c r="CY289" s="33"/>
      <c r="CZ289" s="34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4"/>
      <c r="DN289" s="34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>
        <v>250</v>
      </c>
      <c r="DZ289" s="33"/>
      <c r="EA289" s="33"/>
      <c r="EB289" s="33"/>
      <c r="EC289" s="33"/>
      <c r="ED289" s="33"/>
      <c r="EE289" s="33"/>
      <c r="EF289" s="33"/>
      <c r="EG289" s="38"/>
    </row>
    <row r="290" spans="2:137" ht="13.2">
      <c r="B290" s="30" t="str">
        <f t="shared" si="10"/>
        <v>2023/9</v>
      </c>
      <c r="C290" s="31">
        <f t="shared" si="11"/>
        <v>4517.74</v>
      </c>
      <c r="D290" s="32">
        <v>45175</v>
      </c>
      <c r="E290" s="33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3"/>
      <c r="R290" s="33"/>
      <c r="S290" s="33"/>
      <c r="T290" s="33"/>
      <c r="U290" s="35"/>
      <c r="V290" s="36"/>
      <c r="W290" s="37"/>
      <c r="X290" s="34"/>
      <c r="Y290" s="33"/>
      <c r="Z290" s="33"/>
      <c r="AA290" s="33"/>
      <c r="AB290" s="35"/>
      <c r="AC290" s="34"/>
      <c r="AD290" s="34"/>
      <c r="AE290" s="34"/>
      <c r="AF290" s="34"/>
      <c r="AG290" s="34"/>
      <c r="AH290" s="33"/>
      <c r="AI290" s="33"/>
      <c r="AJ290" s="34"/>
      <c r="AK290" s="33"/>
      <c r="AL290" s="33"/>
      <c r="AM290" s="33"/>
      <c r="AN290" s="34"/>
      <c r="AO290" s="34"/>
      <c r="AP290" s="33"/>
      <c r="AQ290" s="34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4"/>
      <c r="BM290" s="33">
        <v>3517.74</v>
      </c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5">
        <v>800</v>
      </c>
      <c r="CC290" s="33"/>
      <c r="CD290" s="33"/>
      <c r="CE290" s="33"/>
      <c r="CF290" s="34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4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4">
        <v>200</v>
      </c>
      <c r="DN290" s="34" t="s">
        <v>224</v>
      </c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8"/>
    </row>
    <row r="291" spans="2:137" ht="13.2">
      <c r="B291" s="30" t="str">
        <f t="shared" si="10"/>
        <v>2023/9</v>
      </c>
      <c r="C291" s="31">
        <f t="shared" si="11"/>
        <v>1390</v>
      </c>
      <c r="D291" s="32">
        <v>45176</v>
      </c>
      <c r="E291" s="33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3"/>
      <c r="R291" s="33"/>
      <c r="S291" s="33"/>
      <c r="T291" s="33"/>
      <c r="U291" s="35"/>
      <c r="V291" s="36"/>
      <c r="W291" s="37"/>
      <c r="X291" s="34"/>
      <c r="Y291" s="33"/>
      <c r="Z291" s="33"/>
      <c r="AA291" s="33"/>
      <c r="AB291" s="35"/>
      <c r="AC291" s="34"/>
      <c r="AD291" s="34"/>
      <c r="AE291" s="34"/>
      <c r="AF291" s="34"/>
      <c r="AG291" s="34"/>
      <c r="AH291" s="33"/>
      <c r="AI291" s="33"/>
      <c r="AJ291" s="34"/>
      <c r="AK291" s="33"/>
      <c r="AL291" s="33"/>
      <c r="AM291" s="33"/>
      <c r="AN291" s="34"/>
      <c r="AO291" s="34"/>
      <c r="AP291" s="33"/>
      <c r="AQ291" s="34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 t="s">
        <v>208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4">
        <v>690</v>
      </c>
      <c r="BM291" s="33"/>
      <c r="BN291" s="33"/>
      <c r="BO291" s="33"/>
      <c r="BP291" s="33"/>
      <c r="BQ291" s="33"/>
      <c r="BR291" s="33">
        <v>250</v>
      </c>
      <c r="BS291" s="33"/>
      <c r="BT291" s="33"/>
      <c r="BU291" s="33"/>
      <c r="BV291" s="33"/>
      <c r="BW291" s="33"/>
      <c r="BX291" s="33"/>
      <c r="BY291" s="33"/>
      <c r="BZ291" s="33"/>
      <c r="CA291" s="33"/>
      <c r="CB291" s="35"/>
      <c r="CC291" s="33"/>
      <c r="CD291" s="33"/>
      <c r="CE291" s="33"/>
      <c r="CF291" s="34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4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4"/>
      <c r="DN291" s="34"/>
      <c r="DO291" s="33">
        <v>200</v>
      </c>
      <c r="DP291" s="33"/>
      <c r="DQ291" s="33"/>
      <c r="DR291" s="33"/>
      <c r="DS291" s="33"/>
      <c r="DT291" s="33"/>
      <c r="DU291" s="33"/>
      <c r="DV291" s="33"/>
      <c r="DW291" s="33"/>
      <c r="DX291" s="33"/>
      <c r="DY291" s="33">
        <v>250</v>
      </c>
      <c r="DZ291" s="33"/>
      <c r="EA291" s="33"/>
      <c r="EB291" s="33"/>
      <c r="EC291" s="33"/>
      <c r="ED291" s="33"/>
      <c r="EE291" s="33"/>
      <c r="EF291" s="33"/>
      <c r="EG291" s="38"/>
    </row>
    <row r="292" spans="2:137" ht="13.2">
      <c r="B292" s="30" t="str">
        <f t="shared" si="10"/>
        <v>2023/9</v>
      </c>
      <c r="C292" s="31">
        <f t="shared" si="11"/>
        <v>2600</v>
      </c>
      <c r="D292" s="32">
        <v>45181</v>
      </c>
      <c r="E292" s="33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3"/>
      <c r="R292" s="33"/>
      <c r="S292" s="33"/>
      <c r="T292" s="33"/>
      <c r="U292" s="35"/>
      <c r="V292" s="36"/>
      <c r="W292" s="37"/>
      <c r="X292" s="34"/>
      <c r="Y292" s="33"/>
      <c r="Z292" s="33"/>
      <c r="AA292" s="33"/>
      <c r="AB292" s="35"/>
      <c r="AC292" s="34"/>
      <c r="AD292" s="34"/>
      <c r="AE292" s="34"/>
      <c r="AF292" s="34"/>
      <c r="AG292" s="34"/>
      <c r="AH292" s="33"/>
      <c r="AI292" s="33"/>
      <c r="AJ292" s="34"/>
      <c r="AK292" s="33"/>
      <c r="AL292" s="33"/>
      <c r="AM292" s="33"/>
      <c r="AN292" s="34"/>
      <c r="AO292" s="34"/>
      <c r="AP292" s="33"/>
      <c r="AQ292" s="34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>
        <v>250</v>
      </c>
      <c r="BI292" s="33"/>
      <c r="BJ292" s="33"/>
      <c r="BK292" s="33"/>
      <c r="BL292" s="34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5"/>
      <c r="CC292" s="33"/>
      <c r="CD292" s="33"/>
      <c r="CE292" s="33"/>
      <c r="CF292" s="34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>
        <v>250</v>
      </c>
      <c r="CV292" s="33"/>
      <c r="CW292" s="33"/>
      <c r="CX292" s="33"/>
      <c r="CY292" s="33"/>
      <c r="CZ292" s="34"/>
      <c r="DA292" s="33"/>
      <c r="DB292" s="33"/>
      <c r="DC292" s="33"/>
      <c r="DD292" s="33"/>
      <c r="DE292" s="33"/>
      <c r="DF292" s="33"/>
      <c r="DG292" s="33"/>
      <c r="DH292" s="33">
        <v>250</v>
      </c>
      <c r="DI292" s="33"/>
      <c r="DJ292" s="33"/>
      <c r="DK292" s="33"/>
      <c r="DL292" s="33"/>
      <c r="DM292" s="34"/>
      <c r="DN292" s="34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>
        <v>1850</v>
      </c>
      <c r="EF292" s="33"/>
      <c r="EG292" s="38"/>
    </row>
    <row r="293" spans="2:137" ht="13.2">
      <c r="B293" s="30" t="str">
        <f t="shared" si="10"/>
        <v>2023/9</v>
      </c>
      <c r="C293" s="31">
        <f t="shared" si="11"/>
        <v>250</v>
      </c>
      <c r="D293" s="32">
        <v>45182</v>
      </c>
      <c r="E293" s="33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3"/>
      <c r="R293" s="33"/>
      <c r="S293" s="33"/>
      <c r="T293" s="33"/>
      <c r="U293" s="35"/>
      <c r="V293" s="36"/>
      <c r="W293" s="37"/>
      <c r="X293" s="34"/>
      <c r="Y293" s="33"/>
      <c r="Z293" s="33"/>
      <c r="AA293" s="33"/>
      <c r="AB293" s="35"/>
      <c r="AC293" s="34"/>
      <c r="AD293" s="34"/>
      <c r="AE293" s="34"/>
      <c r="AF293" s="34"/>
      <c r="AG293" s="34"/>
      <c r="AH293" s="33"/>
      <c r="AI293" s="33"/>
      <c r="AJ293" s="34"/>
      <c r="AK293" s="33"/>
      <c r="AL293" s="33"/>
      <c r="AM293" s="33"/>
      <c r="AN293" s="34"/>
      <c r="AO293" s="34"/>
      <c r="AP293" s="33"/>
      <c r="AQ293" s="34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4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5"/>
      <c r="CC293" s="33"/>
      <c r="CD293" s="33"/>
      <c r="CE293" s="33"/>
      <c r="CF293" s="34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4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4"/>
      <c r="DN293" s="34" t="s">
        <v>210</v>
      </c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>
        <v>250</v>
      </c>
      <c r="DZ293" s="33"/>
      <c r="EA293" s="33"/>
      <c r="EB293" s="33"/>
      <c r="EC293" s="33"/>
      <c r="ED293" s="33"/>
      <c r="EE293" s="33"/>
      <c r="EF293" s="33"/>
      <c r="EG293" s="38"/>
    </row>
    <row r="294" spans="2:137" ht="13.2">
      <c r="B294" s="30" t="str">
        <f t="shared" si="10"/>
        <v>2023/9</v>
      </c>
      <c r="C294" s="31">
        <f t="shared" si="11"/>
        <v>250</v>
      </c>
      <c r="D294" s="32">
        <v>45183</v>
      </c>
      <c r="E294" s="33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3"/>
      <c r="R294" s="33"/>
      <c r="S294" s="33"/>
      <c r="T294" s="33"/>
      <c r="U294" s="35"/>
      <c r="V294" s="36"/>
      <c r="W294" s="37"/>
      <c r="X294" s="34"/>
      <c r="Y294" s="33"/>
      <c r="Z294" s="33"/>
      <c r="AA294" s="33"/>
      <c r="AB294" s="35"/>
      <c r="AC294" s="34"/>
      <c r="AD294" s="34"/>
      <c r="AE294" s="34"/>
      <c r="AF294" s="34"/>
      <c r="AG294" s="34"/>
      <c r="AH294" s="33"/>
      <c r="AI294" s="33"/>
      <c r="AJ294" s="34"/>
      <c r="AK294" s="33"/>
      <c r="AL294" s="33"/>
      <c r="AM294" s="33"/>
      <c r="AN294" s="34"/>
      <c r="AO294" s="34"/>
      <c r="AP294" s="33"/>
      <c r="AQ294" s="34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4" t="s">
        <v>212</v>
      </c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5"/>
      <c r="CC294" s="33"/>
      <c r="CD294" s="33"/>
      <c r="CE294" s="33"/>
      <c r="CF294" s="34" t="s">
        <v>230</v>
      </c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 t="s">
        <v>208</v>
      </c>
      <c r="CY294" s="33"/>
      <c r="CZ294" s="34"/>
      <c r="DA294" s="33"/>
      <c r="DB294" s="33"/>
      <c r="DC294" s="33"/>
      <c r="DD294" s="33"/>
      <c r="DE294" s="33"/>
      <c r="DF294" s="33"/>
      <c r="DG294" s="33"/>
      <c r="DH294" s="33">
        <v>250</v>
      </c>
      <c r="DI294" s="33"/>
      <c r="DJ294" s="33"/>
      <c r="DK294" s="33"/>
      <c r="DL294" s="33"/>
      <c r="DM294" s="34"/>
      <c r="DN294" s="34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8"/>
    </row>
    <row r="295" spans="2:137" ht="13.2">
      <c r="B295" s="30" t="str">
        <f t="shared" si="10"/>
        <v>2023/9</v>
      </c>
      <c r="C295" s="31">
        <f t="shared" si="11"/>
        <v>2120</v>
      </c>
      <c r="D295" s="32">
        <v>45184</v>
      </c>
      <c r="E295" s="33">
        <v>250</v>
      </c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3"/>
      <c r="R295" s="33"/>
      <c r="S295" s="33"/>
      <c r="T295" s="33"/>
      <c r="U295" s="35"/>
      <c r="V295" s="36"/>
      <c r="W295" s="37"/>
      <c r="X295" s="34"/>
      <c r="Y295" s="33"/>
      <c r="Z295" s="33"/>
      <c r="AA295" s="33"/>
      <c r="AB295" s="35"/>
      <c r="AC295" s="34"/>
      <c r="AD295" s="34"/>
      <c r="AE295" s="34"/>
      <c r="AF295" s="34"/>
      <c r="AG295" s="34"/>
      <c r="AH295" s="33"/>
      <c r="AI295" s="33"/>
      <c r="AJ295" s="34"/>
      <c r="AK295" s="33"/>
      <c r="AL295" s="33"/>
      <c r="AM295" s="33"/>
      <c r="AN295" s="34"/>
      <c r="AO295" s="34"/>
      <c r="AP295" s="33"/>
      <c r="AQ295" s="34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4"/>
      <c r="BM295" s="33"/>
      <c r="BN295" s="33"/>
      <c r="BO295" s="33"/>
      <c r="BP295" s="33">
        <v>220</v>
      </c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5"/>
      <c r="CC295" s="33"/>
      <c r="CD295" s="33"/>
      <c r="CE295" s="33"/>
      <c r="CF295" s="34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>
        <v>1000</v>
      </c>
      <c r="CY295" s="33"/>
      <c r="CZ295" s="34">
        <v>200</v>
      </c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4">
        <v>200</v>
      </c>
      <c r="DN295" s="34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>
        <v>250</v>
      </c>
      <c r="DZ295" s="33"/>
      <c r="EA295" s="33"/>
      <c r="EB295" s="33"/>
      <c r="EC295" s="33"/>
      <c r="ED295" s="33"/>
      <c r="EE295" s="33"/>
      <c r="EF295" s="33"/>
      <c r="EG295" s="38"/>
    </row>
    <row r="296" spans="2:137" ht="13.2">
      <c r="B296" s="30" t="str">
        <f t="shared" si="10"/>
        <v>2023/9</v>
      </c>
      <c r="C296" s="31">
        <f t="shared" si="11"/>
        <v>250</v>
      </c>
      <c r="D296" s="32">
        <v>45188</v>
      </c>
      <c r="E296" s="33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3"/>
      <c r="R296" s="33"/>
      <c r="S296" s="33"/>
      <c r="T296" s="33"/>
      <c r="U296" s="35"/>
      <c r="V296" s="36"/>
      <c r="W296" s="37"/>
      <c r="X296" s="34"/>
      <c r="Y296" s="33"/>
      <c r="Z296" s="33"/>
      <c r="AA296" s="33"/>
      <c r="AB296" s="35"/>
      <c r="AC296" s="34"/>
      <c r="AD296" s="34"/>
      <c r="AE296" s="34"/>
      <c r="AF296" s="34"/>
      <c r="AG296" s="34"/>
      <c r="AH296" s="33"/>
      <c r="AI296" s="33"/>
      <c r="AJ296" s="34"/>
      <c r="AK296" s="33"/>
      <c r="AL296" s="33"/>
      <c r="AM296" s="33"/>
      <c r="AN296" s="34"/>
      <c r="AO296" s="34"/>
      <c r="AP296" s="33"/>
      <c r="AQ296" s="34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4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5"/>
      <c r="CC296" s="33"/>
      <c r="CD296" s="33"/>
      <c r="CE296" s="33"/>
      <c r="CF296" s="34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4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4"/>
      <c r="DN296" s="34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>
        <v>250</v>
      </c>
      <c r="DZ296" s="33"/>
      <c r="EA296" s="33"/>
      <c r="EB296" s="33"/>
      <c r="EC296" s="33"/>
      <c r="ED296" s="33"/>
      <c r="EE296" s="33"/>
      <c r="EF296" s="33"/>
      <c r="EG296" s="38"/>
    </row>
    <row r="297" spans="2:137" ht="13.2">
      <c r="B297" s="30" t="str">
        <f t="shared" si="10"/>
        <v>2023/9</v>
      </c>
      <c r="C297" s="31">
        <f t="shared" si="11"/>
        <v>700</v>
      </c>
      <c r="D297" s="32">
        <v>45189</v>
      </c>
      <c r="E297" s="33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3"/>
      <c r="R297" s="33"/>
      <c r="S297" s="33"/>
      <c r="T297" s="33"/>
      <c r="U297" s="35"/>
      <c r="V297" s="36"/>
      <c r="W297" s="37"/>
      <c r="X297" s="34"/>
      <c r="Y297" s="33"/>
      <c r="Z297" s="33"/>
      <c r="AA297" s="33"/>
      <c r="AB297" s="35"/>
      <c r="AC297" s="34"/>
      <c r="AD297" s="34"/>
      <c r="AE297" s="34"/>
      <c r="AF297" s="34"/>
      <c r="AG297" s="34"/>
      <c r="AH297" s="33"/>
      <c r="AI297" s="33"/>
      <c r="AJ297" s="34"/>
      <c r="AK297" s="33"/>
      <c r="AL297" s="33"/>
      <c r="AM297" s="33"/>
      <c r="AN297" s="34"/>
      <c r="AO297" s="34"/>
      <c r="AP297" s="33"/>
      <c r="AQ297" s="34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>
        <v>500</v>
      </c>
      <c r="BI297" s="33"/>
      <c r="BJ297" s="33"/>
      <c r="BK297" s="33"/>
      <c r="BL297" s="34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5"/>
      <c r="CC297" s="33"/>
      <c r="CD297" s="33"/>
      <c r="CE297" s="33"/>
      <c r="CF297" s="34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4">
        <v>200</v>
      </c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4"/>
      <c r="DN297" s="34" t="s">
        <v>212</v>
      </c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8"/>
    </row>
    <row r="298" spans="2:137" ht="13.2">
      <c r="B298" s="30" t="str">
        <f t="shared" si="10"/>
        <v>2023/9</v>
      </c>
      <c r="C298" s="31">
        <f t="shared" si="11"/>
        <v>1870</v>
      </c>
      <c r="D298" s="32">
        <v>45190</v>
      </c>
      <c r="E298" s="33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3"/>
      <c r="R298" s="33"/>
      <c r="S298" s="33"/>
      <c r="T298" s="33"/>
      <c r="U298" s="35"/>
      <c r="V298" s="36"/>
      <c r="W298" s="37"/>
      <c r="X298" s="34"/>
      <c r="Y298" s="33"/>
      <c r="Z298" s="33"/>
      <c r="AA298" s="33"/>
      <c r="AB298" s="35"/>
      <c r="AC298" s="34"/>
      <c r="AD298" s="34"/>
      <c r="AE298" s="34"/>
      <c r="AF298" s="34"/>
      <c r="AG298" s="34"/>
      <c r="AH298" s="33"/>
      <c r="AI298" s="33"/>
      <c r="AJ298" s="34"/>
      <c r="AK298" s="33"/>
      <c r="AL298" s="33"/>
      <c r="AM298" s="33"/>
      <c r="AN298" s="34"/>
      <c r="AO298" s="34"/>
      <c r="AP298" s="33"/>
      <c r="AQ298" s="34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4" t="s">
        <v>207</v>
      </c>
      <c r="BM298" s="33"/>
      <c r="BN298" s="33"/>
      <c r="BO298" s="33"/>
      <c r="BP298" s="33">
        <v>220</v>
      </c>
      <c r="BQ298" s="33"/>
      <c r="BR298" s="33">
        <v>750</v>
      </c>
      <c r="BS298" s="33"/>
      <c r="BT298" s="33"/>
      <c r="BU298" s="33"/>
      <c r="BV298" s="33"/>
      <c r="BW298" s="33"/>
      <c r="BX298" s="33"/>
      <c r="BY298" s="33"/>
      <c r="BZ298" s="33"/>
      <c r="CA298" s="33"/>
      <c r="CB298" s="35"/>
      <c r="CC298" s="33"/>
      <c r="CD298" s="33"/>
      <c r="CE298" s="33"/>
      <c r="CF298" s="34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 t="s">
        <v>209</v>
      </c>
      <c r="CY298" s="33"/>
      <c r="CZ298" s="34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4"/>
      <c r="DN298" s="34">
        <v>700</v>
      </c>
      <c r="DO298" s="33">
        <v>200</v>
      </c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8"/>
    </row>
    <row r="299" spans="2:137" ht="13.2">
      <c r="B299" s="30" t="str">
        <f t="shared" si="10"/>
        <v>2023/9</v>
      </c>
      <c r="C299" s="31">
        <f t="shared" si="11"/>
        <v>1750</v>
      </c>
      <c r="D299" s="32">
        <v>45191</v>
      </c>
      <c r="E299" s="33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3"/>
      <c r="R299" s="33"/>
      <c r="S299" s="33"/>
      <c r="T299" s="33"/>
      <c r="U299" s="35"/>
      <c r="V299" s="36"/>
      <c r="W299" s="37"/>
      <c r="X299" s="34"/>
      <c r="Y299" s="33"/>
      <c r="Z299" s="33"/>
      <c r="AA299" s="33"/>
      <c r="AB299" s="35"/>
      <c r="AC299" s="34"/>
      <c r="AD299" s="34"/>
      <c r="AE299" s="34"/>
      <c r="AF299" s="34"/>
      <c r="AG299" s="34"/>
      <c r="AH299" s="33"/>
      <c r="AI299" s="33"/>
      <c r="AJ299" s="34"/>
      <c r="AK299" s="33"/>
      <c r="AL299" s="33"/>
      <c r="AM299" s="33"/>
      <c r="AN299" s="34"/>
      <c r="AO299" s="34"/>
      <c r="AP299" s="33"/>
      <c r="AQ299" s="34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4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5"/>
      <c r="CC299" s="33"/>
      <c r="CD299" s="33"/>
      <c r="CE299" s="33"/>
      <c r="CF299" s="34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>
        <v>800</v>
      </c>
      <c r="CS299" s="33"/>
      <c r="CT299" s="33"/>
      <c r="CU299" s="33"/>
      <c r="CV299" s="33"/>
      <c r="CW299" s="33"/>
      <c r="CX299" s="33"/>
      <c r="CY299" s="33"/>
      <c r="CZ299" s="34"/>
      <c r="DA299" s="33"/>
      <c r="DB299" s="33"/>
      <c r="DC299" s="33"/>
      <c r="DD299" s="33"/>
      <c r="DE299" s="33"/>
      <c r="DF299" s="33"/>
      <c r="DG299" s="33"/>
      <c r="DH299" s="33">
        <v>250</v>
      </c>
      <c r="DI299" s="33"/>
      <c r="DJ299" s="33"/>
      <c r="DK299" s="33"/>
      <c r="DL299" s="33"/>
      <c r="DM299" s="34">
        <v>200</v>
      </c>
      <c r="DN299" s="34"/>
      <c r="DO299" s="33"/>
      <c r="DP299" s="33"/>
      <c r="DQ299" s="33"/>
      <c r="DR299" s="33"/>
      <c r="DS299" s="33"/>
      <c r="DT299" s="33">
        <v>250</v>
      </c>
      <c r="DU299" s="33"/>
      <c r="DV299" s="33"/>
      <c r="DW299" s="33"/>
      <c r="DX299" s="33"/>
      <c r="DY299" s="33">
        <v>250</v>
      </c>
      <c r="DZ299" s="33"/>
      <c r="EA299" s="33"/>
      <c r="EB299" s="33"/>
      <c r="EC299" s="33"/>
      <c r="ED299" s="33"/>
      <c r="EE299" s="33"/>
      <c r="EF299" s="33"/>
      <c r="EG299" s="38"/>
    </row>
    <row r="300" spans="2:137" ht="13.2">
      <c r="B300" s="30" t="str">
        <f t="shared" si="10"/>
        <v>2023/9</v>
      </c>
      <c r="C300" s="31">
        <f t="shared" si="11"/>
        <v>250</v>
      </c>
      <c r="D300" s="32">
        <v>45195</v>
      </c>
      <c r="E300" s="33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3"/>
      <c r="R300" s="33"/>
      <c r="S300" s="33"/>
      <c r="T300" s="33"/>
      <c r="U300" s="35"/>
      <c r="V300" s="36"/>
      <c r="W300" s="37"/>
      <c r="X300" s="34"/>
      <c r="Y300" s="33"/>
      <c r="Z300" s="33"/>
      <c r="AA300" s="33"/>
      <c r="AB300" s="35"/>
      <c r="AC300" s="34"/>
      <c r="AD300" s="34"/>
      <c r="AE300" s="34"/>
      <c r="AF300" s="34"/>
      <c r="AG300" s="34"/>
      <c r="AH300" s="33"/>
      <c r="AI300" s="33"/>
      <c r="AJ300" s="34"/>
      <c r="AK300" s="33"/>
      <c r="AL300" s="33"/>
      <c r="AM300" s="33"/>
      <c r="AN300" s="34"/>
      <c r="AO300" s="34"/>
      <c r="AP300" s="33"/>
      <c r="AQ300" s="34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4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5"/>
      <c r="CC300" s="33"/>
      <c r="CD300" s="33"/>
      <c r="CE300" s="33"/>
      <c r="CF300" s="34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V300" s="33"/>
      <c r="CW300" s="33"/>
      <c r="CX300" s="33"/>
      <c r="CY300" s="33"/>
      <c r="CZ300" s="34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4"/>
      <c r="DN300" s="34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>
        <v>250</v>
      </c>
      <c r="DZ300" s="33"/>
      <c r="EA300" s="33"/>
      <c r="EB300" s="33"/>
      <c r="EC300" s="33"/>
      <c r="ED300" s="33"/>
      <c r="EE300" s="33"/>
      <c r="EF300" s="33"/>
      <c r="EG300" s="38"/>
    </row>
    <row r="301" spans="2:137" ht="13.2">
      <c r="B301" s="30" t="str">
        <f t="shared" si="10"/>
        <v>2023/9</v>
      </c>
      <c r="C301" s="31">
        <f t="shared" si="11"/>
        <v>750</v>
      </c>
      <c r="D301" s="32">
        <v>45196</v>
      </c>
      <c r="E301" s="33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3"/>
      <c r="R301" s="33"/>
      <c r="S301" s="33"/>
      <c r="T301" s="33"/>
      <c r="U301" s="35"/>
      <c r="V301" s="36"/>
      <c r="W301" s="37"/>
      <c r="X301" s="34"/>
      <c r="Y301" s="33"/>
      <c r="Z301" s="33"/>
      <c r="AA301" s="33"/>
      <c r="AB301" s="35"/>
      <c r="AC301" s="34"/>
      <c r="AD301" s="34"/>
      <c r="AE301" s="34"/>
      <c r="AF301" s="34"/>
      <c r="AG301" s="34"/>
      <c r="AH301" s="33"/>
      <c r="AI301" s="33"/>
      <c r="AJ301" s="34"/>
      <c r="AK301" s="33"/>
      <c r="AL301" s="33"/>
      <c r="AM301" s="33"/>
      <c r="AN301" s="34"/>
      <c r="AO301" s="34"/>
      <c r="AP301" s="33"/>
      <c r="AQ301" s="34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 t="s">
        <v>227</v>
      </c>
      <c r="BI301" s="33"/>
      <c r="BJ301" s="33"/>
      <c r="BK301" s="33"/>
      <c r="BL301" s="34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5"/>
      <c r="CC301" s="33"/>
      <c r="CD301" s="33"/>
      <c r="CE301" s="33"/>
      <c r="CF301" s="34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>
        <v>500</v>
      </c>
      <c r="CV301" s="33"/>
      <c r="CW301" s="33"/>
      <c r="CX301" s="33"/>
      <c r="CY301" s="33"/>
      <c r="CZ301" s="34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4"/>
      <c r="DN301" s="34" t="s">
        <v>207</v>
      </c>
      <c r="DO301" s="33"/>
      <c r="DP301" s="33"/>
      <c r="DQ301" s="33"/>
      <c r="DR301" s="33"/>
      <c r="DS301" s="33"/>
      <c r="DT301" s="33">
        <v>250</v>
      </c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8"/>
    </row>
    <row r="302" spans="2:137" ht="13.2">
      <c r="B302" s="30" t="str">
        <f t="shared" si="10"/>
        <v>2023/9</v>
      </c>
      <c r="C302" s="31" t="str">
        <f t="shared" si="11"/>
        <v/>
      </c>
      <c r="D302" s="32">
        <v>45197</v>
      </c>
      <c r="E302" s="33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3"/>
      <c r="R302" s="33"/>
      <c r="S302" s="33"/>
      <c r="T302" s="33"/>
      <c r="U302" s="35"/>
      <c r="V302" s="36"/>
      <c r="W302" s="37"/>
      <c r="X302" s="34"/>
      <c r="Y302" s="33"/>
      <c r="Z302" s="33"/>
      <c r="AA302" s="33"/>
      <c r="AB302" s="35"/>
      <c r="AC302" s="34"/>
      <c r="AD302" s="34"/>
      <c r="AE302" s="34"/>
      <c r="AF302" s="34"/>
      <c r="AG302" s="34"/>
      <c r="AH302" s="33"/>
      <c r="AI302" s="33"/>
      <c r="AJ302" s="34"/>
      <c r="AK302" s="33"/>
      <c r="AL302" s="33"/>
      <c r="AM302" s="33"/>
      <c r="AN302" s="34"/>
      <c r="AO302" s="34"/>
      <c r="AP302" s="33"/>
      <c r="AQ302" s="34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4" t="s">
        <v>208</v>
      </c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5"/>
      <c r="CC302" s="33"/>
      <c r="CD302" s="33"/>
      <c r="CE302" s="33"/>
      <c r="CF302" s="34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 t="s">
        <v>209</v>
      </c>
      <c r="CS302" s="33"/>
      <c r="CT302" s="33"/>
      <c r="CU302" s="33"/>
      <c r="CV302" s="33"/>
      <c r="CW302" s="33"/>
      <c r="CX302" s="33" t="s">
        <v>206</v>
      </c>
      <c r="CY302" s="33"/>
      <c r="CZ302" s="34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4"/>
      <c r="DN302" s="34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8"/>
    </row>
    <row r="303" spans="2:137" ht="13.2">
      <c r="B303" s="30" t="str">
        <f t="shared" si="10"/>
        <v>2023/9</v>
      </c>
      <c r="C303" s="31">
        <f t="shared" si="11"/>
        <v>650</v>
      </c>
      <c r="D303" s="32">
        <v>45198</v>
      </c>
      <c r="E303" s="33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3"/>
      <c r="R303" s="33"/>
      <c r="S303" s="33"/>
      <c r="T303" s="33"/>
      <c r="U303" s="35"/>
      <c r="V303" s="36"/>
      <c r="W303" s="37"/>
      <c r="X303" s="34"/>
      <c r="Y303" s="33"/>
      <c r="Z303" s="33"/>
      <c r="AA303" s="33"/>
      <c r="AB303" s="35"/>
      <c r="AC303" s="34"/>
      <c r="AD303" s="34"/>
      <c r="AE303" s="34"/>
      <c r="AF303" s="34"/>
      <c r="AG303" s="34"/>
      <c r="AH303" s="33"/>
      <c r="AI303" s="33"/>
      <c r="AJ303" s="34"/>
      <c r="AK303" s="33"/>
      <c r="AL303" s="33"/>
      <c r="AM303" s="33"/>
      <c r="AN303" s="34"/>
      <c r="AO303" s="34"/>
      <c r="AP303" s="33"/>
      <c r="AQ303" s="34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4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5"/>
      <c r="CC303" s="33"/>
      <c r="CD303" s="33"/>
      <c r="CE303" s="33"/>
      <c r="CF303" s="34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4">
        <v>200</v>
      </c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4">
        <v>200</v>
      </c>
      <c r="DN303" s="34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>
        <v>250</v>
      </c>
      <c r="DZ303" s="33"/>
      <c r="EA303" s="33"/>
      <c r="EB303" s="33"/>
      <c r="EC303" s="33"/>
      <c r="ED303" s="33"/>
      <c r="EE303" s="33"/>
      <c r="EF303" s="33"/>
      <c r="EG303" s="38"/>
    </row>
    <row r="304" spans="2:137" ht="13.2">
      <c r="B304" s="30" t="str">
        <f t="shared" si="10"/>
        <v>2023/10</v>
      </c>
      <c r="C304" s="31" t="str">
        <f t="shared" si="11"/>
        <v/>
      </c>
      <c r="D304" s="32">
        <v>45201</v>
      </c>
      <c r="E304" s="33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3"/>
      <c r="R304" s="33"/>
      <c r="S304" s="33"/>
      <c r="T304" s="33"/>
      <c r="U304" s="35"/>
      <c r="V304" s="36"/>
      <c r="W304" s="37"/>
      <c r="X304" s="34"/>
      <c r="Y304" s="33"/>
      <c r="Z304" s="33"/>
      <c r="AA304" s="33"/>
      <c r="AB304" s="35"/>
      <c r="AC304" s="34"/>
      <c r="AD304" s="34"/>
      <c r="AE304" s="34"/>
      <c r="AF304" s="34"/>
      <c r="AG304" s="34"/>
      <c r="AH304" s="33"/>
      <c r="AI304" s="33"/>
      <c r="AJ304" s="34"/>
      <c r="AK304" s="33"/>
      <c r="AL304" s="33"/>
      <c r="AM304" s="33"/>
      <c r="AN304" s="34"/>
      <c r="AO304" s="34"/>
      <c r="AP304" s="33"/>
      <c r="AQ304" s="34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4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5"/>
      <c r="CC304" s="33"/>
      <c r="CD304" s="33"/>
      <c r="CE304" s="33"/>
      <c r="CF304" s="34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4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4"/>
      <c r="DN304" s="34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8"/>
    </row>
    <row r="305" spans="2:137" ht="13.2">
      <c r="B305" s="30" t="str">
        <f t="shared" si="10"/>
        <v>2023/10</v>
      </c>
      <c r="C305" s="31">
        <f t="shared" si="11"/>
        <v>1250</v>
      </c>
      <c r="D305" s="32">
        <v>45202</v>
      </c>
      <c r="E305" s="33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3"/>
      <c r="R305" s="33"/>
      <c r="S305" s="33"/>
      <c r="T305" s="33"/>
      <c r="U305" s="35"/>
      <c r="V305" s="36"/>
      <c r="W305" s="37"/>
      <c r="X305" s="34"/>
      <c r="Y305" s="33"/>
      <c r="Z305" s="33"/>
      <c r="AA305" s="33"/>
      <c r="AB305" s="35"/>
      <c r="AC305" s="34"/>
      <c r="AD305" s="34"/>
      <c r="AE305" s="34"/>
      <c r="AF305" s="34"/>
      <c r="AG305" s="34"/>
      <c r="AH305" s="33"/>
      <c r="AI305" s="33"/>
      <c r="AJ305" s="34"/>
      <c r="AK305" s="33"/>
      <c r="AL305" s="33"/>
      <c r="AM305" s="33"/>
      <c r="AN305" s="34"/>
      <c r="AO305" s="34"/>
      <c r="AP305" s="33"/>
      <c r="AQ305" s="34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4"/>
      <c r="BM305" s="33"/>
      <c r="BN305" s="33"/>
      <c r="BO305" s="33"/>
      <c r="BP305" s="33"/>
      <c r="BQ305" s="33"/>
      <c r="BR305" s="33">
        <v>750</v>
      </c>
      <c r="BS305" s="33"/>
      <c r="BT305" s="33"/>
      <c r="BU305" s="33"/>
      <c r="BV305" s="33"/>
      <c r="BW305" s="33"/>
      <c r="BX305" s="33"/>
      <c r="BY305" s="33"/>
      <c r="BZ305" s="33"/>
      <c r="CA305" s="33"/>
      <c r="CB305" s="35"/>
      <c r="CC305" s="33"/>
      <c r="CD305" s="33"/>
      <c r="CE305" s="33"/>
      <c r="CF305" s="34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 t="s">
        <v>206</v>
      </c>
      <c r="CS305" s="33"/>
      <c r="CT305" s="33"/>
      <c r="CU305" s="33">
        <v>250</v>
      </c>
      <c r="CV305" s="33"/>
      <c r="CW305" s="33"/>
      <c r="CX305" s="33"/>
      <c r="CY305" s="33"/>
      <c r="CZ305" s="34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4"/>
      <c r="DN305" s="34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>
        <v>250</v>
      </c>
      <c r="DZ305" s="33"/>
      <c r="EA305" s="33"/>
      <c r="EB305" s="33"/>
      <c r="EC305" s="33"/>
      <c r="ED305" s="33"/>
      <c r="EE305" s="33"/>
      <c r="EF305" s="33"/>
      <c r="EG305" s="38"/>
    </row>
    <row r="306" spans="2:137" ht="13.2">
      <c r="B306" s="30" t="str">
        <f t="shared" si="10"/>
        <v>2023/10</v>
      </c>
      <c r="C306" s="31">
        <f t="shared" si="11"/>
        <v>750</v>
      </c>
      <c r="D306" s="32">
        <v>45203</v>
      </c>
      <c r="E306" s="33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3"/>
      <c r="R306" s="33"/>
      <c r="S306" s="33"/>
      <c r="T306" s="33"/>
      <c r="U306" s="35"/>
      <c r="V306" s="36"/>
      <c r="W306" s="37"/>
      <c r="X306" s="34"/>
      <c r="Y306" s="33"/>
      <c r="Z306" s="33"/>
      <c r="AA306" s="33"/>
      <c r="AB306" s="35"/>
      <c r="AC306" s="34"/>
      <c r="AD306" s="34"/>
      <c r="AE306" s="34"/>
      <c r="AF306" s="34"/>
      <c r="AG306" s="34"/>
      <c r="AH306" s="33"/>
      <c r="AI306" s="33"/>
      <c r="AJ306" s="34"/>
      <c r="AK306" s="33"/>
      <c r="AL306" s="33"/>
      <c r="AM306" s="33"/>
      <c r="AN306" s="34"/>
      <c r="AO306" s="34"/>
      <c r="AP306" s="33"/>
      <c r="AQ306" s="34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4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5"/>
      <c r="CC306" s="33"/>
      <c r="CD306" s="33"/>
      <c r="CE306" s="33"/>
      <c r="CF306" s="34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4"/>
      <c r="DA306" s="33"/>
      <c r="DB306" s="33"/>
      <c r="DC306" s="33"/>
      <c r="DD306" s="33"/>
      <c r="DE306" s="33"/>
      <c r="DF306" s="33"/>
      <c r="DG306" s="33"/>
      <c r="DH306" s="33">
        <v>500</v>
      </c>
      <c r="DI306" s="33"/>
      <c r="DJ306" s="33"/>
      <c r="DK306" s="33"/>
      <c r="DL306" s="33"/>
      <c r="DM306" s="34"/>
      <c r="DN306" s="34" t="s">
        <v>224</v>
      </c>
      <c r="DO306" s="33"/>
      <c r="DP306" s="33"/>
      <c r="DQ306" s="33"/>
      <c r="DR306" s="33"/>
      <c r="DS306" s="33"/>
      <c r="DT306" s="33">
        <v>250</v>
      </c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8"/>
    </row>
    <row r="307" spans="2:137" ht="13.2">
      <c r="B307" s="30" t="str">
        <f t="shared" si="10"/>
        <v>2023/10</v>
      </c>
      <c r="C307" s="31">
        <f t="shared" si="11"/>
        <v>2420</v>
      </c>
      <c r="D307" s="32">
        <v>45204</v>
      </c>
      <c r="E307" s="33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3"/>
      <c r="R307" s="33"/>
      <c r="S307" s="33"/>
      <c r="T307" s="33"/>
      <c r="U307" s="35"/>
      <c r="V307" s="36"/>
      <c r="W307" s="37"/>
      <c r="X307" s="34"/>
      <c r="Y307" s="33"/>
      <c r="Z307" s="33"/>
      <c r="AA307" s="33"/>
      <c r="AB307" s="35"/>
      <c r="AC307" s="34"/>
      <c r="AD307" s="34"/>
      <c r="AE307" s="34"/>
      <c r="AF307" s="34"/>
      <c r="AG307" s="34"/>
      <c r="AH307" s="33"/>
      <c r="AI307" s="33"/>
      <c r="AJ307" s="34"/>
      <c r="AK307" s="33"/>
      <c r="AL307" s="33"/>
      <c r="AM307" s="33"/>
      <c r="AN307" s="34"/>
      <c r="AO307" s="34"/>
      <c r="AP307" s="33"/>
      <c r="AQ307" s="34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>
        <v>250</v>
      </c>
      <c r="BI307" s="33"/>
      <c r="BJ307" s="33"/>
      <c r="BK307" s="33"/>
      <c r="BL307" s="34">
        <v>920</v>
      </c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5">
        <v>800</v>
      </c>
      <c r="CC307" s="33"/>
      <c r="CD307" s="33"/>
      <c r="CE307" s="33"/>
      <c r="CF307" s="34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>
        <v>250</v>
      </c>
      <c r="CV307" s="33"/>
      <c r="CW307" s="33"/>
      <c r="CX307" s="33" t="s">
        <v>207</v>
      </c>
      <c r="CY307" s="33"/>
      <c r="CZ307" s="34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4">
        <v>200</v>
      </c>
      <c r="DN307" s="34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8"/>
    </row>
    <row r="308" spans="2:137" ht="13.2">
      <c r="B308" s="30" t="str">
        <f t="shared" si="10"/>
        <v>2023/10</v>
      </c>
      <c r="C308" s="31">
        <f t="shared" si="11"/>
        <v>2670</v>
      </c>
      <c r="D308" s="32">
        <v>45205</v>
      </c>
      <c r="E308" s="33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3"/>
      <c r="R308" s="33"/>
      <c r="S308" s="33"/>
      <c r="T308" s="33"/>
      <c r="U308" s="35"/>
      <c r="V308" s="36"/>
      <c r="W308" s="37"/>
      <c r="X308" s="34"/>
      <c r="Y308" s="33"/>
      <c r="Z308" s="33"/>
      <c r="AA308" s="33"/>
      <c r="AB308" s="35"/>
      <c r="AC308" s="34"/>
      <c r="AD308" s="34"/>
      <c r="AE308" s="34"/>
      <c r="AF308" s="34"/>
      <c r="AG308" s="34"/>
      <c r="AH308" s="33"/>
      <c r="AI308" s="33"/>
      <c r="AJ308" s="34"/>
      <c r="AK308" s="33"/>
      <c r="AL308" s="33"/>
      <c r="AM308" s="33"/>
      <c r="AN308" s="34"/>
      <c r="AO308" s="34"/>
      <c r="AP308" s="33"/>
      <c r="AQ308" s="34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>
        <v>250</v>
      </c>
      <c r="BJ308" s="33"/>
      <c r="BK308" s="33"/>
      <c r="BL308" s="34"/>
      <c r="BM308" s="33"/>
      <c r="BN308" s="33"/>
      <c r="BO308" s="33"/>
      <c r="BP308" s="33">
        <v>220</v>
      </c>
      <c r="BQ308" s="33"/>
      <c r="BR308" s="33" t="s">
        <v>209</v>
      </c>
      <c r="BS308" s="33"/>
      <c r="BT308" s="33"/>
      <c r="BU308" s="33"/>
      <c r="BV308" s="33"/>
      <c r="BW308" s="33"/>
      <c r="BX308" s="33"/>
      <c r="BY308" s="33"/>
      <c r="BZ308" s="33"/>
      <c r="CA308" s="33"/>
      <c r="CB308" s="35"/>
      <c r="CC308" s="33"/>
      <c r="CD308" s="33"/>
      <c r="CE308" s="33"/>
      <c r="CF308" s="34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4"/>
      <c r="DA308" s="33"/>
      <c r="DB308" s="33">
        <v>250</v>
      </c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4"/>
      <c r="DN308" s="34" t="s">
        <v>209</v>
      </c>
      <c r="DO308" s="33">
        <v>200</v>
      </c>
      <c r="DP308" s="33"/>
      <c r="DQ308" s="33"/>
      <c r="DR308" s="33"/>
      <c r="DS308" s="33"/>
      <c r="DT308" s="33"/>
      <c r="DU308" s="33"/>
      <c r="DV308" s="33"/>
      <c r="DW308" s="33"/>
      <c r="DX308" s="33"/>
      <c r="DY308" s="33">
        <v>250</v>
      </c>
      <c r="DZ308" s="33"/>
      <c r="EA308" s="33"/>
      <c r="EB308" s="33"/>
      <c r="EC308" s="33"/>
      <c r="ED308" s="33"/>
      <c r="EE308" s="33">
        <v>1500</v>
      </c>
      <c r="EF308" s="33"/>
      <c r="EG308" s="38"/>
    </row>
    <row r="309" spans="2:137" ht="13.2">
      <c r="B309" s="30" t="str">
        <f t="shared" si="10"/>
        <v>2023/10</v>
      </c>
      <c r="C309" s="31">
        <f t="shared" si="11"/>
        <v>1000</v>
      </c>
      <c r="D309" s="32">
        <v>45209</v>
      </c>
      <c r="E309" s="33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3"/>
      <c r="R309" s="33"/>
      <c r="S309" s="33"/>
      <c r="T309" s="33"/>
      <c r="U309" s="35"/>
      <c r="V309" s="36"/>
      <c r="W309" s="37"/>
      <c r="X309" s="34"/>
      <c r="Y309" s="33"/>
      <c r="Z309" s="33"/>
      <c r="AA309" s="33"/>
      <c r="AB309" s="35"/>
      <c r="AC309" s="34"/>
      <c r="AD309" s="34"/>
      <c r="AE309" s="34"/>
      <c r="AF309" s="34"/>
      <c r="AG309" s="34"/>
      <c r="AH309" s="33"/>
      <c r="AI309" s="33"/>
      <c r="AJ309" s="34"/>
      <c r="AK309" s="33"/>
      <c r="AL309" s="33"/>
      <c r="AM309" s="33"/>
      <c r="AN309" s="34"/>
      <c r="AO309" s="34"/>
      <c r="AP309" s="33"/>
      <c r="AQ309" s="34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4"/>
      <c r="BM309" s="33"/>
      <c r="BN309" s="33"/>
      <c r="BO309" s="33"/>
      <c r="BP309" s="33"/>
      <c r="BQ309" s="33"/>
      <c r="BR309" s="33" t="s">
        <v>206</v>
      </c>
      <c r="BS309" s="33"/>
      <c r="BT309" s="33"/>
      <c r="BU309" s="33"/>
      <c r="BV309" s="33"/>
      <c r="BW309" s="33"/>
      <c r="BX309" s="33"/>
      <c r="BY309" s="33"/>
      <c r="BZ309" s="33"/>
      <c r="CA309" s="33"/>
      <c r="CB309" s="35"/>
      <c r="CC309" s="33"/>
      <c r="CD309" s="33"/>
      <c r="CE309" s="33"/>
      <c r="CF309" s="34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 t="s">
        <v>207</v>
      </c>
      <c r="CS309" s="33"/>
      <c r="CT309" s="33"/>
      <c r="CU309" s="33">
        <v>250</v>
      </c>
      <c r="CV309" s="33"/>
      <c r="CW309" s="33"/>
      <c r="CX309" s="33" t="s">
        <v>208</v>
      </c>
      <c r="CY309" s="33"/>
      <c r="CZ309" s="34"/>
      <c r="DA309" s="33"/>
      <c r="DB309" s="33">
        <v>500</v>
      </c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4"/>
      <c r="DN309" s="34"/>
      <c r="DO309" s="33"/>
      <c r="DP309" s="33">
        <v>250</v>
      </c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8"/>
    </row>
    <row r="310" spans="2:137" ht="13.2">
      <c r="B310" s="30" t="str">
        <f t="shared" si="10"/>
        <v>2023/10</v>
      </c>
      <c r="C310" s="31">
        <f t="shared" si="11"/>
        <v>1000</v>
      </c>
      <c r="D310" s="32">
        <v>45210</v>
      </c>
      <c r="E310" s="33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3"/>
      <c r="R310" s="33"/>
      <c r="S310" s="33"/>
      <c r="T310" s="33"/>
      <c r="U310" s="35"/>
      <c r="V310" s="36"/>
      <c r="W310" s="37"/>
      <c r="X310" s="34"/>
      <c r="Y310" s="33"/>
      <c r="Z310" s="33"/>
      <c r="AA310" s="33"/>
      <c r="AB310" s="35"/>
      <c r="AC310" s="34"/>
      <c r="AD310" s="34"/>
      <c r="AE310" s="34"/>
      <c r="AF310" s="34"/>
      <c r="AG310" s="34"/>
      <c r="AH310" s="33"/>
      <c r="AI310" s="33"/>
      <c r="AJ310" s="34"/>
      <c r="AK310" s="33"/>
      <c r="AL310" s="33"/>
      <c r="AM310" s="33"/>
      <c r="AN310" s="34"/>
      <c r="AO310" s="34"/>
      <c r="AP310" s="33"/>
      <c r="AQ310" s="34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>
        <v>250</v>
      </c>
      <c r="BE310" s="33">
        <v>250</v>
      </c>
      <c r="BF310" s="33"/>
      <c r="BG310" s="33"/>
      <c r="BH310" s="33"/>
      <c r="BI310" s="33"/>
      <c r="BJ310" s="33"/>
      <c r="BK310" s="33"/>
      <c r="BL310" s="34" t="s">
        <v>206</v>
      </c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5"/>
      <c r="CC310" s="33"/>
      <c r="CD310" s="33"/>
      <c r="CE310" s="33"/>
      <c r="CF310" s="34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4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4"/>
      <c r="DN310" s="34"/>
      <c r="DO310" s="33"/>
      <c r="DP310" s="33">
        <v>250</v>
      </c>
      <c r="DQ310" s="33"/>
      <c r="DR310" s="33"/>
      <c r="DS310" s="33"/>
      <c r="DT310" s="33">
        <v>250</v>
      </c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8"/>
    </row>
    <row r="311" spans="2:137" ht="13.2">
      <c r="B311" s="30" t="str">
        <f t="shared" si="10"/>
        <v>2023/10</v>
      </c>
      <c r="C311" s="31">
        <f t="shared" si="11"/>
        <v>1550</v>
      </c>
      <c r="D311" s="32">
        <v>45212</v>
      </c>
      <c r="E311" s="33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3"/>
      <c r="R311" s="33"/>
      <c r="S311" s="33"/>
      <c r="T311" s="33"/>
      <c r="U311" s="35"/>
      <c r="V311" s="36"/>
      <c r="W311" s="37"/>
      <c r="X311" s="34"/>
      <c r="Y311" s="33"/>
      <c r="Z311" s="33"/>
      <c r="AA311" s="33"/>
      <c r="AB311" s="35"/>
      <c r="AC311" s="34"/>
      <c r="AD311" s="34"/>
      <c r="AE311" s="34"/>
      <c r="AF311" s="34"/>
      <c r="AG311" s="34"/>
      <c r="AH311" s="33"/>
      <c r="AI311" s="33"/>
      <c r="AJ311" s="34"/>
      <c r="AK311" s="33"/>
      <c r="AL311" s="33"/>
      <c r="AM311" s="33"/>
      <c r="AN311" s="34"/>
      <c r="AO311" s="34"/>
      <c r="AP311" s="33"/>
      <c r="AQ311" s="34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>
        <v>250</v>
      </c>
      <c r="BI311" s="33"/>
      <c r="BJ311" s="33"/>
      <c r="BK311" s="33"/>
      <c r="BL311" s="34"/>
      <c r="BM311" s="33"/>
      <c r="BN311" s="33"/>
      <c r="BO311" s="33"/>
      <c r="BP311" s="33"/>
      <c r="BQ311" s="33"/>
      <c r="BR311" s="33" t="s">
        <v>207</v>
      </c>
      <c r="BS311" s="33"/>
      <c r="BT311" s="33"/>
      <c r="BU311" s="33"/>
      <c r="BV311" s="33"/>
      <c r="BW311" s="33"/>
      <c r="BX311" s="33"/>
      <c r="BY311" s="33"/>
      <c r="BZ311" s="33"/>
      <c r="CA311" s="33"/>
      <c r="CB311" s="35"/>
      <c r="CC311" s="33"/>
      <c r="CD311" s="33"/>
      <c r="CE311" s="33"/>
      <c r="CF311" s="34">
        <v>400</v>
      </c>
      <c r="CG311" s="33"/>
      <c r="CH311" s="33"/>
      <c r="CI311" s="33"/>
      <c r="CJ311" s="33"/>
      <c r="CK311" s="33"/>
      <c r="CL311" s="33"/>
      <c r="CM311" s="33"/>
      <c r="CN311" s="33">
        <v>250</v>
      </c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4">
        <v>200</v>
      </c>
      <c r="DA311" s="33"/>
      <c r="DB311" s="33" t="s">
        <v>227</v>
      </c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4">
        <v>200</v>
      </c>
      <c r="DN311" s="34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>
        <v>250</v>
      </c>
      <c r="DZ311" s="33"/>
      <c r="EA311" s="33"/>
      <c r="EB311" s="33"/>
      <c r="EC311" s="33"/>
      <c r="ED311" s="33"/>
      <c r="EE311" s="33"/>
      <c r="EF311" s="33"/>
      <c r="EG311" s="38"/>
    </row>
    <row r="312" spans="2:137" ht="13.2">
      <c r="B312" s="30" t="str">
        <f t="shared" si="10"/>
        <v>2023/10</v>
      </c>
      <c r="C312" s="31">
        <f t="shared" si="11"/>
        <v>2620</v>
      </c>
      <c r="D312" s="32">
        <v>45216</v>
      </c>
      <c r="E312" s="33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3"/>
      <c r="R312" s="33"/>
      <c r="S312" s="33"/>
      <c r="T312" s="33"/>
      <c r="U312" s="35"/>
      <c r="V312" s="36"/>
      <c r="W312" s="37"/>
      <c r="X312" s="34"/>
      <c r="Y312" s="33"/>
      <c r="Z312" s="33"/>
      <c r="AA312" s="33"/>
      <c r="AB312" s="35"/>
      <c r="AC312" s="34"/>
      <c r="AD312" s="34"/>
      <c r="AE312" s="34"/>
      <c r="AF312" s="34"/>
      <c r="AG312" s="34"/>
      <c r="AH312" s="33"/>
      <c r="AI312" s="33"/>
      <c r="AJ312" s="34"/>
      <c r="AK312" s="33"/>
      <c r="AL312" s="33"/>
      <c r="AM312" s="33"/>
      <c r="AN312" s="34"/>
      <c r="AO312" s="34"/>
      <c r="AP312" s="33"/>
      <c r="AQ312" s="34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4"/>
      <c r="BM312" s="33"/>
      <c r="BN312" s="33"/>
      <c r="BO312" s="33"/>
      <c r="BP312" s="33"/>
      <c r="BQ312" s="33" t="s">
        <v>209</v>
      </c>
      <c r="BR312" s="33" t="s">
        <v>208</v>
      </c>
      <c r="BS312" s="33"/>
      <c r="BT312" s="33"/>
      <c r="BU312" s="33"/>
      <c r="BV312" s="33"/>
      <c r="BW312" s="33"/>
      <c r="BX312" s="33"/>
      <c r="BY312" s="33"/>
      <c r="BZ312" s="33"/>
      <c r="CA312" s="33"/>
      <c r="CB312" s="35"/>
      <c r="CC312" s="33"/>
      <c r="CD312" s="33"/>
      <c r="CE312" s="33"/>
      <c r="CF312" s="34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 t="s">
        <v>207</v>
      </c>
      <c r="CS312" s="33"/>
      <c r="CT312" s="33"/>
      <c r="CU312" s="33"/>
      <c r="CV312" s="33"/>
      <c r="CW312" s="33"/>
      <c r="CX312" s="33">
        <v>1000</v>
      </c>
      <c r="CY312" s="33"/>
      <c r="CZ312" s="34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4"/>
      <c r="DN312" s="34">
        <v>700</v>
      </c>
      <c r="DO312" s="33"/>
      <c r="DP312" s="33">
        <v>670</v>
      </c>
      <c r="DQ312" s="33"/>
      <c r="DR312" s="33"/>
      <c r="DS312" s="33"/>
      <c r="DT312" s="33"/>
      <c r="DU312" s="33"/>
      <c r="DV312" s="33"/>
      <c r="DW312" s="33"/>
      <c r="DX312" s="33"/>
      <c r="DY312" s="33">
        <v>250</v>
      </c>
      <c r="DZ312" s="33"/>
      <c r="EA312" s="33"/>
      <c r="EB312" s="33"/>
      <c r="EC312" s="33"/>
      <c r="ED312" s="33"/>
      <c r="EE312" s="33"/>
      <c r="EF312" s="33"/>
      <c r="EG312" s="38"/>
    </row>
    <row r="313" spans="2:137" ht="13.2">
      <c r="B313" s="30" t="str">
        <f t="shared" si="10"/>
        <v>2023/10</v>
      </c>
      <c r="C313" s="31">
        <f t="shared" si="11"/>
        <v>2900</v>
      </c>
      <c r="D313" s="32">
        <v>45217</v>
      </c>
      <c r="E313" s="33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3"/>
      <c r="R313" s="33"/>
      <c r="S313" s="33"/>
      <c r="T313" s="33"/>
      <c r="U313" s="35"/>
      <c r="V313" s="36"/>
      <c r="W313" s="37"/>
      <c r="X313" s="34"/>
      <c r="Y313" s="33"/>
      <c r="Z313" s="33"/>
      <c r="AA313" s="33"/>
      <c r="AB313" s="35"/>
      <c r="AC313" s="34"/>
      <c r="AD313" s="34"/>
      <c r="AE313" s="34"/>
      <c r="AF313" s="34"/>
      <c r="AG313" s="34"/>
      <c r="AH313" s="33"/>
      <c r="AI313" s="33"/>
      <c r="AJ313" s="34"/>
      <c r="AK313" s="33"/>
      <c r="AL313" s="33"/>
      <c r="AM313" s="33"/>
      <c r="AN313" s="34"/>
      <c r="AO313" s="34"/>
      <c r="AP313" s="33"/>
      <c r="AQ313" s="34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>
        <v>250</v>
      </c>
      <c r="BG313" s="33"/>
      <c r="BH313" s="33">
        <v>250</v>
      </c>
      <c r="BI313" s="33"/>
      <c r="BJ313" s="33"/>
      <c r="BK313" s="33"/>
      <c r="BL313" s="34"/>
      <c r="BM313" s="33"/>
      <c r="BN313" s="33"/>
      <c r="BO313" s="33"/>
      <c r="BP313" s="33"/>
      <c r="BQ313" s="33"/>
      <c r="BR313" s="33">
        <v>1900</v>
      </c>
      <c r="BS313" s="33"/>
      <c r="BT313" s="33"/>
      <c r="BU313" s="33"/>
      <c r="BV313" s="33"/>
      <c r="BW313" s="33"/>
      <c r="BX313" s="33"/>
      <c r="BY313" s="33"/>
      <c r="BZ313" s="33"/>
      <c r="CA313" s="33"/>
      <c r="CB313" s="35"/>
      <c r="CC313" s="33"/>
      <c r="CD313" s="33"/>
      <c r="CE313" s="33"/>
      <c r="CF313" s="34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>
        <v>250</v>
      </c>
      <c r="CW313" s="33"/>
      <c r="CX313" s="41"/>
      <c r="CY313" s="33"/>
      <c r="CZ313" s="34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4"/>
      <c r="DN313" s="34" t="s">
        <v>206</v>
      </c>
      <c r="DO313" s="33"/>
      <c r="DP313" s="33" t="s">
        <v>206</v>
      </c>
      <c r="DQ313" s="33"/>
      <c r="DR313" s="33"/>
      <c r="DS313" s="33"/>
      <c r="DT313" s="33">
        <v>250</v>
      </c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8"/>
    </row>
    <row r="314" spans="2:137" ht="13.2">
      <c r="B314" s="30" t="str">
        <f t="shared" si="10"/>
        <v>2023/10</v>
      </c>
      <c r="C314" s="31">
        <f t="shared" si="11"/>
        <v>2150</v>
      </c>
      <c r="D314" s="32">
        <v>45218</v>
      </c>
      <c r="E314" s="33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3"/>
      <c r="R314" s="33"/>
      <c r="S314" s="33"/>
      <c r="T314" s="33"/>
      <c r="U314" s="35"/>
      <c r="V314" s="36"/>
      <c r="W314" s="37"/>
      <c r="X314" s="34"/>
      <c r="Y314" s="33"/>
      <c r="Z314" s="33"/>
      <c r="AA314" s="33"/>
      <c r="AB314" s="35"/>
      <c r="AC314" s="34"/>
      <c r="AD314" s="34"/>
      <c r="AE314" s="34"/>
      <c r="AF314" s="34"/>
      <c r="AG314" s="34"/>
      <c r="AH314" s="33"/>
      <c r="AI314" s="33"/>
      <c r="AJ314" s="34"/>
      <c r="AK314" s="33"/>
      <c r="AL314" s="33"/>
      <c r="AM314" s="33"/>
      <c r="AN314" s="34"/>
      <c r="AO314" s="34"/>
      <c r="AP314" s="33"/>
      <c r="AQ314" s="34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4"/>
      <c r="BM314" s="33"/>
      <c r="BN314" s="33"/>
      <c r="BO314" s="33">
        <v>250</v>
      </c>
      <c r="BP314" s="33"/>
      <c r="BQ314" s="33">
        <v>950</v>
      </c>
      <c r="BR314" s="33" t="s">
        <v>231</v>
      </c>
      <c r="BS314" s="33"/>
      <c r="BT314" s="33"/>
      <c r="BU314" s="33"/>
      <c r="BV314" s="33"/>
      <c r="BW314" s="33"/>
      <c r="BX314" s="33"/>
      <c r="BY314" s="33"/>
      <c r="BZ314" s="33"/>
      <c r="CA314" s="33"/>
      <c r="CB314" s="35"/>
      <c r="CC314" s="33"/>
      <c r="CD314" s="33"/>
      <c r="CE314" s="33"/>
      <c r="CF314" s="34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 t="s">
        <v>210</v>
      </c>
      <c r="CY314" s="33"/>
      <c r="CZ314" s="34"/>
      <c r="DA314" s="33"/>
      <c r="DB314" s="33">
        <v>250</v>
      </c>
      <c r="DC314" s="33"/>
      <c r="DD314" s="33"/>
      <c r="DE314" s="33"/>
      <c r="DF314" s="33"/>
      <c r="DG314" s="33"/>
      <c r="DH314" s="33">
        <v>500</v>
      </c>
      <c r="DI314" s="33"/>
      <c r="DJ314" s="33"/>
      <c r="DK314" s="33"/>
      <c r="DL314" s="33"/>
      <c r="DM314" s="34"/>
      <c r="DN314" s="34"/>
      <c r="DO314" s="33">
        <v>200</v>
      </c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8"/>
    </row>
    <row r="315" spans="2:137" ht="13.2">
      <c r="B315" s="30" t="str">
        <f t="shared" si="10"/>
        <v>2023/10</v>
      </c>
      <c r="C315" s="31">
        <f t="shared" si="11"/>
        <v>950</v>
      </c>
      <c r="D315" s="32">
        <v>45219</v>
      </c>
      <c r="E315" s="33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3"/>
      <c r="R315" s="33"/>
      <c r="S315" s="33"/>
      <c r="T315" s="33"/>
      <c r="U315" s="35"/>
      <c r="V315" s="36"/>
      <c r="W315" s="37"/>
      <c r="X315" s="34"/>
      <c r="Y315" s="33"/>
      <c r="Z315" s="33"/>
      <c r="AA315" s="33"/>
      <c r="AB315" s="35"/>
      <c r="AC315" s="34"/>
      <c r="AD315" s="34"/>
      <c r="AE315" s="34"/>
      <c r="AF315" s="34"/>
      <c r="AG315" s="34"/>
      <c r="AH315" s="33"/>
      <c r="AI315" s="33"/>
      <c r="AJ315" s="34"/>
      <c r="AK315" s="33"/>
      <c r="AL315" s="33"/>
      <c r="AM315" s="33"/>
      <c r="AN315" s="34"/>
      <c r="AO315" s="34"/>
      <c r="AP315" s="33"/>
      <c r="AQ315" s="34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4" t="s">
        <v>207</v>
      </c>
      <c r="BM315" s="33"/>
      <c r="BN315" s="33"/>
      <c r="BO315" s="33"/>
      <c r="BP315" s="33"/>
      <c r="BQ315" s="33" t="s">
        <v>206</v>
      </c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5"/>
      <c r="CC315" s="33"/>
      <c r="CD315" s="33"/>
      <c r="CE315" s="33"/>
      <c r="CF315" s="34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>
        <v>250</v>
      </c>
      <c r="CV315" s="33"/>
      <c r="CW315" s="33"/>
      <c r="CX315" s="33"/>
      <c r="CY315" s="33"/>
      <c r="CZ315" s="34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4">
        <v>200</v>
      </c>
      <c r="DN315" s="34"/>
      <c r="DO315" s="33"/>
      <c r="DP315" s="33"/>
      <c r="DQ315" s="33"/>
      <c r="DR315" s="33"/>
      <c r="DS315" s="33"/>
      <c r="DT315" s="33">
        <v>250</v>
      </c>
      <c r="DU315" s="33"/>
      <c r="DV315" s="33"/>
      <c r="DW315" s="33"/>
      <c r="DX315" s="33"/>
      <c r="DY315" s="33">
        <v>250</v>
      </c>
      <c r="DZ315" s="33"/>
      <c r="EA315" s="33"/>
      <c r="EB315" s="33"/>
      <c r="EC315" s="33"/>
      <c r="ED315" s="33"/>
      <c r="EE315" s="33"/>
      <c r="EF315" s="33"/>
      <c r="EG315" s="38"/>
    </row>
    <row r="316" spans="2:137" ht="13.2">
      <c r="B316" s="30" t="str">
        <f t="shared" si="10"/>
        <v>2023/10</v>
      </c>
      <c r="C316" s="31">
        <f t="shared" si="11"/>
        <v>1050</v>
      </c>
      <c r="D316" s="32">
        <v>45223</v>
      </c>
      <c r="E316" s="33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3"/>
      <c r="R316" s="33"/>
      <c r="S316" s="33"/>
      <c r="T316" s="33"/>
      <c r="U316" s="35"/>
      <c r="V316" s="36"/>
      <c r="W316" s="37"/>
      <c r="X316" s="34"/>
      <c r="Y316" s="33"/>
      <c r="Z316" s="33"/>
      <c r="AA316" s="33"/>
      <c r="AB316" s="35"/>
      <c r="AC316" s="34"/>
      <c r="AD316" s="34"/>
      <c r="AE316" s="34"/>
      <c r="AF316" s="34"/>
      <c r="AG316" s="34"/>
      <c r="AH316" s="33"/>
      <c r="AI316" s="33"/>
      <c r="AJ316" s="34"/>
      <c r="AK316" s="33"/>
      <c r="AL316" s="33"/>
      <c r="AM316" s="33"/>
      <c r="AN316" s="34"/>
      <c r="AO316" s="34"/>
      <c r="AP316" s="33"/>
      <c r="AQ316" s="34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G316" s="33"/>
      <c r="BH316" s="33"/>
      <c r="BI316" s="33"/>
      <c r="BJ316" s="33"/>
      <c r="BK316" s="33"/>
      <c r="BL316" s="34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5"/>
      <c r="CC316" s="33"/>
      <c r="CD316" s="33"/>
      <c r="CE316" s="33"/>
      <c r="CF316" s="34"/>
      <c r="CG316" s="33"/>
      <c r="CH316" s="33"/>
      <c r="CI316" s="33"/>
      <c r="CJ316" s="33"/>
      <c r="CK316" s="33"/>
      <c r="CL316" s="33"/>
      <c r="CM316" s="33"/>
      <c r="CN316" s="33">
        <v>250</v>
      </c>
      <c r="CO316" s="33"/>
      <c r="CP316" s="33"/>
      <c r="CQ316" s="33"/>
      <c r="CR316" s="33">
        <v>800</v>
      </c>
      <c r="CS316" s="33"/>
      <c r="CT316" s="33"/>
      <c r="CU316" s="33"/>
      <c r="CV316" s="33"/>
      <c r="CW316" s="33"/>
      <c r="CX316" s="33"/>
      <c r="CY316" s="33"/>
      <c r="CZ316" s="34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4"/>
      <c r="DN316" s="34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8"/>
    </row>
    <row r="317" spans="2:137" ht="13.2">
      <c r="B317" s="30" t="str">
        <f t="shared" si="10"/>
        <v>2023/10</v>
      </c>
      <c r="C317" s="31">
        <f t="shared" si="11"/>
        <v>1220</v>
      </c>
      <c r="D317" s="32">
        <v>45224</v>
      </c>
      <c r="E317" s="33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3"/>
      <c r="R317" s="33"/>
      <c r="S317" s="33"/>
      <c r="T317" s="33"/>
      <c r="U317" s="35"/>
      <c r="V317" s="36"/>
      <c r="W317" s="37"/>
      <c r="X317" s="34"/>
      <c r="Y317" s="33"/>
      <c r="Z317" s="33"/>
      <c r="AA317" s="33"/>
      <c r="AB317" s="35"/>
      <c r="AC317" s="34"/>
      <c r="AD317" s="34"/>
      <c r="AE317" s="34"/>
      <c r="AF317" s="34"/>
      <c r="AG317" s="34"/>
      <c r="AH317" s="33"/>
      <c r="AI317" s="33"/>
      <c r="AJ317" s="34"/>
      <c r="AK317" s="33"/>
      <c r="AL317" s="33"/>
      <c r="AM317" s="33"/>
      <c r="AN317" s="34"/>
      <c r="AO317" s="34"/>
      <c r="AP317" s="33"/>
      <c r="AQ317" s="34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>
        <v>250</v>
      </c>
      <c r="BH317" s="33">
        <v>250</v>
      </c>
      <c r="BI317" s="33"/>
      <c r="BJ317" s="33"/>
      <c r="BK317" s="33"/>
      <c r="BL317" s="34"/>
      <c r="BM317" s="33"/>
      <c r="BN317" s="33"/>
      <c r="BO317" s="33"/>
      <c r="BP317" s="33">
        <v>220</v>
      </c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5"/>
      <c r="CC317" s="33"/>
      <c r="CD317" s="33"/>
      <c r="CE317" s="33"/>
      <c r="CF317" s="34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 t="s">
        <v>209</v>
      </c>
      <c r="CS317" s="33"/>
      <c r="CT317" s="33"/>
      <c r="CU317" s="33">
        <v>250</v>
      </c>
      <c r="CV317" s="33">
        <v>250</v>
      </c>
      <c r="CW317" s="33"/>
      <c r="CX317" s="33"/>
      <c r="CY317" s="33"/>
      <c r="CZ317" s="34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4"/>
      <c r="DN317" s="34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8"/>
    </row>
    <row r="318" spans="2:137" ht="13.2">
      <c r="B318" s="30" t="str">
        <f t="shared" si="10"/>
        <v>2023/10</v>
      </c>
      <c r="C318" s="31">
        <f t="shared" si="11"/>
        <v>500</v>
      </c>
      <c r="D318" s="32">
        <v>45225</v>
      </c>
      <c r="E318" s="33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3"/>
      <c r="R318" s="33"/>
      <c r="S318" s="33"/>
      <c r="T318" s="33"/>
      <c r="U318" s="35"/>
      <c r="V318" s="36"/>
      <c r="W318" s="37"/>
      <c r="X318" s="34"/>
      <c r="Y318" s="33"/>
      <c r="Z318" s="33"/>
      <c r="AA318" s="33"/>
      <c r="AB318" s="35"/>
      <c r="AC318" s="34"/>
      <c r="AD318" s="34"/>
      <c r="AE318" s="34"/>
      <c r="AF318" s="34"/>
      <c r="AG318" s="34"/>
      <c r="AH318" s="33"/>
      <c r="AI318" s="33"/>
      <c r="AJ318" s="34"/>
      <c r="AK318" s="33"/>
      <c r="AL318" s="33"/>
      <c r="AM318" s="33"/>
      <c r="AN318" s="34"/>
      <c r="AO318" s="34"/>
      <c r="AP318" s="33"/>
      <c r="AQ318" s="34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4" t="s">
        <v>208</v>
      </c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5"/>
      <c r="CC318" s="33"/>
      <c r="CD318" s="33"/>
      <c r="CE318" s="33"/>
      <c r="CF318" s="34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 t="s">
        <v>212</v>
      </c>
      <c r="CY318" s="33"/>
      <c r="CZ318" s="34"/>
      <c r="DA318" s="33"/>
      <c r="DB318" s="33"/>
      <c r="DC318" s="33"/>
      <c r="DD318" s="33"/>
      <c r="DE318" s="33"/>
      <c r="DF318" s="33"/>
      <c r="DG318" s="33"/>
      <c r="DH318" s="33">
        <v>250</v>
      </c>
      <c r="DI318" s="33"/>
      <c r="DJ318" s="33"/>
      <c r="DK318" s="33"/>
      <c r="DL318" s="33"/>
      <c r="DM318" s="34"/>
      <c r="DN318" s="34"/>
      <c r="DO318" s="33"/>
      <c r="DP318" s="33"/>
      <c r="DQ318" s="33"/>
      <c r="DR318" s="33"/>
      <c r="DS318" s="33"/>
      <c r="DT318" s="33">
        <v>250</v>
      </c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8"/>
    </row>
    <row r="319" spans="2:137" ht="13.2">
      <c r="B319" s="30" t="str">
        <f t="shared" si="10"/>
        <v>2023/10</v>
      </c>
      <c r="C319" s="31">
        <f t="shared" si="11"/>
        <v>1620</v>
      </c>
      <c r="D319" s="32">
        <v>45226</v>
      </c>
      <c r="E319" s="33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3"/>
      <c r="R319" s="33"/>
      <c r="S319" s="33"/>
      <c r="T319" s="33"/>
      <c r="U319" s="35"/>
      <c r="V319" s="36"/>
      <c r="W319" s="37"/>
      <c r="X319" s="34"/>
      <c r="Y319" s="33"/>
      <c r="Z319" s="33"/>
      <c r="AA319" s="33"/>
      <c r="AB319" s="35"/>
      <c r="AC319" s="34"/>
      <c r="AD319" s="34"/>
      <c r="AE319" s="34"/>
      <c r="AF319" s="34"/>
      <c r="AG319" s="34"/>
      <c r="AH319" s="33"/>
      <c r="AI319" s="33"/>
      <c r="AJ319" s="34"/>
      <c r="AK319" s="33"/>
      <c r="AL319" s="33"/>
      <c r="AM319" s="33"/>
      <c r="AN319" s="34"/>
      <c r="AO319" s="34"/>
      <c r="AP319" s="33"/>
      <c r="AQ319" s="34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4"/>
      <c r="BM319" s="33"/>
      <c r="BN319" s="33"/>
      <c r="BO319" s="33">
        <v>250</v>
      </c>
      <c r="BP319" s="33">
        <v>220</v>
      </c>
      <c r="BQ319" s="33" t="s">
        <v>207</v>
      </c>
      <c r="BR319" s="33" t="s">
        <v>232</v>
      </c>
      <c r="BS319" s="33"/>
      <c r="BT319" s="33"/>
      <c r="BU319" s="33"/>
      <c r="BV319" s="33"/>
      <c r="BW319" s="33"/>
      <c r="BX319" s="33"/>
      <c r="BY319" s="33"/>
      <c r="BZ319" s="33"/>
      <c r="CA319" s="33"/>
      <c r="CB319" s="35"/>
      <c r="CC319" s="33"/>
      <c r="CD319" s="33"/>
      <c r="CE319" s="33"/>
      <c r="CF319" s="34"/>
      <c r="CG319" s="33"/>
      <c r="CH319" s="33"/>
      <c r="CI319" s="33"/>
      <c r="CJ319" s="33"/>
      <c r="CK319" s="33"/>
      <c r="CL319" s="33"/>
      <c r="CM319" s="33"/>
      <c r="CN319" s="33">
        <v>250</v>
      </c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4">
        <v>200</v>
      </c>
      <c r="DA319" s="33"/>
      <c r="DB319" s="33">
        <v>250</v>
      </c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4">
        <v>200</v>
      </c>
      <c r="DN319" s="34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>
        <v>250</v>
      </c>
      <c r="DZ319" s="33"/>
      <c r="EA319" s="33"/>
      <c r="EB319" s="33"/>
      <c r="EC319" s="33"/>
      <c r="ED319" s="33"/>
      <c r="EE319" s="33"/>
      <c r="EF319" s="33"/>
      <c r="EG319" s="38"/>
    </row>
    <row r="320" spans="2:137" ht="13.2">
      <c r="B320" s="30" t="str">
        <f t="shared" si="10"/>
        <v>2023/10</v>
      </c>
      <c r="C320" s="31" t="str">
        <f t="shared" si="11"/>
        <v/>
      </c>
      <c r="D320" s="32">
        <v>45230</v>
      </c>
      <c r="E320" s="33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3"/>
      <c r="R320" s="33"/>
      <c r="S320" s="33"/>
      <c r="T320" s="33"/>
      <c r="U320" s="35"/>
      <c r="V320" s="36"/>
      <c r="W320" s="37"/>
      <c r="X320" s="34"/>
      <c r="Y320" s="33"/>
      <c r="Z320" s="33"/>
      <c r="AA320" s="33"/>
      <c r="AB320" s="35"/>
      <c r="AC320" s="34"/>
      <c r="AD320" s="34"/>
      <c r="AE320" s="34"/>
      <c r="AF320" s="34"/>
      <c r="AG320" s="34"/>
      <c r="AH320" s="33"/>
      <c r="AI320" s="33"/>
      <c r="AJ320" s="34"/>
      <c r="AK320" s="33"/>
      <c r="AL320" s="33"/>
      <c r="AM320" s="33"/>
      <c r="AN320" s="34"/>
      <c r="AO320" s="34"/>
      <c r="AP320" s="33"/>
      <c r="AQ320" s="34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4" t="s">
        <v>209</v>
      </c>
      <c r="BM320" s="33"/>
      <c r="BN320" s="33"/>
      <c r="BO320" s="33" t="s">
        <v>209</v>
      </c>
      <c r="BP320" s="33"/>
      <c r="BQ320" s="33"/>
      <c r="BR320" s="33" t="s">
        <v>233</v>
      </c>
      <c r="BS320" s="33"/>
      <c r="BT320" s="33"/>
      <c r="BU320" s="33"/>
      <c r="BV320" s="33"/>
      <c r="BW320" s="33"/>
      <c r="BX320" s="33"/>
      <c r="BY320" s="33"/>
      <c r="BZ320" s="33"/>
      <c r="CA320" s="33"/>
      <c r="CB320" s="35"/>
      <c r="CC320" s="33"/>
      <c r="CD320" s="33"/>
      <c r="CE320" s="33"/>
      <c r="CF320" s="34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 t="s">
        <v>234</v>
      </c>
      <c r="CS320" s="33"/>
      <c r="CT320" s="33"/>
      <c r="CU320" s="33"/>
      <c r="CV320" s="33"/>
      <c r="CW320" s="33"/>
      <c r="CX320" s="33"/>
      <c r="CY320" s="33"/>
      <c r="CZ320" s="34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4"/>
      <c r="DN320" s="34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8"/>
    </row>
    <row r="321" spans="2:137" ht="13.2">
      <c r="B321" s="30" t="str">
        <f t="shared" si="10"/>
        <v>2023/11</v>
      </c>
      <c r="C321" s="31">
        <f t="shared" si="11"/>
        <v>700</v>
      </c>
      <c r="D321" s="32">
        <v>45231</v>
      </c>
      <c r="E321" s="33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3"/>
      <c r="R321" s="33"/>
      <c r="S321" s="33"/>
      <c r="T321" s="33"/>
      <c r="U321" s="35"/>
      <c r="V321" s="36"/>
      <c r="W321" s="37"/>
      <c r="X321" s="34"/>
      <c r="Y321" s="33"/>
      <c r="Z321" s="33"/>
      <c r="AA321" s="33"/>
      <c r="AB321" s="35"/>
      <c r="AC321" s="34"/>
      <c r="AD321" s="34"/>
      <c r="AE321" s="34"/>
      <c r="AF321" s="34"/>
      <c r="AG321" s="34"/>
      <c r="AH321" s="33"/>
      <c r="AI321" s="33"/>
      <c r="AJ321" s="34"/>
      <c r="AK321" s="33"/>
      <c r="AL321" s="33"/>
      <c r="AM321" s="33"/>
      <c r="AN321" s="34"/>
      <c r="AO321" s="34"/>
      <c r="AP321" s="33"/>
      <c r="AQ321" s="34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4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5"/>
      <c r="CC321" s="33"/>
      <c r="CD321" s="33"/>
      <c r="CE321" s="33"/>
      <c r="CF321" s="34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>
        <v>250</v>
      </c>
      <c r="CW321" s="33"/>
      <c r="CX321" s="33"/>
      <c r="CY321" s="33"/>
      <c r="CZ321" s="34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4"/>
      <c r="DN321" s="34"/>
      <c r="DO321" s="33">
        <v>200</v>
      </c>
      <c r="DP321" s="33" t="s">
        <v>207</v>
      </c>
      <c r="DQ321" s="33"/>
      <c r="DR321" s="33"/>
      <c r="DS321" s="33"/>
      <c r="DT321" s="33">
        <v>250</v>
      </c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8"/>
    </row>
    <row r="322" spans="2:137" ht="13.2">
      <c r="B322" s="30" t="str">
        <f t="shared" si="10"/>
        <v>2023/11</v>
      </c>
      <c r="C322" s="31">
        <f t="shared" si="11"/>
        <v>2440</v>
      </c>
      <c r="D322" s="32">
        <v>45233</v>
      </c>
      <c r="E322" s="33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3"/>
      <c r="R322" s="33"/>
      <c r="S322" s="33"/>
      <c r="T322" s="33"/>
      <c r="U322" s="35"/>
      <c r="V322" s="36"/>
      <c r="W322" s="37"/>
      <c r="X322" s="34"/>
      <c r="Y322" s="33"/>
      <c r="Z322" s="33"/>
      <c r="AA322" s="33"/>
      <c r="AB322" s="35"/>
      <c r="AC322" s="34"/>
      <c r="AD322" s="34"/>
      <c r="AE322" s="34"/>
      <c r="AF322" s="34"/>
      <c r="AG322" s="34"/>
      <c r="AH322" s="33"/>
      <c r="AI322" s="33"/>
      <c r="AJ322" s="34"/>
      <c r="AK322" s="33"/>
      <c r="AL322" s="33"/>
      <c r="AM322" s="33"/>
      <c r="AN322" s="34"/>
      <c r="AO322" s="34"/>
      <c r="AP322" s="33"/>
      <c r="AQ322" s="34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4"/>
      <c r="BM322" s="33"/>
      <c r="BN322" s="33"/>
      <c r="BO322" s="33"/>
      <c r="BP322" s="33">
        <v>220</v>
      </c>
      <c r="BQ322" s="33" t="s">
        <v>208</v>
      </c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5">
        <v>600</v>
      </c>
      <c r="CC322" s="33"/>
      <c r="CD322" s="33"/>
      <c r="CE322" s="33"/>
      <c r="CF322" s="34"/>
      <c r="CG322" s="33"/>
      <c r="CH322" s="33"/>
      <c r="CI322" s="33"/>
      <c r="CJ322" s="33"/>
      <c r="CK322" s="33"/>
      <c r="CL322" s="33"/>
      <c r="CM322" s="33"/>
      <c r="CN322" s="33">
        <v>250</v>
      </c>
      <c r="CO322" s="33"/>
      <c r="CP322" s="33"/>
      <c r="CQ322" s="33"/>
      <c r="CR322" s="33"/>
      <c r="CS322" s="33"/>
      <c r="CT322" s="33"/>
      <c r="CU322" s="33"/>
      <c r="CV322" s="33"/>
      <c r="CW322" s="33"/>
      <c r="CX322" s="33" t="s">
        <v>207</v>
      </c>
      <c r="CY322" s="33"/>
      <c r="CZ322" s="34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4">
        <v>200</v>
      </c>
      <c r="DN322" s="34" t="s">
        <v>207</v>
      </c>
      <c r="DO322" s="33"/>
      <c r="DP322" s="33">
        <v>920</v>
      </c>
      <c r="DQ322" s="33" t="s">
        <v>209</v>
      </c>
      <c r="DR322" s="33"/>
      <c r="DS322" s="33"/>
      <c r="DT322" s="33"/>
      <c r="DU322" s="33"/>
      <c r="DV322" s="33"/>
      <c r="DW322" s="33"/>
      <c r="DX322" s="33"/>
      <c r="DY322" s="33">
        <v>250</v>
      </c>
      <c r="DZ322" s="33"/>
      <c r="EA322" s="33"/>
      <c r="EB322" s="33"/>
      <c r="EC322" s="33"/>
      <c r="ED322" s="33"/>
      <c r="EE322" s="33"/>
      <c r="EF322" s="33"/>
      <c r="EG322" s="38"/>
    </row>
    <row r="323" spans="2:137" ht="13.2">
      <c r="B323" s="30" t="str">
        <f t="shared" si="10"/>
        <v>2023/11</v>
      </c>
      <c r="C323" s="31">
        <f t="shared" si="11"/>
        <v>4120</v>
      </c>
      <c r="D323" s="32">
        <v>45237</v>
      </c>
      <c r="E323" s="33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3"/>
      <c r="R323" s="33"/>
      <c r="S323" s="33"/>
      <c r="T323" s="33"/>
      <c r="U323" s="35"/>
      <c r="V323" s="36"/>
      <c r="W323" s="37"/>
      <c r="X323" s="34"/>
      <c r="Y323" s="33"/>
      <c r="Z323" s="33"/>
      <c r="AA323" s="33"/>
      <c r="AB323" s="35"/>
      <c r="AC323" s="34"/>
      <c r="AD323" s="34"/>
      <c r="AE323" s="34"/>
      <c r="AF323" s="34"/>
      <c r="AG323" s="34"/>
      <c r="AH323" s="33"/>
      <c r="AI323" s="33"/>
      <c r="AJ323" s="34"/>
      <c r="AK323" s="33"/>
      <c r="AL323" s="33"/>
      <c r="AM323" s="33"/>
      <c r="AN323" s="34"/>
      <c r="AO323" s="34"/>
      <c r="AP323" s="33"/>
      <c r="AQ323" s="34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>
        <v>250</v>
      </c>
      <c r="BJ323" s="33"/>
      <c r="BK323" s="33"/>
      <c r="BL323" s="34">
        <v>920</v>
      </c>
      <c r="BM323" s="33"/>
      <c r="BN323" s="33"/>
      <c r="BO323" s="33">
        <v>950</v>
      </c>
      <c r="BP323" s="33"/>
      <c r="BQ323" s="33"/>
      <c r="BR323" s="33" t="s">
        <v>235</v>
      </c>
      <c r="BS323" s="33"/>
      <c r="BT323" s="33"/>
      <c r="BU323" s="33"/>
      <c r="BV323" s="33"/>
      <c r="BW323" s="33"/>
      <c r="BX323" s="33"/>
      <c r="BY323" s="33"/>
      <c r="BZ323" s="33"/>
      <c r="CA323" s="33"/>
      <c r="CB323" s="35"/>
      <c r="CC323" s="33"/>
      <c r="CD323" s="33"/>
      <c r="CE323" s="33"/>
      <c r="CF323" s="34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 t="s">
        <v>207</v>
      </c>
      <c r="CS323" s="33"/>
      <c r="CT323" s="33"/>
      <c r="CU323" s="33">
        <v>500</v>
      </c>
      <c r="CV323" s="33"/>
      <c r="CW323" s="33"/>
      <c r="CX323" s="33"/>
      <c r="CY323" s="33"/>
      <c r="CZ323" s="34"/>
      <c r="DA323" s="33"/>
      <c r="DB323" s="33"/>
      <c r="DC323" s="33"/>
      <c r="DD323" s="33"/>
      <c r="DE323" s="33"/>
      <c r="DF323" s="33"/>
      <c r="DG323" s="33"/>
      <c r="DH323" s="33">
        <v>250</v>
      </c>
      <c r="DI323" s="33"/>
      <c r="DJ323" s="33"/>
      <c r="DK323" s="33"/>
      <c r="DL323" s="33"/>
      <c r="DM323" s="34"/>
      <c r="DN323" s="34"/>
      <c r="DO323" s="33"/>
      <c r="DP323" s="33"/>
      <c r="DQ323" s="33">
        <v>1000</v>
      </c>
      <c r="DR323" s="33"/>
      <c r="DS323" s="33"/>
      <c r="DT323" s="33"/>
      <c r="DU323" s="33"/>
      <c r="DV323" s="33"/>
      <c r="DW323" s="33"/>
      <c r="DX323" s="33"/>
      <c r="DY323" s="33">
        <v>250</v>
      </c>
      <c r="DZ323" s="33"/>
      <c r="EA323" s="33"/>
      <c r="EB323" s="33"/>
      <c r="EC323" s="33"/>
      <c r="ED323" s="33"/>
      <c r="EE323" s="33"/>
      <c r="EF323" s="33"/>
      <c r="EG323" s="38"/>
    </row>
    <row r="324" spans="2:137" ht="13.2">
      <c r="B324" s="30" t="str">
        <f t="shared" ref="B324:B387" si="12">IF(D324&gt;0, CONCATENATE(YEAR(D324),"/",MONTH(D324)),"")</f>
        <v>2023/11</v>
      </c>
      <c r="C324" s="31">
        <f t="shared" ref="C324:C387" si="13">IF(SUM(E324:EG324)=0,"",SUM(E324:EG324))</f>
        <v>450</v>
      </c>
      <c r="D324" s="32">
        <v>45238</v>
      </c>
      <c r="E324" s="33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3"/>
      <c r="R324" s="33"/>
      <c r="S324" s="33"/>
      <c r="T324" s="33"/>
      <c r="U324" s="35"/>
      <c r="V324" s="36"/>
      <c r="W324" s="37"/>
      <c r="X324" s="34"/>
      <c r="Y324" s="33"/>
      <c r="Z324" s="33"/>
      <c r="AA324" s="33"/>
      <c r="AB324" s="35"/>
      <c r="AC324" s="34"/>
      <c r="AD324" s="34"/>
      <c r="AE324" s="34"/>
      <c r="AF324" s="34"/>
      <c r="AG324" s="34"/>
      <c r="AH324" s="33"/>
      <c r="AI324" s="33"/>
      <c r="AJ324" s="34"/>
      <c r="AK324" s="33"/>
      <c r="AL324" s="33"/>
      <c r="AM324" s="33"/>
      <c r="AN324" s="34"/>
      <c r="AO324" s="34"/>
      <c r="AP324" s="33"/>
      <c r="AQ324" s="34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4"/>
      <c r="BM324" s="33"/>
      <c r="BN324" s="33"/>
      <c r="BO324" s="33" t="s">
        <v>206</v>
      </c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5"/>
      <c r="CC324" s="33"/>
      <c r="CD324" s="33"/>
      <c r="CE324" s="33"/>
      <c r="CF324" s="34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4">
        <v>200</v>
      </c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4"/>
      <c r="DN324" s="34" t="s">
        <v>208</v>
      </c>
      <c r="DO324" s="33"/>
      <c r="DP324" s="33" t="s">
        <v>208</v>
      </c>
      <c r="DQ324" s="33"/>
      <c r="DR324" s="33"/>
      <c r="DS324" s="33"/>
      <c r="DT324" s="33">
        <v>250</v>
      </c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8"/>
    </row>
    <row r="325" spans="2:137" ht="13.2">
      <c r="B325" s="30" t="str">
        <f t="shared" si="12"/>
        <v>2023/11</v>
      </c>
      <c r="C325" s="31">
        <f t="shared" si="13"/>
        <v>1620</v>
      </c>
      <c r="D325" s="32">
        <v>45239</v>
      </c>
      <c r="E325" s="33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3"/>
      <c r="R325" s="33"/>
      <c r="S325" s="33"/>
      <c r="T325" s="33"/>
      <c r="U325" s="35"/>
      <c r="V325" s="36"/>
      <c r="W325" s="37"/>
      <c r="X325" s="34"/>
      <c r="Y325" s="33"/>
      <c r="Z325" s="33"/>
      <c r="AA325" s="33"/>
      <c r="AB325" s="35"/>
      <c r="AC325" s="34"/>
      <c r="AD325" s="34"/>
      <c r="AE325" s="34"/>
      <c r="AF325" s="34"/>
      <c r="AG325" s="34"/>
      <c r="AH325" s="33"/>
      <c r="AI325" s="33"/>
      <c r="AJ325" s="34"/>
      <c r="AK325" s="33"/>
      <c r="AL325" s="33"/>
      <c r="AM325" s="33"/>
      <c r="AN325" s="34"/>
      <c r="AO325" s="34"/>
      <c r="AP325" s="33"/>
      <c r="AQ325" s="34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>
        <v>250</v>
      </c>
      <c r="BK325" s="33"/>
      <c r="BL325" s="34"/>
      <c r="BM325" s="33"/>
      <c r="BN325" s="33"/>
      <c r="BO325" s="33"/>
      <c r="BP325" s="33">
        <v>220</v>
      </c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5"/>
      <c r="CC325" s="33"/>
      <c r="CD325" s="33"/>
      <c r="CE325" s="33"/>
      <c r="CF325" s="34">
        <v>400</v>
      </c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>
        <v>250</v>
      </c>
      <c r="CW325" s="33"/>
      <c r="CX325" s="33"/>
      <c r="CY325" s="33"/>
      <c r="CZ325" s="34"/>
      <c r="DA325" s="33"/>
      <c r="DB325" s="33">
        <v>250</v>
      </c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4"/>
      <c r="DN325" s="34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>
        <v>250</v>
      </c>
      <c r="DZ325" s="33"/>
      <c r="EA325" s="33"/>
      <c r="EB325" s="33"/>
      <c r="EC325" s="33"/>
      <c r="ED325" s="33"/>
      <c r="EE325" s="33"/>
      <c r="EF325" s="33"/>
      <c r="EG325" s="38"/>
    </row>
    <row r="326" spans="2:137" ht="13.2">
      <c r="B326" s="30" t="str">
        <f t="shared" si="12"/>
        <v>2023/11</v>
      </c>
      <c r="C326" s="31">
        <f t="shared" si="13"/>
        <v>1900</v>
      </c>
      <c r="D326" s="32">
        <v>45240</v>
      </c>
      <c r="E326" s="33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3"/>
      <c r="R326" s="33"/>
      <c r="S326" s="33"/>
      <c r="T326" s="33"/>
      <c r="U326" s="35"/>
      <c r="V326" s="36"/>
      <c r="W326" s="37"/>
      <c r="X326" s="34"/>
      <c r="Y326" s="33"/>
      <c r="Z326" s="33"/>
      <c r="AA326" s="33"/>
      <c r="AB326" s="35"/>
      <c r="AC326" s="34"/>
      <c r="AD326" s="34"/>
      <c r="AE326" s="34"/>
      <c r="AF326" s="34"/>
      <c r="AG326" s="34"/>
      <c r="AH326" s="33"/>
      <c r="AI326" s="33"/>
      <c r="AJ326" s="34"/>
      <c r="AK326" s="33"/>
      <c r="AL326" s="33"/>
      <c r="AM326" s="33"/>
      <c r="AN326" s="34"/>
      <c r="AO326" s="34"/>
      <c r="AP326" s="33"/>
      <c r="AQ326" s="34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4"/>
      <c r="BM326" s="33"/>
      <c r="BN326" s="33"/>
      <c r="BO326" s="33"/>
      <c r="BP326" s="33"/>
      <c r="BQ326" s="33" t="s">
        <v>209</v>
      </c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5"/>
      <c r="CC326" s="33"/>
      <c r="CD326" s="33"/>
      <c r="CE326" s="33"/>
      <c r="CF326" s="34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4">
        <v>200</v>
      </c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4">
        <v>200</v>
      </c>
      <c r="DN326" s="34"/>
      <c r="DO326" s="33"/>
      <c r="DP326" s="33"/>
      <c r="DQ326" s="33" t="s">
        <v>212</v>
      </c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>
        <v>1500</v>
      </c>
      <c r="EF326" s="33"/>
      <c r="EG326" s="38"/>
    </row>
    <row r="327" spans="2:137" ht="13.2">
      <c r="B327" s="30" t="str">
        <f t="shared" si="12"/>
        <v>2023/11</v>
      </c>
      <c r="C327" s="31">
        <f t="shared" si="13"/>
        <v>1200</v>
      </c>
      <c r="D327" s="32">
        <v>45243</v>
      </c>
      <c r="E327" s="33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3"/>
      <c r="R327" s="33"/>
      <c r="S327" s="33"/>
      <c r="T327" s="33"/>
      <c r="U327" s="35"/>
      <c r="V327" s="36"/>
      <c r="W327" s="37"/>
      <c r="X327" s="34"/>
      <c r="Y327" s="33"/>
      <c r="Z327" s="33"/>
      <c r="AA327" s="33"/>
      <c r="AB327" s="35"/>
      <c r="AC327" s="34"/>
      <c r="AD327" s="34"/>
      <c r="AE327" s="34"/>
      <c r="AF327" s="34"/>
      <c r="AG327" s="34"/>
      <c r="AH327" s="33"/>
      <c r="AI327" s="33"/>
      <c r="AJ327" s="34"/>
      <c r="AK327" s="33"/>
      <c r="AL327" s="33"/>
      <c r="AM327" s="33"/>
      <c r="AN327" s="34"/>
      <c r="AO327" s="34"/>
      <c r="AP327" s="33"/>
      <c r="AQ327" s="34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4" t="s">
        <v>206</v>
      </c>
      <c r="BM327" s="33"/>
      <c r="BN327" s="33"/>
      <c r="BO327" s="33"/>
      <c r="BP327" s="33"/>
      <c r="BQ327" s="33">
        <v>950</v>
      </c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5"/>
      <c r="CC327" s="33"/>
      <c r="CD327" s="33"/>
      <c r="CE327" s="33"/>
      <c r="CF327" s="34"/>
      <c r="CG327" s="33"/>
      <c r="CH327" s="33"/>
      <c r="CI327" s="33"/>
      <c r="CJ327" s="33"/>
      <c r="CK327" s="33"/>
      <c r="CL327" s="33"/>
      <c r="CM327" s="33"/>
      <c r="CN327" s="33">
        <v>250</v>
      </c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4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4"/>
      <c r="DN327" s="34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8"/>
    </row>
    <row r="328" spans="2:137" ht="13.2">
      <c r="B328" s="30" t="str">
        <f t="shared" si="12"/>
        <v>2023/11</v>
      </c>
      <c r="C328" s="31">
        <f t="shared" si="13"/>
        <v>1000</v>
      </c>
      <c r="D328" s="32">
        <v>45244</v>
      </c>
      <c r="E328" s="33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3"/>
      <c r="R328" s="33"/>
      <c r="S328" s="33"/>
      <c r="T328" s="33"/>
      <c r="U328" s="35"/>
      <c r="V328" s="36"/>
      <c r="W328" s="37"/>
      <c r="X328" s="34"/>
      <c r="Y328" s="33"/>
      <c r="Z328" s="33"/>
      <c r="AA328" s="33"/>
      <c r="AB328" s="35"/>
      <c r="AC328" s="34"/>
      <c r="AD328" s="34"/>
      <c r="AE328" s="34"/>
      <c r="AF328" s="34"/>
      <c r="AG328" s="34"/>
      <c r="AH328" s="33"/>
      <c r="AI328" s="33"/>
      <c r="AJ328" s="34"/>
      <c r="AK328" s="33"/>
      <c r="AL328" s="33"/>
      <c r="AM328" s="33"/>
      <c r="AN328" s="34"/>
      <c r="AO328" s="34"/>
      <c r="AP328" s="33"/>
      <c r="AQ328" s="34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4"/>
      <c r="BM328" s="33"/>
      <c r="BN328" s="33"/>
      <c r="BO328" s="33" t="s">
        <v>214</v>
      </c>
      <c r="BP328" s="33"/>
      <c r="BQ328" s="33"/>
      <c r="BR328" s="33" t="s">
        <v>236</v>
      </c>
      <c r="BS328" s="33"/>
      <c r="BT328" s="33"/>
      <c r="BU328" s="33"/>
      <c r="BV328" s="33"/>
      <c r="BW328" s="33"/>
      <c r="BX328" s="33"/>
      <c r="BY328" s="33"/>
      <c r="BZ328" s="33"/>
      <c r="CA328" s="33"/>
      <c r="CB328" s="35"/>
      <c r="CC328" s="33"/>
      <c r="CD328" s="33"/>
      <c r="CE328" s="33"/>
      <c r="CF328" s="34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 t="s">
        <v>208</v>
      </c>
      <c r="CS328" s="33"/>
      <c r="CT328" s="33"/>
      <c r="CU328" s="33">
        <v>250</v>
      </c>
      <c r="CV328" s="33">
        <v>250</v>
      </c>
      <c r="CW328" s="33"/>
      <c r="CX328" s="33" t="s">
        <v>224</v>
      </c>
      <c r="CY328" s="33"/>
      <c r="CZ328" s="34"/>
      <c r="DA328" s="33"/>
      <c r="DB328" s="33"/>
      <c r="DC328" s="33"/>
      <c r="DD328" s="33"/>
      <c r="DE328" s="33"/>
      <c r="DF328" s="33"/>
      <c r="DG328" s="33"/>
      <c r="DH328" s="33">
        <v>250</v>
      </c>
      <c r="DI328" s="33"/>
      <c r="DJ328" s="33"/>
      <c r="DK328" s="33"/>
      <c r="DL328" s="33"/>
      <c r="DM328" s="34"/>
      <c r="DN328" s="34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>
        <v>250</v>
      </c>
      <c r="DZ328" s="33"/>
      <c r="EA328" s="33"/>
      <c r="EB328" s="33"/>
      <c r="EC328" s="33"/>
      <c r="ED328" s="33"/>
      <c r="EE328" s="33"/>
      <c r="EF328" s="33"/>
      <c r="EG328" s="38"/>
    </row>
    <row r="329" spans="2:137" ht="13.2">
      <c r="B329" s="30" t="str">
        <f t="shared" si="12"/>
        <v>2023/11</v>
      </c>
      <c r="C329" s="31">
        <f t="shared" si="13"/>
        <v>2670</v>
      </c>
      <c r="D329" s="32">
        <v>45246</v>
      </c>
      <c r="E329" s="33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3"/>
      <c r="R329" s="33"/>
      <c r="S329" s="33"/>
      <c r="T329" s="33"/>
      <c r="U329" s="35"/>
      <c r="V329" s="36"/>
      <c r="W329" s="37"/>
      <c r="X329" s="34"/>
      <c r="Y329" s="33"/>
      <c r="Z329" s="33"/>
      <c r="AA329" s="33"/>
      <c r="AB329" s="35"/>
      <c r="AC329" s="34"/>
      <c r="AD329" s="34"/>
      <c r="AE329" s="34"/>
      <c r="AF329" s="34"/>
      <c r="AG329" s="34"/>
      <c r="AH329" s="33"/>
      <c r="AI329" s="33"/>
      <c r="AJ329" s="34"/>
      <c r="AK329" s="33"/>
      <c r="AL329" s="33"/>
      <c r="AM329" s="33"/>
      <c r="AN329" s="34"/>
      <c r="AO329" s="34"/>
      <c r="AP329" s="33"/>
      <c r="AQ329" s="34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>
        <v>250</v>
      </c>
      <c r="BK329" s="33"/>
      <c r="BL329" s="34" t="s">
        <v>207</v>
      </c>
      <c r="BM329" s="33"/>
      <c r="BN329" s="33"/>
      <c r="BO329" s="33"/>
      <c r="BP329" s="33"/>
      <c r="BQ329" s="33"/>
      <c r="BR329" s="33">
        <v>970</v>
      </c>
      <c r="BS329" s="33"/>
      <c r="BT329" s="33"/>
      <c r="BU329" s="33"/>
      <c r="BV329" s="33"/>
      <c r="BW329" s="33"/>
      <c r="BX329" s="33"/>
      <c r="BY329" s="33"/>
      <c r="BZ329" s="33"/>
      <c r="CA329" s="33"/>
      <c r="CB329" s="35"/>
      <c r="CC329" s="33"/>
      <c r="CD329" s="33"/>
      <c r="CE329" s="33"/>
      <c r="CF329" s="34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>
        <v>1000</v>
      </c>
      <c r="CY329" s="33"/>
      <c r="CZ329" s="34"/>
      <c r="DA329" s="33"/>
      <c r="DB329" s="33">
        <v>250</v>
      </c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4"/>
      <c r="DN329" s="34"/>
      <c r="DO329" s="33">
        <v>200</v>
      </c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8"/>
    </row>
    <row r="330" spans="2:137" ht="13.2">
      <c r="B330" s="30" t="str">
        <f t="shared" si="12"/>
        <v>2023/11</v>
      </c>
      <c r="C330" s="31">
        <f t="shared" si="13"/>
        <v>500</v>
      </c>
      <c r="D330" s="32">
        <v>45247</v>
      </c>
      <c r="E330" s="33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3"/>
      <c r="R330" s="33"/>
      <c r="S330" s="33"/>
      <c r="T330" s="33"/>
      <c r="U330" s="35"/>
      <c r="V330" s="36"/>
      <c r="W330" s="37"/>
      <c r="X330" s="34"/>
      <c r="Y330" s="33"/>
      <c r="Z330" s="33"/>
      <c r="AA330" s="33"/>
      <c r="AB330" s="35"/>
      <c r="AC330" s="34"/>
      <c r="AD330" s="34"/>
      <c r="AE330" s="34"/>
      <c r="AF330" s="34"/>
      <c r="AG330" s="34"/>
      <c r="AH330" s="33"/>
      <c r="AI330" s="33"/>
      <c r="AJ330" s="34"/>
      <c r="AK330" s="33"/>
      <c r="AL330" s="33"/>
      <c r="AM330" s="33"/>
      <c r="AN330" s="34"/>
      <c r="AO330" s="34"/>
      <c r="AP330" s="33"/>
      <c r="AQ330" s="34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4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5"/>
      <c r="CC330" s="33"/>
      <c r="CD330" s="33"/>
      <c r="CE330" s="33"/>
      <c r="CF330" s="34"/>
      <c r="CG330" s="33"/>
      <c r="CH330" s="33"/>
      <c r="CI330" s="33"/>
      <c r="CJ330" s="33"/>
      <c r="CK330" s="33"/>
      <c r="CL330" s="33"/>
      <c r="CM330" s="33"/>
      <c r="CN330" s="33">
        <v>250</v>
      </c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4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4"/>
      <c r="DN330" s="34"/>
      <c r="DO330" s="33"/>
      <c r="DP330" s="33" t="s">
        <v>209</v>
      </c>
      <c r="DQ330" s="33" t="s">
        <v>207</v>
      </c>
      <c r="DR330" s="33"/>
      <c r="DS330" s="33"/>
      <c r="DT330" s="33"/>
      <c r="DU330" s="33"/>
      <c r="DV330" s="33"/>
      <c r="DW330" s="33"/>
      <c r="DX330" s="33"/>
      <c r="DY330" s="33">
        <v>250</v>
      </c>
      <c r="DZ330" s="33"/>
      <c r="EA330" s="33"/>
      <c r="EB330" s="33"/>
      <c r="EC330" s="33"/>
      <c r="ED330" s="33"/>
      <c r="EE330" s="33"/>
      <c r="EF330" s="33"/>
      <c r="EG330" s="38"/>
    </row>
    <row r="331" spans="2:137" ht="13.2">
      <c r="B331" s="30" t="str">
        <f t="shared" si="12"/>
        <v>2023/11</v>
      </c>
      <c r="C331" s="31">
        <f t="shared" si="13"/>
        <v>800</v>
      </c>
      <c r="D331" s="32">
        <v>45248</v>
      </c>
      <c r="E331" s="33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3"/>
      <c r="R331" s="33"/>
      <c r="S331" s="33"/>
      <c r="T331" s="33"/>
      <c r="U331" s="35"/>
      <c r="V331" s="36"/>
      <c r="W331" s="37"/>
      <c r="X331" s="34"/>
      <c r="Y331" s="33"/>
      <c r="Z331" s="33"/>
      <c r="AA331" s="33"/>
      <c r="AB331" s="35"/>
      <c r="AC331" s="34"/>
      <c r="AD331" s="34"/>
      <c r="AE331" s="34"/>
      <c r="AF331" s="34"/>
      <c r="AG331" s="34"/>
      <c r="AH331" s="33"/>
      <c r="AI331" s="33"/>
      <c r="AJ331" s="34"/>
      <c r="AK331" s="33"/>
      <c r="AL331" s="33"/>
      <c r="AM331" s="33"/>
      <c r="AN331" s="34"/>
      <c r="AO331" s="34"/>
      <c r="AP331" s="33"/>
      <c r="AQ331" s="34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4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5"/>
      <c r="CC331" s="33"/>
      <c r="CD331" s="33"/>
      <c r="CE331" s="33"/>
      <c r="CF331" s="34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>
        <v>800</v>
      </c>
      <c r="CS331" s="33"/>
      <c r="CT331" s="33"/>
      <c r="CU331" s="33"/>
      <c r="CV331" s="33"/>
      <c r="CW331" s="33"/>
      <c r="CX331" s="33"/>
      <c r="CY331" s="33"/>
      <c r="CZ331" s="34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4"/>
      <c r="DN331" s="34" t="s">
        <v>209</v>
      </c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8"/>
    </row>
    <row r="332" spans="2:137" ht="13.2">
      <c r="B332" s="30" t="str">
        <f t="shared" si="12"/>
        <v>2023/11</v>
      </c>
      <c r="C332" s="31">
        <f t="shared" si="13"/>
        <v>250</v>
      </c>
      <c r="D332" s="32">
        <v>45251</v>
      </c>
      <c r="E332" s="33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3"/>
      <c r="R332" s="33"/>
      <c r="S332" s="33"/>
      <c r="T332" s="33"/>
      <c r="U332" s="35"/>
      <c r="V332" s="36"/>
      <c r="W332" s="37"/>
      <c r="X332" s="34"/>
      <c r="Y332" s="33"/>
      <c r="Z332" s="33"/>
      <c r="AA332" s="33"/>
      <c r="AB332" s="35"/>
      <c r="AC332" s="34"/>
      <c r="AD332" s="34"/>
      <c r="AE332" s="34"/>
      <c r="AF332" s="34"/>
      <c r="AG332" s="34"/>
      <c r="AH332" s="33"/>
      <c r="AI332" s="33"/>
      <c r="AJ332" s="34"/>
      <c r="AK332" s="33"/>
      <c r="AL332" s="33"/>
      <c r="AM332" s="33"/>
      <c r="AN332" s="34"/>
      <c r="AO332" s="34"/>
      <c r="AP332" s="33"/>
      <c r="AQ332" s="34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 t="s">
        <v>227</v>
      </c>
      <c r="BK332" s="33"/>
      <c r="BL332" s="34"/>
      <c r="BM332" s="33"/>
      <c r="BN332" s="33"/>
      <c r="BO332" s="33" t="s">
        <v>208</v>
      </c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5"/>
      <c r="CC332" s="33"/>
      <c r="CD332" s="33"/>
      <c r="CE332" s="33"/>
      <c r="CF332" s="34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 t="s">
        <v>210</v>
      </c>
      <c r="CS332" s="33"/>
      <c r="CT332" s="33"/>
      <c r="CU332" s="33" t="s">
        <v>227</v>
      </c>
      <c r="CV332" s="33">
        <v>250</v>
      </c>
      <c r="CW332" s="33"/>
      <c r="CX332" s="33"/>
      <c r="CY332" s="33"/>
      <c r="CZ332" s="34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4"/>
      <c r="DN332" s="34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8"/>
    </row>
    <row r="333" spans="2:137" ht="13.2">
      <c r="B333" s="30" t="str">
        <f t="shared" si="12"/>
        <v>2023/11</v>
      </c>
      <c r="C333" s="31" t="str">
        <f t="shared" si="13"/>
        <v/>
      </c>
      <c r="D333" s="32">
        <v>45252</v>
      </c>
      <c r="E333" s="33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3"/>
      <c r="R333" s="33"/>
      <c r="S333" s="33"/>
      <c r="T333" s="33"/>
      <c r="U333" s="35"/>
      <c r="V333" s="36"/>
      <c r="W333" s="37"/>
      <c r="X333" s="34"/>
      <c r="Y333" s="33"/>
      <c r="Z333" s="33"/>
      <c r="AA333" s="33"/>
      <c r="AB333" s="35"/>
      <c r="AC333" s="34"/>
      <c r="AD333" s="34"/>
      <c r="AE333" s="34"/>
      <c r="AF333" s="34"/>
      <c r="AG333" s="34"/>
      <c r="AH333" s="33"/>
      <c r="AI333" s="33"/>
      <c r="AJ333" s="34"/>
      <c r="AK333" s="33"/>
      <c r="AL333" s="33"/>
      <c r="AM333" s="33"/>
      <c r="AN333" s="34"/>
      <c r="AO333" s="34"/>
      <c r="AP333" s="33"/>
      <c r="AQ333" s="34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4"/>
      <c r="BM333" s="33"/>
      <c r="BN333" s="33"/>
      <c r="BO333" s="33"/>
      <c r="BP333" s="33"/>
      <c r="BQ333" s="33" t="s">
        <v>206</v>
      </c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5"/>
      <c r="CC333" s="33"/>
      <c r="CD333" s="33"/>
      <c r="CE333" s="33"/>
      <c r="CF333" s="34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4"/>
      <c r="DA333" s="33"/>
      <c r="DB333" s="33"/>
      <c r="DC333" s="33"/>
      <c r="DD333" s="33"/>
      <c r="DE333" s="33"/>
      <c r="DF333" s="33"/>
      <c r="DG333" s="33"/>
      <c r="DH333" s="33" t="s">
        <v>227</v>
      </c>
      <c r="DI333" s="33"/>
      <c r="DJ333" s="33"/>
      <c r="DK333" s="33"/>
      <c r="DL333" s="33"/>
      <c r="DM333" s="34"/>
      <c r="DN333" s="34" t="s">
        <v>206</v>
      </c>
      <c r="DO333" s="33"/>
      <c r="DP333" s="33" t="s">
        <v>206</v>
      </c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8"/>
    </row>
    <row r="334" spans="2:137" ht="13.2">
      <c r="B334" s="30" t="str">
        <f t="shared" si="12"/>
        <v>2023/11</v>
      </c>
      <c r="C334" s="31">
        <f t="shared" si="13"/>
        <v>2120</v>
      </c>
      <c r="D334" s="32">
        <v>45253</v>
      </c>
      <c r="E334" s="33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3"/>
      <c r="R334" s="33"/>
      <c r="S334" s="33"/>
      <c r="T334" s="33"/>
      <c r="U334" s="35"/>
      <c r="V334" s="36"/>
      <c r="W334" s="37"/>
      <c r="X334" s="34"/>
      <c r="Y334" s="33"/>
      <c r="Z334" s="33"/>
      <c r="AA334" s="33"/>
      <c r="AB334" s="35"/>
      <c r="AC334" s="34"/>
      <c r="AD334" s="34"/>
      <c r="AE334" s="34"/>
      <c r="AF334" s="34"/>
      <c r="AG334" s="34"/>
      <c r="AH334" s="33"/>
      <c r="AI334" s="33"/>
      <c r="AJ334" s="34"/>
      <c r="AK334" s="33"/>
      <c r="AL334" s="33"/>
      <c r="AM334" s="33"/>
      <c r="AN334" s="34"/>
      <c r="AO334" s="34"/>
      <c r="AP334" s="33"/>
      <c r="AQ334" s="34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>
        <v>500</v>
      </c>
      <c r="BK334" s="33"/>
      <c r="BL334" s="34" t="s">
        <v>237</v>
      </c>
      <c r="BM334" s="33"/>
      <c r="BN334" s="33"/>
      <c r="BO334" s="33"/>
      <c r="BP334" s="33">
        <v>220</v>
      </c>
      <c r="BQ334" s="33"/>
      <c r="BR334" s="33" t="s">
        <v>206</v>
      </c>
      <c r="BS334" s="33"/>
      <c r="BT334" s="33"/>
      <c r="BU334" s="33"/>
      <c r="BV334" s="33"/>
      <c r="BW334" s="33"/>
      <c r="BX334" s="33"/>
      <c r="BY334" s="33"/>
      <c r="BZ334" s="33"/>
      <c r="CA334" s="33"/>
      <c r="CB334" s="35"/>
      <c r="CC334" s="33"/>
      <c r="CD334" s="33"/>
      <c r="CE334" s="33"/>
      <c r="CF334" s="34" t="s">
        <v>227</v>
      </c>
      <c r="CG334" s="33"/>
      <c r="CH334" s="33"/>
      <c r="CI334" s="33"/>
      <c r="CJ334" s="33"/>
      <c r="CK334" s="33"/>
      <c r="CL334" s="33"/>
      <c r="CM334" s="33"/>
      <c r="CN334" s="33" t="s">
        <v>227</v>
      </c>
      <c r="CO334" s="33"/>
      <c r="CP334" s="33"/>
      <c r="CQ334" s="33"/>
      <c r="CR334" s="33"/>
      <c r="CS334" s="33"/>
      <c r="CT334" s="33"/>
      <c r="CU334" s="33"/>
      <c r="CV334" s="33"/>
      <c r="CW334" s="33"/>
      <c r="CX334" s="33" t="s">
        <v>210</v>
      </c>
      <c r="CY334" s="33"/>
      <c r="CZ334" s="34">
        <v>200</v>
      </c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4"/>
      <c r="DN334" s="34">
        <v>700</v>
      </c>
      <c r="DO334" s="33"/>
      <c r="DP334" s="33"/>
      <c r="DQ334" s="33" t="s">
        <v>208</v>
      </c>
      <c r="DR334" s="33"/>
      <c r="DS334" s="33"/>
      <c r="DT334" s="33">
        <v>250</v>
      </c>
      <c r="DU334" s="33"/>
      <c r="DV334" s="33"/>
      <c r="DW334" s="33"/>
      <c r="DX334" s="33"/>
      <c r="DY334" s="33">
        <v>250</v>
      </c>
      <c r="DZ334" s="33"/>
      <c r="EA334" s="33"/>
      <c r="EB334" s="33"/>
      <c r="EC334" s="33"/>
      <c r="ED334" s="33"/>
      <c r="EE334" s="33"/>
      <c r="EF334" s="33"/>
      <c r="EG334" s="38"/>
    </row>
    <row r="335" spans="2:137" ht="13.2">
      <c r="B335" s="30" t="str">
        <f t="shared" si="12"/>
        <v>2023/11</v>
      </c>
      <c r="C335" s="31">
        <f t="shared" si="13"/>
        <v>950</v>
      </c>
      <c r="D335" s="32">
        <v>45254</v>
      </c>
      <c r="E335" s="33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3"/>
      <c r="R335" s="33"/>
      <c r="S335" s="33"/>
      <c r="T335" s="33"/>
      <c r="U335" s="35"/>
      <c r="V335" s="36"/>
      <c r="W335" s="37"/>
      <c r="X335" s="34"/>
      <c r="Y335" s="33"/>
      <c r="Z335" s="33"/>
      <c r="AA335" s="33"/>
      <c r="AB335" s="35"/>
      <c r="AC335" s="34"/>
      <c r="AD335" s="34"/>
      <c r="AE335" s="34"/>
      <c r="AF335" s="34"/>
      <c r="AG335" s="34"/>
      <c r="AH335" s="33"/>
      <c r="AI335" s="33"/>
      <c r="AJ335" s="34"/>
      <c r="AK335" s="33"/>
      <c r="AL335" s="33"/>
      <c r="AM335" s="33"/>
      <c r="AN335" s="34"/>
      <c r="AO335" s="34"/>
      <c r="AP335" s="33"/>
      <c r="AQ335" s="34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4"/>
      <c r="BM335" s="33"/>
      <c r="BN335" s="33"/>
      <c r="BO335" s="33"/>
      <c r="BP335" s="33"/>
      <c r="BQ335" s="33" t="s">
        <v>207</v>
      </c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5"/>
      <c r="CC335" s="33"/>
      <c r="CD335" s="33"/>
      <c r="CE335" s="33"/>
      <c r="CF335" s="34"/>
      <c r="CG335" s="33"/>
      <c r="CH335" s="33"/>
      <c r="CI335" s="33"/>
      <c r="CJ335" s="33"/>
      <c r="CK335" s="33"/>
      <c r="CL335" s="33"/>
      <c r="CM335" s="33"/>
      <c r="CN335" s="33" t="s">
        <v>227</v>
      </c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4"/>
      <c r="DA335" s="33"/>
      <c r="DB335" s="33"/>
      <c r="DC335" s="33"/>
      <c r="DD335" s="33"/>
      <c r="DE335" s="33"/>
      <c r="DF335" s="33"/>
      <c r="DG335" s="33"/>
      <c r="DH335" s="33">
        <v>500</v>
      </c>
      <c r="DI335" s="33"/>
      <c r="DJ335" s="33"/>
      <c r="DK335" s="33"/>
      <c r="DL335" s="33"/>
      <c r="DM335" s="34">
        <v>200</v>
      </c>
      <c r="DN335" s="34"/>
      <c r="DO335" s="33"/>
      <c r="DP335" s="33" t="s">
        <v>207</v>
      </c>
      <c r="DQ335" s="33"/>
      <c r="DR335" s="33"/>
      <c r="DS335" s="33"/>
      <c r="DT335" s="33">
        <v>250</v>
      </c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8"/>
    </row>
    <row r="336" spans="2:137" ht="13.2">
      <c r="B336" s="30" t="str">
        <f t="shared" si="12"/>
        <v>2023/11</v>
      </c>
      <c r="C336" s="31">
        <f t="shared" si="13"/>
        <v>1500</v>
      </c>
      <c r="D336" s="32">
        <v>45257</v>
      </c>
      <c r="E336" s="33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3"/>
      <c r="R336" s="33"/>
      <c r="S336" s="33"/>
      <c r="T336" s="33"/>
      <c r="U336" s="35"/>
      <c r="V336" s="36"/>
      <c r="W336" s="37"/>
      <c r="X336" s="34"/>
      <c r="Y336" s="33"/>
      <c r="Z336" s="33"/>
      <c r="AA336" s="33"/>
      <c r="AB336" s="35"/>
      <c r="AC336" s="34"/>
      <c r="AD336" s="34"/>
      <c r="AE336" s="34"/>
      <c r="AF336" s="34"/>
      <c r="AG336" s="34"/>
      <c r="AH336" s="33"/>
      <c r="AI336" s="33"/>
      <c r="AJ336" s="34"/>
      <c r="AK336" s="33"/>
      <c r="AL336" s="33"/>
      <c r="AM336" s="33"/>
      <c r="AN336" s="34"/>
      <c r="AO336" s="34"/>
      <c r="AP336" s="33"/>
      <c r="AQ336" s="34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 t="s">
        <v>227</v>
      </c>
      <c r="BK336" s="33"/>
      <c r="BL336" s="34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5"/>
      <c r="CC336" s="33"/>
      <c r="CD336" s="33"/>
      <c r="CE336" s="33"/>
      <c r="CF336" s="34"/>
      <c r="CG336" s="33"/>
      <c r="CH336" s="33"/>
      <c r="CI336" s="33"/>
      <c r="CJ336" s="33"/>
      <c r="CK336" s="33"/>
      <c r="CL336" s="33"/>
      <c r="CM336" s="33"/>
      <c r="CN336" s="33">
        <v>500</v>
      </c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4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4"/>
      <c r="DN336" s="34"/>
      <c r="DO336" s="33"/>
      <c r="DP336" s="33"/>
      <c r="DQ336" s="33">
        <v>1000</v>
      </c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8"/>
    </row>
    <row r="337" spans="2:137" ht="13.2">
      <c r="B337" s="30" t="str">
        <f t="shared" si="12"/>
        <v>2023/11</v>
      </c>
      <c r="C337" s="31">
        <f t="shared" si="13"/>
        <v>1250</v>
      </c>
      <c r="D337" s="32">
        <v>45260</v>
      </c>
      <c r="E337" s="33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3"/>
      <c r="R337" s="33"/>
      <c r="S337" s="33"/>
      <c r="T337" s="33"/>
      <c r="U337" s="35"/>
      <c r="V337" s="36"/>
      <c r="W337" s="37"/>
      <c r="X337" s="34"/>
      <c r="Y337" s="33"/>
      <c r="Z337" s="33"/>
      <c r="AA337" s="33"/>
      <c r="AB337" s="35"/>
      <c r="AC337" s="34"/>
      <c r="AD337" s="34"/>
      <c r="AE337" s="34"/>
      <c r="AF337" s="34"/>
      <c r="AG337" s="34"/>
      <c r="AH337" s="33"/>
      <c r="AI337" s="33"/>
      <c r="AJ337" s="34"/>
      <c r="AK337" s="33"/>
      <c r="AL337" s="33"/>
      <c r="AM337" s="33"/>
      <c r="AN337" s="34"/>
      <c r="AO337" s="34"/>
      <c r="AP337" s="33"/>
      <c r="AQ337" s="34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4"/>
      <c r="BM337" s="33"/>
      <c r="BN337" s="33"/>
      <c r="BO337" s="33" t="s">
        <v>227</v>
      </c>
      <c r="BP337" s="33"/>
      <c r="BQ337" s="33" t="s">
        <v>208</v>
      </c>
      <c r="BR337" s="33" t="s">
        <v>207</v>
      </c>
      <c r="BS337" s="33"/>
      <c r="BT337" s="33"/>
      <c r="BU337" s="33"/>
      <c r="BV337" s="33"/>
      <c r="BW337" s="33"/>
      <c r="BX337" s="33"/>
      <c r="BY337" s="33"/>
      <c r="BZ337" s="33"/>
      <c r="CA337" s="33"/>
      <c r="CB337" s="35"/>
      <c r="CC337" s="33"/>
      <c r="CD337" s="33"/>
      <c r="CE337" s="33"/>
      <c r="CF337" s="34"/>
      <c r="CG337" s="33"/>
      <c r="CH337" s="33"/>
      <c r="CI337" s="33"/>
      <c r="CJ337" s="33"/>
      <c r="CK337" s="33"/>
      <c r="CL337" s="33"/>
      <c r="CM337" s="33"/>
      <c r="CN337" s="33" t="s">
        <v>227</v>
      </c>
      <c r="CO337" s="33"/>
      <c r="CP337" s="33"/>
      <c r="CQ337" s="33"/>
      <c r="CR337" s="33"/>
      <c r="CS337" s="33"/>
      <c r="CT337" s="33"/>
      <c r="CU337" s="33">
        <v>500</v>
      </c>
      <c r="CV337" s="33">
        <v>250</v>
      </c>
      <c r="CW337" s="33"/>
      <c r="CX337" s="33" t="s">
        <v>212</v>
      </c>
      <c r="CY337" s="33"/>
      <c r="CZ337" s="34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4"/>
      <c r="DN337" s="34"/>
      <c r="DO337" s="33"/>
      <c r="DP337" s="33" t="s">
        <v>218</v>
      </c>
      <c r="DQ337" s="33" t="s">
        <v>210</v>
      </c>
      <c r="DR337" s="33"/>
      <c r="DS337" s="33"/>
      <c r="DT337" s="33">
        <v>250</v>
      </c>
      <c r="DU337" s="33"/>
      <c r="DV337" s="33"/>
      <c r="DW337" s="33"/>
      <c r="DX337" s="33"/>
      <c r="DY337" s="33">
        <v>250</v>
      </c>
      <c r="DZ337" s="33"/>
      <c r="EA337" s="33"/>
      <c r="EB337" s="33"/>
      <c r="EC337" s="33"/>
      <c r="ED337" s="33"/>
      <c r="EE337" s="33"/>
      <c r="EF337" s="33"/>
      <c r="EG337" s="38"/>
    </row>
    <row r="338" spans="2:137" ht="13.2">
      <c r="B338" s="30" t="str">
        <f t="shared" si="12"/>
        <v>2023/12</v>
      </c>
      <c r="C338" s="31">
        <f t="shared" si="13"/>
        <v>1420</v>
      </c>
      <c r="D338" s="32">
        <v>45261</v>
      </c>
      <c r="E338" s="33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3"/>
      <c r="R338" s="33"/>
      <c r="S338" s="33"/>
      <c r="T338" s="33"/>
      <c r="U338" s="35"/>
      <c r="V338" s="36"/>
      <c r="W338" s="37"/>
      <c r="X338" s="34"/>
      <c r="Y338" s="33"/>
      <c r="Z338" s="33"/>
      <c r="AA338" s="33"/>
      <c r="AB338" s="35"/>
      <c r="AC338" s="34"/>
      <c r="AD338" s="34"/>
      <c r="AE338" s="34"/>
      <c r="AF338" s="34"/>
      <c r="AG338" s="34"/>
      <c r="AH338" s="33"/>
      <c r="AI338" s="33"/>
      <c r="AJ338" s="34"/>
      <c r="AK338" s="33"/>
      <c r="AL338" s="33"/>
      <c r="AM338" s="33"/>
      <c r="AN338" s="34"/>
      <c r="AO338" s="34"/>
      <c r="AP338" s="33"/>
      <c r="AQ338" s="34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>
        <v>500</v>
      </c>
      <c r="BK338" s="33"/>
      <c r="BL338" s="34" t="s">
        <v>238</v>
      </c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5"/>
      <c r="CC338" s="33"/>
      <c r="CD338" s="33"/>
      <c r="CE338" s="33"/>
      <c r="CF338" s="34"/>
      <c r="CG338" s="33"/>
      <c r="CH338" s="33"/>
      <c r="CI338" s="33"/>
      <c r="CJ338" s="33"/>
      <c r="CK338" s="33"/>
      <c r="CL338" s="33"/>
      <c r="CM338" s="33"/>
      <c r="CN338" s="33" t="s">
        <v>227</v>
      </c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4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4"/>
      <c r="DN338" s="34"/>
      <c r="DO338" s="33"/>
      <c r="DP338" s="33">
        <v>920</v>
      </c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8"/>
    </row>
    <row r="339" spans="2:137" ht="13.2">
      <c r="B339" s="30" t="str">
        <f t="shared" si="12"/>
        <v>2023/12</v>
      </c>
      <c r="C339" s="31">
        <f t="shared" si="13"/>
        <v>1400</v>
      </c>
      <c r="D339" s="32">
        <v>45265</v>
      </c>
      <c r="E339" s="33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3"/>
      <c r="R339" s="33"/>
      <c r="S339" s="33"/>
      <c r="T339" s="33"/>
      <c r="U339" s="35"/>
      <c r="V339" s="36"/>
      <c r="W339" s="37"/>
      <c r="X339" s="34"/>
      <c r="Y339" s="33"/>
      <c r="Z339" s="33"/>
      <c r="AA339" s="33"/>
      <c r="AB339" s="35"/>
      <c r="AC339" s="34"/>
      <c r="AD339" s="34"/>
      <c r="AE339" s="34"/>
      <c r="AF339" s="34"/>
      <c r="AG339" s="34"/>
      <c r="AH339" s="33"/>
      <c r="AI339" s="33"/>
      <c r="AJ339" s="34"/>
      <c r="AK339" s="33"/>
      <c r="AL339" s="33"/>
      <c r="AM339" s="33"/>
      <c r="AN339" s="34"/>
      <c r="AO339" s="34"/>
      <c r="AP339" s="33"/>
      <c r="AQ339" s="34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4"/>
      <c r="BM339" s="33"/>
      <c r="BN339" s="33"/>
      <c r="BO339" s="33"/>
      <c r="BP339" s="33"/>
      <c r="BQ339" s="33"/>
      <c r="BR339" s="33" t="s">
        <v>208</v>
      </c>
      <c r="BS339" s="33"/>
      <c r="BT339" s="33"/>
      <c r="BU339" s="33"/>
      <c r="BV339" s="33"/>
      <c r="BW339" s="33"/>
      <c r="BX339" s="33"/>
      <c r="BY339" s="33"/>
      <c r="BZ339" s="33"/>
      <c r="CA339" s="33"/>
      <c r="CB339" s="35"/>
      <c r="CC339" s="33"/>
      <c r="CD339" s="33"/>
      <c r="CE339" s="33"/>
      <c r="CF339" s="34"/>
      <c r="CG339" s="33"/>
      <c r="CH339" s="33"/>
      <c r="CI339" s="33"/>
      <c r="CJ339" s="33"/>
      <c r="CK339" s="33"/>
      <c r="CL339" s="33"/>
      <c r="CM339" s="33"/>
      <c r="CN339" s="33">
        <v>500</v>
      </c>
      <c r="CO339" s="33"/>
      <c r="CP339" s="33"/>
      <c r="CQ339" s="33"/>
      <c r="CR339" s="33"/>
      <c r="CS339" s="33"/>
      <c r="CT339" s="33"/>
      <c r="CU339" s="33"/>
      <c r="CV339" s="33">
        <v>250</v>
      </c>
      <c r="CW339" s="33"/>
      <c r="CX339" s="33"/>
      <c r="CY339" s="33"/>
      <c r="CZ339" s="34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4">
        <v>200</v>
      </c>
      <c r="DN339" s="34"/>
      <c r="DO339" s="33">
        <v>200</v>
      </c>
      <c r="DP339" s="33"/>
      <c r="DQ339" s="33"/>
      <c r="DR339" s="33"/>
      <c r="DS339" s="33"/>
      <c r="DT339" s="33"/>
      <c r="DU339" s="33"/>
      <c r="DV339" s="33"/>
      <c r="DW339" s="33"/>
      <c r="DX339" s="33"/>
      <c r="DY339" s="33">
        <v>250</v>
      </c>
      <c r="DZ339" s="33"/>
      <c r="EA339" s="33"/>
      <c r="EB339" s="33"/>
      <c r="EC339" s="33"/>
      <c r="ED339" s="33"/>
      <c r="EE339" s="33"/>
      <c r="EF339" s="33"/>
      <c r="EG339" s="38"/>
    </row>
    <row r="340" spans="2:137" ht="13.2">
      <c r="B340" s="30" t="str">
        <f t="shared" si="12"/>
        <v>2023/12</v>
      </c>
      <c r="C340" s="31">
        <f t="shared" si="13"/>
        <v>1450</v>
      </c>
      <c r="D340" s="32">
        <v>45266</v>
      </c>
      <c r="E340" s="33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3"/>
      <c r="R340" s="33"/>
      <c r="S340" s="33"/>
      <c r="T340" s="33"/>
      <c r="U340" s="35"/>
      <c r="V340" s="36"/>
      <c r="W340" s="37"/>
      <c r="X340" s="34"/>
      <c r="Y340" s="33"/>
      <c r="Z340" s="33"/>
      <c r="AA340" s="33"/>
      <c r="AB340" s="35"/>
      <c r="AC340" s="34"/>
      <c r="AD340" s="34"/>
      <c r="AE340" s="34"/>
      <c r="AF340" s="34"/>
      <c r="AG340" s="34"/>
      <c r="AH340" s="33"/>
      <c r="AI340" s="33">
        <v>200</v>
      </c>
      <c r="AJ340" s="34"/>
      <c r="AK340" s="33"/>
      <c r="AL340" s="33"/>
      <c r="AM340" s="33"/>
      <c r="AN340" s="34"/>
      <c r="AO340" s="34"/>
      <c r="AP340" s="33"/>
      <c r="AQ340" s="34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>
        <v>250</v>
      </c>
      <c r="BL340" s="34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5"/>
      <c r="CC340" s="33"/>
      <c r="CD340" s="33"/>
      <c r="CE340" s="33"/>
      <c r="CF340" s="34"/>
      <c r="CG340" s="33"/>
      <c r="CH340" s="33"/>
      <c r="CI340" s="33"/>
      <c r="CJ340" s="33"/>
      <c r="CK340" s="33"/>
      <c r="CL340" s="33"/>
      <c r="CM340" s="33"/>
      <c r="CN340" s="33" t="s">
        <v>227</v>
      </c>
      <c r="CO340" s="33"/>
      <c r="CP340" s="33"/>
      <c r="CQ340" s="33"/>
      <c r="CR340" s="33"/>
      <c r="CS340" s="33"/>
      <c r="CT340" s="33"/>
      <c r="CU340" s="33">
        <v>250</v>
      </c>
      <c r="CV340" s="33"/>
      <c r="CW340" s="33"/>
      <c r="CX340" s="33"/>
      <c r="CY340" s="33"/>
      <c r="CZ340" s="34"/>
      <c r="DA340" s="33"/>
      <c r="DB340" s="33"/>
      <c r="DC340" s="33"/>
      <c r="DD340" s="33"/>
      <c r="DE340" s="33"/>
      <c r="DF340" s="33"/>
      <c r="DG340" s="33"/>
      <c r="DH340" s="33">
        <v>500</v>
      </c>
      <c r="DI340" s="33"/>
      <c r="DJ340" s="33"/>
      <c r="DK340" s="33"/>
      <c r="DL340" s="33"/>
      <c r="DM340" s="34"/>
      <c r="DN340" s="34" t="s">
        <v>207</v>
      </c>
      <c r="DO340" s="33"/>
      <c r="DP340" s="33" t="s">
        <v>206</v>
      </c>
      <c r="DQ340" s="33"/>
      <c r="DR340" s="33"/>
      <c r="DS340" s="33"/>
      <c r="DT340" s="33">
        <v>250</v>
      </c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8"/>
    </row>
    <row r="341" spans="2:137" ht="13.2">
      <c r="B341" s="30" t="str">
        <f t="shared" si="12"/>
        <v>2023/12</v>
      </c>
      <c r="C341" s="31">
        <f t="shared" si="13"/>
        <v>2970</v>
      </c>
      <c r="D341" s="32">
        <v>45267</v>
      </c>
      <c r="E341" s="33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3"/>
      <c r="R341" s="33"/>
      <c r="S341" s="33"/>
      <c r="T341" s="33"/>
      <c r="U341" s="35"/>
      <c r="V341" s="36"/>
      <c r="W341" s="37"/>
      <c r="X341" s="34"/>
      <c r="Y341" s="33"/>
      <c r="Z341" s="33"/>
      <c r="AA341" s="33"/>
      <c r="AB341" s="35"/>
      <c r="AC341" s="34"/>
      <c r="AD341" s="34"/>
      <c r="AE341" s="34"/>
      <c r="AF341" s="34"/>
      <c r="AG341" s="34"/>
      <c r="AH341" s="33"/>
      <c r="AI341" s="33"/>
      <c r="AJ341" s="34"/>
      <c r="AK341" s="33"/>
      <c r="AL341" s="33"/>
      <c r="AM341" s="33"/>
      <c r="AN341" s="34"/>
      <c r="AO341" s="34"/>
      <c r="AP341" s="33"/>
      <c r="AQ341" s="34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4"/>
      <c r="BM341" s="33"/>
      <c r="BN341" s="33"/>
      <c r="BO341" s="33">
        <v>500</v>
      </c>
      <c r="BP341" s="33">
        <v>220</v>
      </c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>
        <v>250</v>
      </c>
      <c r="CB341" s="35"/>
      <c r="CC341" s="33"/>
      <c r="CD341" s="33"/>
      <c r="CE341" s="33"/>
      <c r="CF341" s="34" t="s">
        <v>227</v>
      </c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 t="s">
        <v>214</v>
      </c>
      <c r="CY341" s="33"/>
      <c r="CZ341" s="34"/>
      <c r="DA341" s="33"/>
      <c r="DB341" s="33">
        <v>250</v>
      </c>
      <c r="DC341" s="33"/>
      <c r="DD341" s="33"/>
      <c r="DE341" s="33"/>
      <c r="DF341" s="33"/>
      <c r="DG341" s="33"/>
      <c r="DH341" s="33" t="s">
        <v>227</v>
      </c>
      <c r="DI341" s="33"/>
      <c r="DJ341" s="33"/>
      <c r="DK341" s="33"/>
      <c r="DL341" s="33"/>
      <c r="DM341" s="34"/>
      <c r="DN341" s="34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>
        <v>250</v>
      </c>
      <c r="DZ341" s="33"/>
      <c r="EA341" s="33"/>
      <c r="EB341" s="33"/>
      <c r="EC341" s="33"/>
      <c r="ED341" s="33"/>
      <c r="EE341" s="33">
        <v>1500</v>
      </c>
      <c r="EF341" s="33"/>
      <c r="EG341" s="38"/>
    </row>
    <row r="342" spans="2:137" ht="13.2">
      <c r="B342" s="30" t="str">
        <f t="shared" si="12"/>
        <v>2023/12</v>
      </c>
      <c r="C342" s="31">
        <f t="shared" si="13"/>
        <v>1500</v>
      </c>
      <c r="D342" s="32">
        <v>45268</v>
      </c>
      <c r="E342" s="33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3"/>
      <c r="R342" s="33"/>
      <c r="S342" s="33"/>
      <c r="T342" s="33"/>
      <c r="U342" s="35"/>
      <c r="V342" s="36"/>
      <c r="W342" s="37"/>
      <c r="X342" s="34"/>
      <c r="Y342" s="33"/>
      <c r="Z342" s="33"/>
      <c r="AA342" s="33"/>
      <c r="AB342" s="35"/>
      <c r="AC342" s="34"/>
      <c r="AD342" s="34"/>
      <c r="AE342" s="34"/>
      <c r="AF342" s="34"/>
      <c r="AG342" s="34"/>
      <c r="AH342" s="33"/>
      <c r="AI342" s="33"/>
      <c r="AJ342" s="34"/>
      <c r="AK342" s="33"/>
      <c r="AL342" s="33"/>
      <c r="AM342" s="33"/>
      <c r="AN342" s="34"/>
      <c r="AO342" s="34"/>
      <c r="AP342" s="33"/>
      <c r="AQ342" s="34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4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5"/>
      <c r="CC342" s="33"/>
      <c r="CD342" s="33"/>
      <c r="CE342" s="33"/>
      <c r="CF342" s="34">
        <v>600</v>
      </c>
      <c r="CG342" s="33"/>
      <c r="CH342" s="33"/>
      <c r="CI342" s="33"/>
      <c r="CJ342" s="33"/>
      <c r="CK342" s="33"/>
      <c r="CL342" s="33"/>
      <c r="CM342" s="33"/>
      <c r="CN342" s="33">
        <v>500</v>
      </c>
      <c r="CO342" s="33"/>
      <c r="CP342" s="33"/>
      <c r="CQ342" s="33"/>
      <c r="CR342" s="33" t="s">
        <v>212</v>
      </c>
      <c r="CS342" s="33"/>
      <c r="CT342" s="33"/>
      <c r="CU342" s="33"/>
      <c r="CV342" s="33"/>
      <c r="CW342" s="33"/>
      <c r="CX342" s="33"/>
      <c r="CY342" s="33"/>
      <c r="CZ342" s="34">
        <v>200</v>
      </c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4">
        <v>200</v>
      </c>
      <c r="DN342" s="34"/>
      <c r="DO342" s="33"/>
      <c r="DP342" s="33"/>
      <c r="DQ342" s="33" t="s">
        <v>216</v>
      </c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8"/>
    </row>
    <row r="343" spans="2:137" ht="13.2">
      <c r="B343" s="30" t="str">
        <f t="shared" si="12"/>
        <v>2023/12</v>
      </c>
      <c r="C343" s="31">
        <f t="shared" si="13"/>
        <v>750</v>
      </c>
      <c r="D343" s="32">
        <v>45272</v>
      </c>
      <c r="E343" s="33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3"/>
      <c r="R343" s="33"/>
      <c r="S343" s="33"/>
      <c r="T343" s="33"/>
      <c r="U343" s="35"/>
      <c r="V343" s="36"/>
      <c r="W343" s="37"/>
      <c r="X343" s="34"/>
      <c r="Y343" s="33"/>
      <c r="Z343" s="33"/>
      <c r="AA343" s="33"/>
      <c r="AB343" s="35"/>
      <c r="AC343" s="34"/>
      <c r="AD343" s="34"/>
      <c r="AE343" s="34"/>
      <c r="AF343" s="34"/>
      <c r="AG343" s="34"/>
      <c r="AH343" s="33"/>
      <c r="AI343" s="33"/>
      <c r="AJ343" s="34"/>
      <c r="AK343" s="33"/>
      <c r="AL343" s="33"/>
      <c r="AM343" s="33"/>
      <c r="AN343" s="34"/>
      <c r="AO343" s="34"/>
      <c r="AP343" s="33"/>
      <c r="AQ343" s="34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4"/>
      <c r="BM343" s="33"/>
      <c r="BN343" s="33"/>
      <c r="BO343" s="33" t="s">
        <v>227</v>
      </c>
      <c r="BP343" s="33"/>
      <c r="BQ343" s="33"/>
      <c r="BR343" s="33"/>
      <c r="BS343" s="33">
        <v>250</v>
      </c>
      <c r="BT343" s="33"/>
      <c r="BU343" s="33"/>
      <c r="BV343" s="33"/>
      <c r="BW343" s="33"/>
      <c r="BX343" s="33"/>
      <c r="BY343" s="33"/>
      <c r="BZ343" s="33"/>
      <c r="CA343" s="33"/>
      <c r="CB343" s="35"/>
      <c r="CC343" s="33"/>
      <c r="CD343" s="33"/>
      <c r="CE343" s="33"/>
      <c r="CF343" s="34"/>
      <c r="CG343" s="33"/>
      <c r="CH343" s="33"/>
      <c r="CI343" s="33"/>
      <c r="CJ343" s="33"/>
      <c r="CK343" s="33"/>
      <c r="CL343" s="33"/>
      <c r="CM343" s="33"/>
      <c r="CN343" s="33" t="s">
        <v>227</v>
      </c>
      <c r="CO343" s="33"/>
      <c r="CP343" s="33"/>
      <c r="CQ343" s="33"/>
      <c r="CR343" s="33"/>
      <c r="CS343" s="33"/>
      <c r="CT343" s="33"/>
      <c r="CU343" s="33"/>
      <c r="CV343" s="33">
        <v>250</v>
      </c>
      <c r="CW343" s="33"/>
      <c r="CX343" s="33"/>
      <c r="CY343" s="33"/>
      <c r="CZ343" s="34"/>
      <c r="DA343" s="33"/>
      <c r="DB343" s="33"/>
      <c r="DC343" s="33"/>
      <c r="DD343" s="33"/>
      <c r="DE343" s="33"/>
      <c r="DF343" s="33"/>
      <c r="DG343" s="33"/>
      <c r="DH343" s="33" t="s">
        <v>227</v>
      </c>
      <c r="DI343" s="33"/>
      <c r="DJ343" s="33"/>
      <c r="DK343" s="33"/>
      <c r="DL343" s="33"/>
      <c r="DM343" s="34"/>
      <c r="DN343" s="34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>
        <v>250</v>
      </c>
      <c r="DZ343" s="33"/>
      <c r="EA343" s="33"/>
      <c r="EB343" s="33"/>
      <c r="EC343" s="33"/>
      <c r="ED343" s="33"/>
      <c r="EE343" s="33"/>
      <c r="EF343" s="33"/>
      <c r="EG343" s="38"/>
    </row>
    <row r="344" spans="2:137" ht="13.2">
      <c r="B344" s="30" t="str">
        <f t="shared" si="12"/>
        <v>2023/12</v>
      </c>
      <c r="C344" s="31">
        <f t="shared" si="13"/>
        <v>350</v>
      </c>
      <c r="D344" s="32">
        <v>45273</v>
      </c>
      <c r="E344" s="33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3"/>
      <c r="R344" s="33"/>
      <c r="S344" s="33"/>
      <c r="T344" s="33"/>
      <c r="U344" s="35"/>
      <c r="V344" s="36"/>
      <c r="W344" s="37"/>
      <c r="X344" s="34"/>
      <c r="Y344" s="33"/>
      <c r="Z344" s="33"/>
      <c r="AA344" s="33"/>
      <c r="AB344" s="35"/>
      <c r="AC344" s="34"/>
      <c r="AD344" s="34"/>
      <c r="AE344" s="34"/>
      <c r="AF344" s="34"/>
      <c r="AG344" s="34"/>
      <c r="AH344" s="33"/>
      <c r="AI344" s="33"/>
      <c r="AJ344" s="34"/>
      <c r="AK344" s="33"/>
      <c r="AL344" s="33"/>
      <c r="AM344" s="33"/>
      <c r="AN344" s="34"/>
      <c r="AO344" s="34"/>
      <c r="AP344" s="33"/>
      <c r="AQ344" s="34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4"/>
      <c r="BM344" s="33"/>
      <c r="BN344" s="33">
        <v>100</v>
      </c>
      <c r="BO344" s="33"/>
      <c r="BP344" s="33"/>
      <c r="BQ344" s="33"/>
      <c r="BR344" s="33" t="s">
        <v>209</v>
      </c>
      <c r="BS344" s="33"/>
      <c r="BT344" s="33"/>
      <c r="BU344" s="33"/>
      <c r="BV344" s="33"/>
      <c r="BW344" s="33"/>
      <c r="BX344" s="33"/>
      <c r="BY344" s="33"/>
      <c r="BZ344" s="33"/>
      <c r="CA344" s="33"/>
      <c r="CB344" s="35"/>
      <c r="CC344" s="33"/>
      <c r="CD344" s="33"/>
      <c r="CE344" s="33"/>
      <c r="CF344" s="34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 t="s">
        <v>227</v>
      </c>
      <c r="CV344" s="33"/>
      <c r="CW344" s="33"/>
      <c r="CX344" s="33"/>
      <c r="CY344" s="33"/>
      <c r="CZ344" s="34"/>
      <c r="DA344" s="33"/>
      <c r="DB344" s="33">
        <v>250</v>
      </c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4"/>
      <c r="DN344" s="34"/>
      <c r="DO344" s="33"/>
      <c r="DP344" s="33" t="s">
        <v>207</v>
      </c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8"/>
    </row>
    <row r="345" spans="2:137" ht="13.2">
      <c r="B345" s="30" t="str">
        <f t="shared" si="12"/>
        <v>2023/12</v>
      </c>
      <c r="C345" s="31">
        <f t="shared" si="13"/>
        <v>1670</v>
      </c>
      <c r="D345" s="32">
        <v>45274</v>
      </c>
      <c r="E345" s="33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3"/>
      <c r="R345" s="33"/>
      <c r="S345" s="33"/>
      <c r="T345" s="33"/>
      <c r="U345" s="35"/>
      <c r="V345" s="36"/>
      <c r="W345" s="37"/>
      <c r="X345" s="34"/>
      <c r="Y345" s="33"/>
      <c r="Z345" s="33"/>
      <c r="AA345" s="33"/>
      <c r="AB345" s="35"/>
      <c r="AC345" s="34"/>
      <c r="AD345" s="34"/>
      <c r="AE345" s="34"/>
      <c r="AF345" s="34"/>
      <c r="AG345" s="34"/>
      <c r="AH345" s="33"/>
      <c r="AI345" s="33"/>
      <c r="AJ345" s="34"/>
      <c r="AK345" s="33"/>
      <c r="AL345" s="33"/>
      <c r="AM345" s="33"/>
      <c r="AN345" s="34"/>
      <c r="AO345" s="34"/>
      <c r="AP345" s="33"/>
      <c r="AQ345" s="34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4"/>
      <c r="BM345" s="33"/>
      <c r="BN345" s="33"/>
      <c r="BO345" s="33"/>
      <c r="BP345" s="33">
        <v>220</v>
      </c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>
        <v>250</v>
      </c>
      <c r="CB345" s="35"/>
      <c r="CC345" s="33"/>
      <c r="CD345" s="33"/>
      <c r="CE345" s="33"/>
      <c r="CF345" s="34" t="s">
        <v>227</v>
      </c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 t="s">
        <v>224</v>
      </c>
      <c r="CY345" s="33"/>
      <c r="CZ345" s="34"/>
      <c r="DA345" s="33"/>
      <c r="DB345" s="33"/>
      <c r="DC345" s="33"/>
      <c r="DD345" s="33"/>
      <c r="DE345" s="33"/>
      <c r="DF345" s="33"/>
      <c r="DG345" s="33"/>
      <c r="DH345" s="33">
        <v>500</v>
      </c>
      <c r="DI345" s="33"/>
      <c r="DJ345" s="33"/>
      <c r="DK345" s="33"/>
      <c r="DL345" s="33"/>
      <c r="DM345" s="34"/>
      <c r="DN345" s="34" t="s">
        <v>208</v>
      </c>
      <c r="DO345" s="33">
        <v>200</v>
      </c>
      <c r="DP345" s="33"/>
      <c r="DQ345" s="33"/>
      <c r="DR345" s="33"/>
      <c r="DS345" s="33"/>
      <c r="DT345" s="33">
        <v>250</v>
      </c>
      <c r="DU345" s="33"/>
      <c r="DV345" s="33"/>
      <c r="DW345" s="33"/>
      <c r="DX345" s="33"/>
      <c r="DY345" s="33">
        <v>250</v>
      </c>
      <c r="DZ345" s="33"/>
      <c r="EA345" s="33"/>
      <c r="EB345" s="33"/>
      <c r="EC345" s="33"/>
      <c r="ED345" s="33"/>
      <c r="EE345" s="33"/>
      <c r="EF345" s="33"/>
      <c r="EG345" s="38"/>
    </row>
    <row r="346" spans="2:137" ht="13.2">
      <c r="B346" s="30" t="str">
        <f t="shared" si="12"/>
        <v>2023/12</v>
      </c>
      <c r="C346" s="31">
        <f t="shared" si="13"/>
        <v>1920</v>
      </c>
      <c r="D346" s="32">
        <v>45275</v>
      </c>
      <c r="E346" s="33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3"/>
      <c r="R346" s="33"/>
      <c r="S346" s="33"/>
      <c r="T346" s="33"/>
      <c r="U346" s="35"/>
      <c r="V346" s="36"/>
      <c r="W346" s="37"/>
      <c r="X346" s="34"/>
      <c r="Y346" s="33"/>
      <c r="Z346" s="33"/>
      <c r="AA346" s="33"/>
      <c r="AB346" s="35"/>
      <c r="AC346" s="34"/>
      <c r="AD346" s="34"/>
      <c r="AE346" s="34"/>
      <c r="AF346" s="34"/>
      <c r="AG346" s="34"/>
      <c r="AH346" s="33"/>
      <c r="AI346" s="33"/>
      <c r="AJ346" s="34"/>
      <c r="AK346" s="33"/>
      <c r="AL346" s="33"/>
      <c r="AM346" s="33"/>
      <c r="AN346" s="34"/>
      <c r="AO346" s="34"/>
      <c r="AP346" s="33"/>
      <c r="AQ346" s="34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4"/>
      <c r="BM346" s="33"/>
      <c r="BN346" s="33"/>
      <c r="BO346" s="33"/>
      <c r="BP346" s="33"/>
      <c r="BQ346" s="33" t="s">
        <v>209</v>
      </c>
      <c r="BR346" s="33">
        <v>970</v>
      </c>
      <c r="BS346" s="33"/>
      <c r="BT346" s="33"/>
      <c r="BU346" s="33"/>
      <c r="BV346" s="33"/>
      <c r="BW346" s="33"/>
      <c r="BX346" s="33"/>
      <c r="BY346" s="33"/>
      <c r="BZ346" s="33"/>
      <c r="CA346" s="33"/>
      <c r="CB346" s="35"/>
      <c r="CC346" s="33"/>
      <c r="CD346" s="33"/>
      <c r="CE346" s="33"/>
      <c r="CF346" s="34"/>
      <c r="CG346" s="33"/>
      <c r="CH346" s="33"/>
      <c r="CI346" s="33"/>
      <c r="CJ346" s="33"/>
      <c r="CK346" s="33"/>
      <c r="CL346" s="33"/>
      <c r="CM346" s="33"/>
      <c r="CN346" s="33">
        <v>500</v>
      </c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4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4">
        <v>200</v>
      </c>
      <c r="DN346" s="34"/>
      <c r="DO346" s="33"/>
      <c r="DP346" s="33"/>
      <c r="DQ346" s="33" t="s">
        <v>207</v>
      </c>
      <c r="DR346" s="33"/>
      <c r="DS346" s="33"/>
      <c r="DT346" s="33">
        <v>250</v>
      </c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8"/>
    </row>
    <row r="347" spans="2:137" ht="13.2">
      <c r="B347" s="30" t="str">
        <f t="shared" si="12"/>
        <v>2023/12</v>
      </c>
      <c r="C347" s="31">
        <f t="shared" si="13"/>
        <v>750</v>
      </c>
      <c r="D347" s="32">
        <v>45279</v>
      </c>
      <c r="E347" s="33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3"/>
      <c r="R347" s="33"/>
      <c r="S347" s="33"/>
      <c r="T347" s="33"/>
      <c r="U347" s="35"/>
      <c r="V347" s="36"/>
      <c r="W347" s="37"/>
      <c r="X347" s="34"/>
      <c r="Y347" s="33"/>
      <c r="Z347" s="33"/>
      <c r="AA347" s="33"/>
      <c r="AB347" s="35"/>
      <c r="AC347" s="34"/>
      <c r="AD347" s="34"/>
      <c r="AE347" s="34"/>
      <c r="AF347" s="34"/>
      <c r="AG347" s="34"/>
      <c r="AH347" s="33"/>
      <c r="AI347" s="33"/>
      <c r="AJ347" s="34"/>
      <c r="AK347" s="33"/>
      <c r="AL347" s="33"/>
      <c r="AM347" s="33"/>
      <c r="AN347" s="34"/>
      <c r="AO347" s="34"/>
      <c r="AP347" s="33"/>
      <c r="AQ347" s="34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4"/>
      <c r="BM347" s="33"/>
      <c r="BN347" s="33"/>
      <c r="BO347" s="33" t="s">
        <v>227</v>
      </c>
      <c r="BP347" s="33"/>
      <c r="BQ347" s="33"/>
      <c r="BR347" s="33" t="s">
        <v>206</v>
      </c>
      <c r="BS347" s="33">
        <v>250</v>
      </c>
      <c r="BT347" s="33"/>
      <c r="BU347" s="33"/>
      <c r="BV347" s="33"/>
      <c r="BW347" s="33"/>
      <c r="BX347" s="33"/>
      <c r="BY347" s="33"/>
      <c r="BZ347" s="33"/>
      <c r="CA347" s="33"/>
      <c r="CB347" s="35"/>
      <c r="CC347" s="33"/>
      <c r="CD347" s="33"/>
      <c r="CE347" s="33"/>
      <c r="CF347" s="34"/>
      <c r="CG347" s="33"/>
      <c r="CH347" s="33"/>
      <c r="CI347" s="33"/>
      <c r="CJ347" s="33"/>
      <c r="CK347" s="33"/>
      <c r="CL347" s="33"/>
      <c r="CM347" s="33"/>
      <c r="CN347" s="33" t="s">
        <v>227</v>
      </c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4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4"/>
      <c r="DN347" s="34"/>
      <c r="DO347" s="33"/>
      <c r="DP347" s="33"/>
      <c r="DQ347" s="33"/>
      <c r="DR347" s="33"/>
      <c r="DS347" s="33"/>
      <c r="DT347" s="33">
        <v>250</v>
      </c>
      <c r="DU347" s="33"/>
      <c r="DV347" s="33"/>
      <c r="DW347" s="33"/>
      <c r="DX347" s="33"/>
      <c r="DY347" s="33">
        <v>250</v>
      </c>
      <c r="DZ347" s="33"/>
      <c r="EA347" s="33"/>
      <c r="EB347" s="33"/>
      <c r="EC347" s="33"/>
      <c r="ED347" s="33"/>
      <c r="EE347" s="33"/>
      <c r="EF347" s="33"/>
      <c r="EG347" s="38"/>
    </row>
    <row r="348" spans="2:137" ht="13.2">
      <c r="B348" s="30" t="str">
        <f t="shared" si="12"/>
        <v>2023/12</v>
      </c>
      <c r="C348" s="31" t="str">
        <f t="shared" si="13"/>
        <v/>
      </c>
      <c r="D348" s="32">
        <v>45280</v>
      </c>
      <c r="E348" s="33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3"/>
      <c r="R348" s="33"/>
      <c r="S348" s="33"/>
      <c r="T348" s="33"/>
      <c r="U348" s="35"/>
      <c r="V348" s="36"/>
      <c r="W348" s="37"/>
      <c r="X348" s="34"/>
      <c r="Y348" s="33"/>
      <c r="Z348" s="33"/>
      <c r="AA348" s="33"/>
      <c r="AB348" s="35"/>
      <c r="AC348" s="34"/>
      <c r="AD348" s="34"/>
      <c r="AE348" s="34"/>
      <c r="AF348" s="34"/>
      <c r="AG348" s="34"/>
      <c r="AH348" s="33"/>
      <c r="AI348" s="33"/>
      <c r="AJ348" s="34"/>
      <c r="AK348" s="33"/>
      <c r="AL348" s="33"/>
      <c r="AM348" s="33"/>
      <c r="AN348" s="34"/>
      <c r="AO348" s="34"/>
      <c r="AP348" s="33"/>
      <c r="AQ348" s="34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4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5"/>
      <c r="CC348" s="33"/>
      <c r="CD348" s="33"/>
      <c r="CE348" s="33"/>
      <c r="CF348" s="34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 t="s">
        <v>214</v>
      </c>
      <c r="CS348" s="33"/>
      <c r="CT348" s="33"/>
      <c r="CU348" s="33"/>
      <c r="CV348" s="33"/>
      <c r="CW348" s="33"/>
      <c r="CX348" s="33"/>
      <c r="CY348" s="33"/>
      <c r="CZ348" s="34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4"/>
      <c r="DN348" s="34"/>
      <c r="DO348" s="33"/>
      <c r="DP348" s="33" t="s">
        <v>208</v>
      </c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8"/>
    </row>
    <row r="349" spans="2:137" ht="13.2">
      <c r="B349" s="30" t="str">
        <f t="shared" si="12"/>
        <v>2023/12</v>
      </c>
      <c r="C349" s="31">
        <f t="shared" si="13"/>
        <v>1650</v>
      </c>
      <c r="D349" s="32">
        <v>45281</v>
      </c>
      <c r="E349" s="33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3"/>
      <c r="R349" s="33"/>
      <c r="S349" s="33"/>
      <c r="T349" s="33"/>
      <c r="U349" s="35"/>
      <c r="V349" s="36"/>
      <c r="W349" s="37"/>
      <c r="X349" s="34"/>
      <c r="Y349" s="33"/>
      <c r="Z349" s="33"/>
      <c r="AA349" s="33"/>
      <c r="AB349" s="35"/>
      <c r="AC349" s="34"/>
      <c r="AD349" s="34"/>
      <c r="AE349" s="34"/>
      <c r="AF349" s="34"/>
      <c r="AG349" s="34"/>
      <c r="AH349" s="33"/>
      <c r="AI349" s="33"/>
      <c r="AJ349" s="34"/>
      <c r="AK349" s="33"/>
      <c r="AL349" s="33"/>
      <c r="AM349" s="33"/>
      <c r="AN349" s="34"/>
      <c r="AO349" s="34"/>
      <c r="AP349" s="33"/>
      <c r="AQ349" s="34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4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5"/>
      <c r="CC349" s="33"/>
      <c r="CD349" s="33"/>
      <c r="CE349" s="33"/>
      <c r="CF349" s="34" t="s">
        <v>227</v>
      </c>
      <c r="CG349" s="33"/>
      <c r="CH349" s="33"/>
      <c r="CI349" s="33"/>
      <c r="CJ349" s="33"/>
      <c r="CK349" s="33"/>
      <c r="CL349" s="33"/>
      <c r="CM349" s="33"/>
      <c r="CN349" s="33" t="s">
        <v>227</v>
      </c>
      <c r="CO349" s="33"/>
      <c r="CP349" s="33"/>
      <c r="CQ349" s="33"/>
      <c r="CR349" s="33"/>
      <c r="CS349" s="33"/>
      <c r="CT349" s="33"/>
      <c r="CU349" s="33"/>
      <c r="CV349" s="33">
        <v>250</v>
      </c>
      <c r="CW349" s="33"/>
      <c r="CX349" s="33" t="s">
        <v>239</v>
      </c>
      <c r="CY349" s="33"/>
      <c r="CZ349" s="34">
        <v>200</v>
      </c>
      <c r="DA349" s="33"/>
      <c r="DB349" s="33">
        <v>250</v>
      </c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4"/>
      <c r="DN349" s="34">
        <v>700</v>
      </c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>
        <v>250</v>
      </c>
      <c r="DZ349" s="33"/>
      <c r="EA349" s="33"/>
      <c r="EB349" s="33"/>
      <c r="EC349" s="33"/>
      <c r="ED349" s="33"/>
      <c r="EE349" s="33"/>
      <c r="EF349" s="33"/>
      <c r="EG349" s="38"/>
    </row>
    <row r="350" spans="2:137" ht="13.2">
      <c r="B350" s="30" t="str">
        <f t="shared" si="12"/>
        <v>2023/12</v>
      </c>
      <c r="C350" s="31">
        <f t="shared" si="13"/>
        <v>3870</v>
      </c>
      <c r="D350" s="32">
        <v>45282</v>
      </c>
      <c r="E350" s="33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3"/>
      <c r="R350" s="33"/>
      <c r="S350" s="33"/>
      <c r="T350" s="33"/>
      <c r="U350" s="35"/>
      <c r="V350" s="36"/>
      <c r="W350" s="37"/>
      <c r="X350" s="34"/>
      <c r="Y350" s="33"/>
      <c r="Z350" s="33"/>
      <c r="AA350" s="33"/>
      <c r="AB350" s="35"/>
      <c r="AC350" s="34"/>
      <c r="AD350" s="34"/>
      <c r="AE350" s="34"/>
      <c r="AF350" s="34"/>
      <c r="AG350" s="34"/>
      <c r="AH350" s="33"/>
      <c r="AI350" s="33"/>
      <c r="AJ350" s="34"/>
      <c r="AK350" s="33"/>
      <c r="AL350" s="33"/>
      <c r="AM350" s="33"/>
      <c r="AN350" s="34"/>
      <c r="AO350" s="34"/>
      <c r="AP350" s="33"/>
      <c r="AQ350" s="34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4"/>
      <c r="BM350" s="33"/>
      <c r="BN350" s="33"/>
      <c r="BO350" s="33"/>
      <c r="BP350" s="33">
        <v>220</v>
      </c>
      <c r="BQ350" s="33">
        <v>950</v>
      </c>
      <c r="BR350" s="33"/>
      <c r="BS350" s="33"/>
      <c r="BT350" s="33"/>
      <c r="BU350" s="33"/>
      <c r="BV350" s="33"/>
      <c r="BW350" s="33"/>
      <c r="BX350" s="33"/>
      <c r="BY350" s="33"/>
      <c r="BZ350" s="33"/>
      <c r="CA350" s="33">
        <v>250</v>
      </c>
      <c r="CB350" s="35"/>
      <c r="CC350" s="33"/>
      <c r="CD350" s="33"/>
      <c r="CE350" s="33"/>
      <c r="CF350" s="34"/>
      <c r="CG350" s="33"/>
      <c r="CH350" s="33"/>
      <c r="CI350" s="33"/>
      <c r="CJ350" s="33"/>
      <c r="CK350" s="33"/>
      <c r="CL350" s="33"/>
      <c r="CM350" s="33"/>
      <c r="CN350" s="33">
        <v>500</v>
      </c>
      <c r="CO350" s="33"/>
      <c r="CP350" s="33"/>
      <c r="CQ350" s="33"/>
      <c r="CR350" s="33"/>
      <c r="CS350" s="33"/>
      <c r="CT350" s="33"/>
      <c r="CU350" s="33">
        <v>500</v>
      </c>
      <c r="CV350" s="33"/>
      <c r="CW350" s="33"/>
      <c r="CX350" s="33">
        <v>1000</v>
      </c>
      <c r="CY350" s="33"/>
      <c r="CZ350" s="34"/>
      <c r="DA350" s="33"/>
      <c r="DB350" s="33"/>
      <c r="DC350" s="33"/>
      <c r="DD350" s="33"/>
      <c r="DE350" s="33"/>
      <c r="DF350" s="33"/>
      <c r="DG350" s="33"/>
      <c r="DH350" s="33">
        <v>250</v>
      </c>
      <c r="DI350" s="33"/>
      <c r="DJ350" s="33"/>
      <c r="DK350" s="33"/>
      <c r="DL350" s="33"/>
      <c r="DM350" s="34">
        <v>200</v>
      </c>
      <c r="DN350" s="34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8"/>
    </row>
    <row r="351" spans="2:137" ht="13.2">
      <c r="B351" s="30" t="str">
        <f t="shared" si="12"/>
        <v>2024/1</v>
      </c>
      <c r="C351" s="31">
        <f t="shared" si="13"/>
        <v>700</v>
      </c>
      <c r="D351" s="32">
        <v>45293</v>
      </c>
      <c r="E351" s="33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3"/>
      <c r="R351" s="33"/>
      <c r="S351" s="33"/>
      <c r="T351" s="33"/>
      <c r="U351" s="35"/>
      <c r="V351" s="36"/>
      <c r="W351" s="37"/>
      <c r="X351" s="34"/>
      <c r="Y351" s="33"/>
      <c r="Z351" s="33"/>
      <c r="AA351" s="33"/>
      <c r="AB351" s="35"/>
      <c r="AC351" s="34"/>
      <c r="AD351" s="34"/>
      <c r="AE351" s="34"/>
      <c r="AF351" s="34"/>
      <c r="AG351" s="34"/>
      <c r="AH351" s="33"/>
      <c r="AI351" s="33"/>
      <c r="AJ351" s="34"/>
      <c r="AK351" s="33"/>
      <c r="AL351" s="33"/>
      <c r="AM351" s="33"/>
      <c r="AN351" s="34"/>
      <c r="AO351" s="34"/>
      <c r="AP351" s="33"/>
      <c r="AQ351" s="34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4"/>
      <c r="BM351" s="33"/>
      <c r="BN351" s="33"/>
      <c r="BO351" s="33" t="s">
        <v>227</v>
      </c>
      <c r="BP351" s="33"/>
      <c r="BQ351" s="33"/>
      <c r="BR351" s="33" t="s">
        <v>229</v>
      </c>
      <c r="BS351" s="33"/>
      <c r="BT351" s="33"/>
      <c r="BU351" s="33"/>
      <c r="BV351" s="33"/>
      <c r="BW351" s="33"/>
      <c r="BX351" s="33"/>
      <c r="BY351" s="33"/>
      <c r="BZ351" s="33"/>
      <c r="CA351" s="33"/>
      <c r="CB351" s="35"/>
      <c r="CC351" s="33"/>
      <c r="CD351" s="33"/>
      <c r="CE351" s="33"/>
      <c r="CF351" s="34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 t="s">
        <v>224</v>
      </c>
      <c r="CS351" s="33"/>
      <c r="CT351" s="33"/>
      <c r="CU351" s="33"/>
      <c r="CV351" s="33"/>
      <c r="CW351" s="33"/>
      <c r="CX351" s="33"/>
      <c r="CY351" s="33"/>
      <c r="CZ351" s="34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4"/>
      <c r="DN351" s="34"/>
      <c r="DO351" s="33">
        <v>200</v>
      </c>
      <c r="DP351" s="33"/>
      <c r="DQ351" s="33"/>
      <c r="DR351" s="33"/>
      <c r="DS351" s="33"/>
      <c r="DT351" s="33">
        <v>250</v>
      </c>
      <c r="DU351" s="33"/>
      <c r="DV351" s="33"/>
      <c r="DW351" s="33"/>
      <c r="DX351" s="33"/>
      <c r="DY351" s="33">
        <v>250</v>
      </c>
      <c r="DZ351" s="33"/>
      <c r="EA351" s="33"/>
      <c r="EB351" s="33"/>
      <c r="EC351" s="33"/>
      <c r="ED351" s="33"/>
      <c r="EE351" s="33"/>
      <c r="EF351" s="33"/>
      <c r="EG351" s="38"/>
    </row>
    <row r="352" spans="2:137" ht="13.2">
      <c r="B352" s="30" t="str">
        <f t="shared" si="12"/>
        <v>2024/1</v>
      </c>
      <c r="C352" s="31">
        <f t="shared" si="13"/>
        <v>520</v>
      </c>
      <c r="D352" s="32">
        <v>45294</v>
      </c>
      <c r="E352" s="33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3"/>
      <c r="R352" s="33"/>
      <c r="S352" s="33"/>
      <c r="T352" s="33"/>
      <c r="U352" s="35"/>
      <c r="V352" s="36"/>
      <c r="W352" s="37"/>
      <c r="X352" s="34"/>
      <c r="Y352" s="33"/>
      <c r="Z352" s="33"/>
      <c r="AA352" s="33"/>
      <c r="AB352" s="35"/>
      <c r="AC352" s="34"/>
      <c r="AD352" s="34"/>
      <c r="AE352" s="34"/>
      <c r="AF352" s="34"/>
      <c r="AG352" s="34"/>
      <c r="AH352" s="33"/>
      <c r="AI352" s="33"/>
      <c r="AJ352" s="34"/>
      <c r="AK352" s="33"/>
      <c r="AL352" s="33"/>
      <c r="AM352" s="33"/>
      <c r="AN352" s="34"/>
      <c r="AO352" s="34"/>
      <c r="AP352" s="33"/>
      <c r="AQ352" s="34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4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5"/>
      <c r="CC352" s="33"/>
      <c r="CD352" s="33"/>
      <c r="CE352" s="33"/>
      <c r="CF352" s="34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 t="s">
        <v>227</v>
      </c>
      <c r="CV352" s="33"/>
      <c r="CW352" s="33"/>
      <c r="CX352" s="33"/>
      <c r="CY352" s="33"/>
      <c r="CZ352" s="34"/>
      <c r="DA352" s="33"/>
      <c r="DB352" s="33">
        <v>260</v>
      </c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4"/>
      <c r="DN352" s="34"/>
      <c r="DO352" s="33"/>
      <c r="DP352" s="33" t="s">
        <v>209</v>
      </c>
      <c r="DQ352" s="33"/>
      <c r="DR352" s="33"/>
      <c r="DS352" s="33"/>
      <c r="DT352" s="33">
        <v>260</v>
      </c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8"/>
    </row>
    <row r="353" spans="2:137" ht="13.2">
      <c r="B353" s="30" t="str">
        <f t="shared" si="12"/>
        <v>2024/1</v>
      </c>
      <c r="C353" s="31">
        <f t="shared" si="13"/>
        <v>2010</v>
      </c>
      <c r="D353" s="32">
        <v>45295</v>
      </c>
      <c r="E353" s="33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3"/>
      <c r="R353" s="33"/>
      <c r="S353" s="33"/>
      <c r="T353" s="33"/>
      <c r="U353" s="35"/>
      <c r="V353" s="36"/>
      <c r="W353" s="37"/>
      <c r="X353" s="34"/>
      <c r="Y353" s="33"/>
      <c r="Z353" s="33"/>
      <c r="AA353" s="33"/>
      <c r="AB353" s="35"/>
      <c r="AC353" s="34"/>
      <c r="AD353" s="34"/>
      <c r="AE353" s="34"/>
      <c r="AF353" s="34"/>
      <c r="AG353" s="34"/>
      <c r="AH353" s="33"/>
      <c r="AI353" s="33"/>
      <c r="AJ353" s="34"/>
      <c r="AK353" s="33"/>
      <c r="AL353" s="33"/>
      <c r="AM353" s="33"/>
      <c r="AN353" s="34"/>
      <c r="AO353" s="34"/>
      <c r="AP353" s="33"/>
      <c r="AQ353" s="34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4"/>
      <c r="BM353" s="33"/>
      <c r="BN353" s="33"/>
      <c r="BO353" s="33"/>
      <c r="BP353" s="33">
        <v>230</v>
      </c>
      <c r="BQ353" s="33"/>
      <c r="BR353" s="33"/>
      <c r="BS353" s="33">
        <v>250</v>
      </c>
      <c r="BT353" s="33"/>
      <c r="BU353" s="33"/>
      <c r="BV353" s="33"/>
      <c r="BW353" s="33"/>
      <c r="BX353" s="33"/>
      <c r="BY353" s="33"/>
      <c r="BZ353" s="33"/>
      <c r="CA353" s="33">
        <v>250</v>
      </c>
      <c r="CB353" s="35"/>
      <c r="CC353" s="33"/>
      <c r="CD353" s="33"/>
      <c r="CE353" s="33">
        <v>280</v>
      </c>
      <c r="CF353" s="34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>
        <v>800</v>
      </c>
      <c r="CS353" s="33"/>
      <c r="CT353" s="33"/>
      <c r="CU353" s="33"/>
      <c r="CV353" s="33"/>
      <c r="CW353" s="33"/>
      <c r="CX353" s="33" t="s">
        <v>212</v>
      </c>
      <c r="CY353" s="33"/>
      <c r="CZ353" s="34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4">
        <v>200</v>
      </c>
      <c r="DN353" s="34" t="s">
        <v>206</v>
      </c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8"/>
    </row>
    <row r="354" spans="2:137" ht="13.2">
      <c r="B354" s="30" t="str">
        <f t="shared" si="12"/>
        <v>2024/1</v>
      </c>
      <c r="C354" s="31">
        <f t="shared" si="13"/>
        <v>4450</v>
      </c>
      <c r="D354" s="32">
        <v>45307</v>
      </c>
      <c r="E354" s="33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3"/>
      <c r="R354" s="33"/>
      <c r="S354" s="33"/>
      <c r="T354" s="33"/>
      <c r="U354" s="35"/>
      <c r="V354" s="36"/>
      <c r="W354" s="37"/>
      <c r="X354" s="34"/>
      <c r="Y354" s="33"/>
      <c r="Z354" s="33"/>
      <c r="AA354" s="33"/>
      <c r="AB354" s="35"/>
      <c r="AC354" s="34"/>
      <c r="AD354" s="34"/>
      <c r="AE354" s="34"/>
      <c r="AF354" s="34"/>
      <c r="AG354" s="34"/>
      <c r="AH354" s="33"/>
      <c r="AI354" s="33"/>
      <c r="AJ354" s="34"/>
      <c r="AK354" s="33"/>
      <c r="AL354" s="33"/>
      <c r="AM354" s="33"/>
      <c r="AN354" s="34"/>
      <c r="AO354" s="34"/>
      <c r="AP354" s="33"/>
      <c r="AQ354" s="34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4"/>
      <c r="BM354" s="33"/>
      <c r="BN354" s="33">
        <v>200</v>
      </c>
      <c r="BO354" s="33">
        <v>750</v>
      </c>
      <c r="BP354" s="33"/>
      <c r="BQ354" s="33"/>
      <c r="BR354" s="33" t="s">
        <v>208</v>
      </c>
      <c r="BS354" s="33"/>
      <c r="BT354" s="33"/>
      <c r="BU354" s="33"/>
      <c r="BV354" s="33"/>
      <c r="BW354" s="33"/>
      <c r="BX354" s="33"/>
      <c r="BY354" s="33"/>
      <c r="BZ354" s="33"/>
      <c r="CA354" s="33"/>
      <c r="CB354" s="35"/>
      <c r="CC354" s="33"/>
      <c r="CD354" s="33"/>
      <c r="CE354" s="33"/>
      <c r="CF354" s="34"/>
      <c r="CG354" s="33"/>
      <c r="CH354" s="33"/>
      <c r="CI354" s="33"/>
      <c r="CJ354" s="33"/>
      <c r="CK354" s="33"/>
      <c r="CL354" s="33"/>
      <c r="CM354" s="33"/>
      <c r="CN354" s="33">
        <v>250</v>
      </c>
      <c r="CO354" s="33"/>
      <c r="CP354" s="33"/>
      <c r="CQ354" s="33"/>
      <c r="CR354" s="33" t="s">
        <v>210</v>
      </c>
      <c r="CS354" s="33"/>
      <c r="CT354" s="33"/>
      <c r="CU354" s="33" t="s">
        <v>227</v>
      </c>
      <c r="CV354" s="33">
        <v>250</v>
      </c>
      <c r="CW354" s="33"/>
      <c r="CX354" s="33"/>
      <c r="CY354" s="33"/>
      <c r="CZ354" s="34"/>
      <c r="DA354" s="33"/>
      <c r="DB354" s="33"/>
      <c r="DC354" s="33"/>
      <c r="DD354" s="33"/>
      <c r="DE354" s="33"/>
      <c r="DF354" s="33"/>
      <c r="DG354" s="33"/>
      <c r="DH354" s="33">
        <v>520</v>
      </c>
      <c r="DI354" s="33"/>
      <c r="DJ354" s="33"/>
      <c r="DK354" s="33"/>
      <c r="DL354" s="33"/>
      <c r="DM354" s="34"/>
      <c r="DN354" s="34"/>
      <c r="DO354" s="33"/>
      <c r="DP354" s="33">
        <v>980</v>
      </c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>
        <v>1500</v>
      </c>
      <c r="EF354" s="33"/>
      <c r="EG354" s="38"/>
    </row>
    <row r="355" spans="2:137" ht="13.2">
      <c r="B355" s="30" t="str">
        <f t="shared" si="12"/>
        <v>2024/1</v>
      </c>
      <c r="C355" s="31">
        <f t="shared" si="13"/>
        <v>480</v>
      </c>
      <c r="D355" s="32">
        <v>45308</v>
      </c>
      <c r="E355" s="33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3"/>
      <c r="R355" s="33"/>
      <c r="S355" s="33"/>
      <c r="T355" s="33"/>
      <c r="U355" s="35"/>
      <c r="V355" s="36"/>
      <c r="W355" s="37"/>
      <c r="X355" s="34"/>
      <c r="Y355" s="33"/>
      <c r="Z355" s="33"/>
      <c r="AA355" s="33"/>
      <c r="AB355" s="35"/>
      <c r="AC355" s="34"/>
      <c r="AD355" s="34"/>
      <c r="AE355" s="34"/>
      <c r="AF355" s="34"/>
      <c r="AG355" s="34"/>
      <c r="AH355" s="33"/>
      <c r="AI355" s="33"/>
      <c r="AJ355" s="34"/>
      <c r="AK355" s="33"/>
      <c r="AL355" s="33"/>
      <c r="AM355" s="33"/>
      <c r="AN355" s="34"/>
      <c r="AO355" s="34"/>
      <c r="AP355" s="33"/>
      <c r="AQ355" s="34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4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5"/>
      <c r="CC355" s="33"/>
      <c r="CD355" s="33"/>
      <c r="CE355" s="33">
        <v>280</v>
      </c>
      <c r="CF355" s="34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4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4"/>
      <c r="DN355" s="34"/>
      <c r="DO355" s="33">
        <v>200</v>
      </c>
      <c r="DP355" s="33" t="s">
        <v>206</v>
      </c>
      <c r="DQ355" s="33"/>
      <c r="DR355" s="33"/>
      <c r="DS355" s="33"/>
      <c r="DT355" s="33" t="s">
        <v>227</v>
      </c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8"/>
    </row>
    <row r="356" spans="2:137" ht="13.2">
      <c r="B356" s="30" t="str">
        <f t="shared" si="12"/>
        <v>2024/1</v>
      </c>
      <c r="C356" s="31">
        <f t="shared" si="13"/>
        <v>910</v>
      </c>
      <c r="D356" s="32">
        <v>45309</v>
      </c>
      <c r="E356" s="33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3"/>
      <c r="R356" s="33"/>
      <c r="S356" s="33"/>
      <c r="T356" s="33"/>
      <c r="U356" s="35"/>
      <c r="V356" s="36"/>
      <c r="W356" s="37"/>
      <c r="X356" s="34"/>
      <c r="Y356" s="33"/>
      <c r="Z356" s="33"/>
      <c r="AA356" s="33"/>
      <c r="AB356" s="35"/>
      <c r="AC356" s="34"/>
      <c r="AD356" s="34"/>
      <c r="AE356" s="34"/>
      <c r="AF356" s="34"/>
      <c r="AG356" s="34"/>
      <c r="AH356" s="33"/>
      <c r="AI356" s="33"/>
      <c r="AJ356" s="34"/>
      <c r="AK356" s="33"/>
      <c r="AL356" s="33"/>
      <c r="AM356" s="33"/>
      <c r="AN356" s="34"/>
      <c r="AO356" s="34"/>
      <c r="AP356" s="33"/>
      <c r="AQ356" s="34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4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>
        <v>260</v>
      </c>
      <c r="CB356" s="35"/>
      <c r="CC356" s="33"/>
      <c r="CD356" s="33"/>
      <c r="CE356" s="33"/>
      <c r="CF356" s="34">
        <v>400</v>
      </c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 t="s">
        <v>210</v>
      </c>
      <c r="CY356" s="33"/>
      <c r="CZ356" s="34"/>
      <c r="DA356" s="33"/>
      <c r="DB356" s="33"/>
      <c r="DC356" s="33"/>
      <c r="DD356" s="33"/>
      <c r="DE356" s="33"/>
      <c r="DF356" s="33"/>
      <c r="DG356" s="33"/>
      <c r="DH356" s="33" t="s">
        <v>227</v>
      </c>
      <c r="DI356" s="33"/>
      <c r="DJ356" s="33"/>
      <c r="DK356" s="33"/>
      <c r="DL356" s="33"/>
      <c r="DM356" s="34"/>
      <c r="DN356" s="34" t="s">
        <v>207</v>
      </c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>
        <v>250</v>
      </c>
      <c r="DZ356" s="33"/>
      <c r="EA356" s="33"/>
      <c r="EB356" s="33"/>
      <c r="EC356" s="33"/>
      <c r="ED356" s="33"/>
      <c r="EE356" s="33"/>
      <c r="EF356" s="33"/>
      <c r="EG356" s="38"/>
    </row>
    <row r="357" spans="2:137" ht="13.2">
      <c r="B357" s="30" t="str">
        <f t="shared" si="12"/>
        <v>2024/1</v>
      </c>
      <c r="C357" s="31">
        <f t="shared" si="13"/>
        <v>1710</v>
      </c>
      <c r="D357" s="32">
        <v>45310</v>
      </c>
      <c r="E357" s="33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3"/>
      <c r="R357" s="33"/>
      <c r="S357" s="33"/>
      <c r="T357" s="33"/>
      <c r="U357" s="35"/>
      <c r="V357" s="36"/>
      <c r="W357" s="37"/>
      <c r="X357" s="34"/>
      <c r="Y357" s="33"/>
      <c r="Z357" s="33"/>
      <c r="AA357" s="33"/>
      <c r="AB357" s="35"/>
      <c r="AC357" s="34"/>
      <c r="AD357" s="34"/>
      <c r="AE357" s="34"/>
      <c r="AF357" s="34"/>
      <c r="AG357" s="34"/>
      <c r="AH357" s="33"/>
      <c r="AI357" s="33"/>
      <c r="AJ357" s="34"/>
      <c r="AK357" s="33"/>
      <c r="AL357" s="33"/>
      <c r="AM357" s="33"/>
      <c r="AN357" s="34"/>
      <c r="AO357" s="34"/>
      <c r="AP357" s="33"/>
      <c r="AQ357" s="34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4"/>
      <c r="BM357" s="33"/>
      <c r="BN357" s="33"/>
      <c r="BO357" s="33"/>
      <c r="BP357" s="33">
        <v>230</v>
      </c>
      <c r="BQ357" s="33" t="s">
        <v>207</v>
      </c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5"/>
      <c r="CC357" s="33"/>
      <c r="CD357" s="33"/>
      <c r="CE357" s="33"/>
      <c r="CF357" s="34"/>
      <c r="CG357" s="33"/>
      <c r="CH357" s="33"/>
      <c r="CI357" s="33"/>
      <c r="CJ357" s="33"/>
      <c r="CK357" s="33"/>
      <c r="CL357" s="33"/>
      <c r="CM357" s="33"/>
      <c r="CN357" s="33">
        <v>250</v>
      </c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4">
        <v>200</v>
      </c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4">
        <v>240</v>
      </c>
      <c r="DN357" s="34"/>
      <c r="DO357" s="33"/>
      <c r="DP357" s="33"/>
      <c r="DQ357" s="33" t="s">
        <v>208</v>
      </c>
      <c r="DR357" s="33"/>
      <c r="DS357" s="33"/>
      <c r="DT357" s="33">
        <v>520</v>
      </c>
      <c r="DU357" s="33"/>
      <c r="DV357" s="33"/>
      <c r="DW357" s="33"/>
      <c r="DX357" s="33"/>
      <c r="DY357" s="33">
        <v>270</v>
      </c>
      <c r="DZ357" s="33"/>
      <c r="EA357" s="33"/>
      <c r="EB357" s="33"/>
      <c r="EC357" s="33"/>
      <c r="ED357" s="33"/>
      <c r="EE357" s="33"/>
      <c r="EF357" s="33"/>
      <c r="EG357" s="38"/>
    </row>
    <row r="358" spans="2:137" ht="13.2">
      <c r="B358" s="30" t="str">
        <f t="shared" si="12"/>
        <v>2024/1</v>
      </c>
      <c r="C358" s="31">
        <f t="shared" si="13"/>
        <v>510</v>
      </c>
      <c r="D358" s="32">
        <v>45314</v>
      </c>
      <c r="E358" s="33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3"/>
      <c r="R358" s="33"/>
      <c r="S358" s="33"/>
      <c r="T358" s="33"/>
      <c r="U358" s="35"/>
      <c r="V358" s="36"/>
      <c r="W358" s="37"/>
      <c r="X358" s="34"/>
      <c r="Y358" s="33"/>
      <c r="Z358" s="33"/>
      <c r="AA358" s="33"/>
      <c r="AB358" s="35"/>
      <c r="AC358" s="34"/>
      <c r="AD358" s="34"/>
      <c r="AE358" s="34"/>
      <c r="AF358" s="34"/>
      <c r="AG358" s="34"/>
      <c r="AH358" s="33"/>
      <c r="AI358" s="33"/>
      <c r="AJ358" s="34"/>
      <c r="AK358" s="33"/>
      <c r="AL358" s="33"/>
      <c r="AM358" s="33"/>
      <c r="AN358" s="34"/>
      <c r="AO358" s="34"/>
      <c r="AP358" s="33"/>
      <c r="AQ358" s="34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4"/>
      <c r="BM358" s="33"/>
      <c r="BN358" s="33"/>
      <c r="BO358" s="33"/>
      <c r="BP358" s="33"/>
      <c r="BQ358" s="33"/>
      <c r="BR358" s="33" t="s">
        <v>209</v>
      </c>
      <c r="BS358" s="33"/>
      <c r="BT358" s="33"/>
      <c r="BU358" s="33"/>
      <c r="BV358" s="33"/>
      <c r="BW358" s="33"/>
      <c r="BX358" s="33"/>
      <c r="BY358" s="33"/>
      <c r="BZ358" s="33"/>
      <c r="CA358" s="33"/>
      <c r="CB358" s="35"/>
      <c r="CC358" s="33"/>
      <c r="CD358" s="33"/>
      <c r="CE358" s="33"/>
      <c r="CF358" s="34"/>
      <c r="CG358" s="33"/>
      <c r="CH358" s="33"/>
      <c r="CI358" s="33"/>
      <c r="CJ358" s="33"/>
      <c r="CK358" s="33"/>
      <c r="CL358" s="33"/>
      <c r="CM358" s="33"/>
      <c r="CN358" s="33" t="s">
        <v>227</v>
      </c>
      <c r="CO358" s="33"/>
      <c r="CP358" s="33"/>
      <c r="CQ358" s="33"/>
      <c r="CR358" s="33"/>
      <c r="CS358" s="33"/>
      <c r="CT358" s="33"/>
      <c r="CU358" s="33"/>
      <c r="CV358" s="33">
        <v>250</v>
      </c>
      <c r="CW358" s="33"/>
      <c r="CX358" s="33"/>
      <c r="CY358" s="33"/>
      <c r="CZ358" s="34"/>
      <c r="DA358" s="33"/>
      <c r="DB358" s="33"/>
      <c r="DC358" s="33"/>
      <c r="DD358" s="33"/>
      <c r="DE358" s="33"/>
      <c r="DF358" s="33"/>
      <c r="DG358" s="33"/>
      <c r="DH358" s="33">
        <v>260</v>
      </c>
      <c r="DI358" s="33"/>
      <c r="DJ358" s="33"/>
      <c r="DK358" s="33"/>
      <c r="DL358" s="33"/>
      <c r="DM358" s="34"/>
      <c r="DN358" s="34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8"/>
    </row>
    <row r="359" spans="2:137" ht="13.2">
      <c r="B359" s="30" t="str">
        <f t="shared" si="12"/>
        <v>2024/1</v>
      </c>
      <c r="C359" s="31">
        <f t="shared" si="13"/>
        <v>1520</v>
      </c>
      <c r="D359" s="32">
        <v>45315</v>
      </c>
      <c r="E359" s="33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3"/>
      <c r="R359" s="33"/>
      <c r="S359" s="33"/>
      <c r="T359" s="33"/>
      <c r="U359" s="35"/>
      <c r="V359" s="36"/>
      <c r="W359" s="37"/>
      <c r="X359" s="34"/>
      <c r="Y359" s="33"/>
      <c r="Z359" s="33"/>
      <c r="AA359" s="33"/>
      <c r="AB359" s="35"/>
      <c r="AC359" s="34"/>
      <c r="AD359" s="34"/>
      <c r="AE359" s="34"/>
      <c r="AF359" s="34"/>
      <c r="AG359" s="34"/>
      <c r="AH359" s="33"/>
      <c r="AI359" s="33"/>
      <c r="AJ359" s="34"/>
      <c r="AK359" s="33"/>
      <c r="AL359" s="33"/>
      <c r="AM359" s="33"/>
      <c r="AN359" s="34"/>
      <c r="AO359" s="34"/>
      <c r="AP359" s="33"/>
      <c r="AQ359" s="34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4"/>
      <c r="BM359" s="33"/>
      <c r="BN359" s="33"/>
      <c r="BO359" s="33"/>
      <c r="BP359" s="33"/>
      <c r="BQ359" s="33"/>
      <c r="BR359" s="33" t="s">
        <v>206</v>
      </c>
      <c r="BS359" s="33"/>
      <c r="BT359" s="33"/>
      <c r="BU359" s="33"/>
      <c r="BV359" s="33"/>
      <c r="BW359" s="33"/>
      <c r="BX359" s="33"/>
      <c r="BY359" s="33"/>
      <c r="BZ359" s="33"/>
      <c r="CA359" s="33"/>
      <c r="CB359" s="35"/>
      <c r="CC359" s="33"/>
      <c r="CD359" s="33"/>
      <c r="CE359" s="33"/>
      <c r="CF359" s="34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>
        <v>780</v>
      </c>
      <c r="CV359" s="33"/>
      <c r="CW359" s="33"/>
      <c r="CX359" s="33">
        <v>500</v>
      </c>
      <c r="CY359" s="33"/>
      <c r="CZ359" s="34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4">
        <v>240</v>
      </c>
      <c r="DN359" s="34" t="s">
        <v>208</v>
      </c>
      <c r="DO359" s="33"/>
      <c r="DP359" s="33" t="s">
        <v>207</v>
      </c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8"/>
    </row>
    <row r="360" spans="2:137" ht="13.2">
      <c r="B360" s="30" t="str">
        <f t="shared" si="12"/>
        <v>2024/1</v>
      </c>
      <c r="C360" s="31">
        <f t="shared" si="13"/>
        <v>1850</v>
      </c>
      <c r="D360" s="32">
        <v>45316</v>
      </c>
      <c r="E360" s="33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3"/>
      <c r="R360" s="33"/>
      <c r="S360" s="33"/>
      <c r="T360" s="33"/>
      <c r="U360" s="35"/>
      <c r="V360" s="36"/>
      <c r="W360" s="37"/>
      <c r="X360" s="34"/>
      <c r="Y360" s="33"/>
      <c r="Z360" s="33"/>
      <c r="AA360" s="33"/>
      <c r="AB360" s="35"/>
      <c r="AC360" s="34"/>
      <c r="AD360" s="34"/>
      <c r="AE360" s="34"/>
      <c r="AF360" s="34"/>
      <c r="AG360" s="34"/>
      <c r="AH360" s="33"/>
      <c r="AI360" s="33"/>
      <c r="AJ360" s="34"/>
      <c r="AK360" s="33"/>
      <c r="AL360" s="33"/>
      <c r="AM360" s="33"/>
      <c r="AN360" s="34"/>
      <c r="AO360" s="34"/>
      <c r="AP360" s="33"/>
      <c r="AQ360" s="34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4"/>
      <c r="BM360" s="33"/>
      <c r="BN360" s="33"/>
      <c r="BO360" s="33"/>
      <c r="BP360" s="33"/>
      <c r="BQ360" s="33"/>
      <c r="BR360" s="33">
        <v>1080</v>
      </c>
      <c r="BS360" s="33">
        <v>250</v>
      </c>
      <c r="BT360" s="33"/>
      <c r="BU360" s="33"/>
      <c r="BV360" s="33"/>
      <c r="BW360" s="33"/>
      <c r="BX360" s="33"/>
      <c r="BY360" s="33"/>
      <c r="BZ360" s="33">
        <v>240</v>
      </c>
      <c r="CA360" s="33"/>
      <c r="CB360" s="35"/>
      <c r="CC360" s="33"/>
      <c r="CD360" s="33"/>
      <c r="CE360" s="33">
        <v>280</v>
      </c>
      <c r="CF360" s="34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 t="s">
        <v>212</v>
      </c>
      <c r="CY360" s="33"/>
      <c r="CZ360" s="34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4"/>
      <c r="DN360" s="34"/>
      <c r="DO360" s="33" t="s">
        <v>227</v>
      </c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8"/>
    </row>
    <row r="361" spans="2:137" ht="13.2">
      <c r="B361" s="30" t="str">
        <f t="shared" si="12"/>
        <v>2024/1</v>
      </c>
      <c r="C361" s="31">
        <f t="shared" si="13"/>
        <v>780</v>
      </c>
      <c r="D361" s="32">
        <v>45317</v>
      </c>
      <c r="E361" s="33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3"/>
      <c r="R361" s="33"/>
      <c r="S361" s="33"/>
      <c r="T361" s="33"/>
      <c r="U361" s="35"/>
      <c r="V361" s="36"/>
      <c r="W361" s="37"/>
      <c r="X361" s="34"/>
      <c r="Y361" s="33"/>
      <c r="Z361" s="33"/>
      <c r="AA361" s="33"/>
      <c r="AB361" s="35"/>
      <c r="AC361" s="34"/>
      <c r="AD361" s="34"/>
      <c r="AE361" s="34"/>
      <c r="AF361" s="34"/>
      <c r="AG361" s="34"/>
      <c r="AH361" s="33"/>
      <c r="AI361" s="33"/>
      <c r="AJ361" s="34"/>
      <c r="AK361" s="33"/>
      <c r="AL361" s="33"/>
      <c r="AM361" s="33"/>
      <c r="AN361" s="34"/>
      <c r="AO361" s="34"/>
      <c r="AP361" s="33"/>
      <c r="AQ361" s="34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4"/>
      <c r="BM361" s="33"/>
      <c r="BN361" s="33"/>
      <c r="BO361" s="33"/>
      <c r="BP361" s="33"/>
      <c r="BQ361" s="33" t="s">
        <v>208</v>
      </c>
      <c r="BR361" s="33"/>
      <c r="BS361" s="33"/>
      <c r="BT361" s="33"/>
      <c r="BU361" s="33"/>
      <c r="BV361" s="33"/>
      <c r="BW361" s="33"/>
      <c r="BX361" s="33"/>
      <c r="BY361" s="33"/>
      <c r="BZ361" s="33"/>
      <c r="CA361" s="33">
        <v>260</v>
      </c>
      <c r="CB361" s="35"/>
      <c r="CC361" s="33"/>
      <c r="CD361" s="33"/>
      <c r="CE361" s="33"/>
      <c r="CF361" s="34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4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4"/>
      <c r="DN361" s="34"/>
      <c r="DO361" s="33"/>
      <c r="DP361" s="33"/>
      <c r="DQ361" s="33" t="s">
        <v>210</v>
      </c>
      <c r="DR361" s="33"/>
      <c r="DS361" s="33"/>
      <c r="DT361" s="33">
        <v>260</v>
      </c>
      <c r="DU361" s="33"/>
      <c r="DV361" s="33"/>
      <c r="DW361" s="33"/>
      <c r="DX361" s="33"/>
      <c r="DY361" s="33">
        <v>260</v>
      </c>
      <c r="DZ361" s="33"/>
      <c r="EA361" s="33"/>
      <c r="EB361" s="33"/>
      <c r="EC361" s="33"/>
      <c r="ED361" s="33"/>
      <c r="EE361" s="33"/>
      <c r="EF361" s="33"/>
      <c r="EG361" s="38"/>
    </row>
    <row r="362" spans="2:137" ht="13.2">
      <c r="B362" s="30" t="str">
        <f t="shared" si="12"/>
        <v>2024/1</v>
      </c>
      <c r="C362" s="31">
        <f t="shared" si="13"/>
        <v>250</v>
      </c>
      <c r="D362" s="32">
        <v>45321</v>
      </c>
      <c r="E362" s="33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3"/>
      <c r="R362" s="33"/>
      <c r="S362" s="33"/>
      <c r="T362" s="33"/>
      <c r="U362" s="35"/>
      <c r="V362" s="36"/>
      <c r="W362" s="37"/>
      <c r="X362" s="34"/>
      <c r="Y362" s="33"/>
      <c r="Z362" s="33"/>
      <c r="AA362" s="33"/>
      <c r="AB362" s="35"/>
      <c r="AC362" s="34"/>
      <c r="AD362" s="34"/>
      <c r="AE362" s="34"/>
      <c r="AF362" s="34"/>
      <c r="AG362" s="34"/>
      <c r="AH362" s="33"/>
      <c r="AI362" s="33"/>
      <c r="AJ362" s="34"/>
      <c r="AK362" s="33"/>
      <c r="AL362" s="33"/>
      <c r="AM362" s="33"/>
      <c r="AN362" s="34"/>
      <c r="AO362" s="34"/>
      <c r="AP362" s="33"/>
      <c r="AQ362" s="34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4"/>
      <c r="BM362" s="33"/>
      <c r="BN362" s="33"/>
      <c r="BO362" s="33"/>
      <c r="BP362" s="33"/>
      <c r="BQ362" s="33"/>
      <c r="BR362" s="33" t="s">
        <v>207</v>
      </c>
      <c r="BS362" s="33" t="s">
        <v>227</v>
      </c>
      <c r="BT362" s="33"/>
      <c r="BU362" s="33"/>
      <c r="BV362" s="33"/>
      <c r="BW362" s="33"/>
      <c r="BX362" s="33"/>
      <c r="BY362" s="33"/>
      <c r="BZ362" s="33"/>
      <c r="CA362" s="33"/>
      <c r="CB362" s="35"/>
      <c r="CC362" s="33"/>
      <c r="CD362" s="33"/>
      <c r="CE362" s="33"/>
      <c r="CF362" s="34"/>
      <c r="CG362" s="33"/>
      <c r="CH362" s="33"/>
      <c r="CI362" s="33"/>
      <c r="CJ362" s="33"/>
      <c r="CK362" s="33"/>
      <c r="CL362" s="33"/>
      <c r="CM362" s="33"/>
      <c r="CN362" s="33" t="s">
        <v>227</v>
      </c>
      <c r="CO362" s="33"/>
      <c r="CP362" s="33"/>
      <c r="CQ362" s="33"/>
      <c r="CR362" s="33" t="s">
        <v>212</v>
      </c>
      <c r="CS362" s="33"/>
      <c r="CT362" s="33"/>
      <c r="CU362" s="33"/>
      <c r="CV362" s="33">
        <v>250</v>
      </c>
      <c r="CW362" s="33"/>
      <c r="CX362" s="33"/>
      <c r="CY362" s="33"/>
      <c r="CZ362" s="34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4"/>
      <c r="DN362" s="34"/>
      <c r="DO362" s="33"/>
      <c r="DP362" s="33"/>
      <c r="DQ362" s="33"/>
      <c r="DR362" s="33" t="s">
        <v>209</v>
      </c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8"/>
    </row>
    <row r="363" spans="2:137" ht="13.2">
      <c r="B363" s="30" t="str">
        <f t="shared" si="12"/>
        <v>2024/1</v>
      </c>
      <c r="C363" s="31">
        <f t="shared" si="13"/>
        <v>240</v>
      </c>
      <c r="D363" s="32">
        <v>45322</v>
      </c>
      <c r="E363" s="33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3"/>
      <c r="R363" s="33"/>
      <c r="S363" s="33"/>
      <c r="T363" s="33"/>
      <c r="U363" s="35"/>
      <c r="V363" s="36"/>
      <c r="W363" s="37"/>
      <c r="X363" s="34"/>
      <c r="Y363" s="33"/>
      <c r="Z363" s="33"/>
      <c r="AA363" s="33"/>
      <c r="AB363" s="35"/>
      <c r="AC363" s="34"/>
      <c r="AD363" s="34"/>
      <c r="AE363" s="34"/>
      <c r="AF363" s="34"/>
      <c r="AG363" s="34"/>
      <c r="AH363" s="33"/>
      <c r="AI363" s="33"/>
      <c r="AJ363" s="34"/>
      <c r="AK363" s="33"/>
      <c r="AL363" s="33"/>
      <c r="AM363" s="33"/>
      <c r="AN363" s="34"/>
      <c r="AO363" s="34"/>
      <c r="AP363" s="33"/>
      <c r="AQ363" s="34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4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5"/>
      <c r="CC363" s="33"/>
      <c r="CD363" s="33"/>
      <c r="CE363" s="33"/>
      <c r="CF363" s="34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 t="s">
        <v>227</v>
      </c>
      <c r="CV363" s="33"/>
      <c r="CW363" s="33"/>
      <c r="CX363" s="33"/>
      <c r="CY363" s="33"/>
      <c r="CZ363" s="34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4">
        <v>240</v>
      </c>
      <c r="DN363" s="34"/>
      <c r="DO363" s="33"/>
      <c r="DP363" s="33" t="s">
        <v>208</v>
      </c>
      <c r="DQ363" s="33" t="s">
        <v>212</v>
      </c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8"/>
    </row>
    <row r="364" spans="2:137" ht="13.2">
      <c r="B364" s="30" t="str">
        <f t="shared" si="12"/>
        <v>2024/2</v>
      </c>
      <c r="C364" s="31">
        <f t="shared" si="13"/>
        <v>3520</v>
      </c>
      <c r="D364" s="32">
        <v>45323</v>
      </c>
      <c r="E364" s="33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3"/>
      <c r="R364" s="33"/>
      <c r="S364" s="33"/>
      <c r="T364" s="33"/>
      <c r="U364" s="35"/>
      <c r="V364" s="36"/>
      <c r="W364" s="37"/>
      <c r="X364" s="34"/>
      <c r="Y364" s="33"/>
      <c r="Z364" s="33"/>
      <c r="AA364" s="33"/>
      <c r="AB364" s="35"/>
      <c r="AC364" s="34"/>
      <c r="AD364" s="34"/>
      <c r="AE364" s="34"/>
      <c r="AF364" s="34"/>
      <c r="AG364" s="34"/>
      <c r="AH364" s="33"/>
      <c r="AI364" s="33"/>
      <c r="AJ364" s="34"/>
      <c r="AK364" s="33"/>
      <c r="AL364" s="33"/>
      <c r="AM364" s="33"/>
      <c r="AN364" s="34"/>
      <c r="AO364" s="34"/>
      <c r="AP364" s="33"/>
      <c r="AQ364" s="34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4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 t="s">
        <v>209</v>
      </c>
      <c r="CA364" s="33"/>
      <c r="CB364" s="35"/>
      <c r="CC364" s="33"/>
      <c r="CD364" s="33"/>
      <c r="CE364" s="33">
        <v>280</v>
      </c>
      <c r="CF364" s="34" t="s">
        <v>227</v>
      </c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 t="s">
        <v>214</v>
      </c>
      <c r="CY364" s="33"/>
      <c r="CZ364" s="34"/>
      <c r="DA364" s="33"/>
      <c r="DB364" s="33">
        <v>260</v>
      </c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4"/>
      <c r="DN364" s="34" t="s">
        <v>210</v>
      </c>
      <c r="DO364" s="33"/>
      <c r="DP364" s="33"/>
      <c r="DQ364" s="33">
        <v>1680</v>
      </c>
      <c r="DR364" s="33">
        <v>1040</v>
      </c>
      <c r="DS364" s="33"/>
      <c r="DT364" s="33">
        <v>260</v>
      </c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8"/>
    </row>
    <row r="365" spans="2:137" ht="13.2">
      <c r="B365" s="30" t="str">
        <f t="shared" si="12"/>
        <v>2024/2</v>
      </c>
      <c r="C365" s="31">
        <f t="shared" si="13"/>
        <v>2720</v>
      </c>
      <c r="D365" s="32">
        <v>45324</v>
      </c>
      <c r="E365" s="33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3"/>
      <c r="R365" s="33"/>
      <c r="S365" s="33"/>
      <c r="T365" s="33"/>
      <c r="U365" s="35"/>
      <c r="V365" s="36"/>
      <c r="W365" s="37"/>
      <c r="X365" s="34"/>
      <c r="Y365" s="33"/>
      <c r="Z365" s="33"/>
      <c r="AA365" s="33"/>
      <c r="AB365" s="35"/>
      <c r="AC365" s="34"/>
      <c r="AD365" s="34"/>
      <c r="AE365" s="34"/>
      <c r="AF365" s="34"/>
      <c r="AG365" s="34"/>
      <c r="AH365" s="33"/>
      <c r="AI365" s="33"/>
      <c r="AJ365" s="34"/>
      <c r="AK365" s="33"/>
      <c r="AL365" s="33"/>
      <c r="AM365" s="33"/>
      <c r="AN365" s="34"/>
      <c r="AO365" s="34"/>
      <c r="AP365" s="33"/>
      <c r="AQ365" s="34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4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>
        <v>960</v>
      </c>
      <c r="CA365" s="33">
        <v>260</v>
      </c>
      <c r="CB365" s="35"/>
      <c r="CC365" s="33"/>
      <c r="CD365" s="33"/>
      <c r="CE365" s="33"/>
      <c r="CF365" s="34"/>
      <c r="CG365" s="33"/>
      <c r="CH365" s="33"/>
      <c r="CI365" s="33"/>
      <c r="CJ365" s="33"/>
      <c r="CK365" s="33"/>
      <c r="CL365" s="33"/>
      <c r="CM365" s="33"/>
      <c r="CN365" s="33">
        <v>560</v>
      </c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4">
        <v>220</v>
      </c>
      <c r="DA365" s="33"/>
      <c r="DB365" s="33"/>
      <c r="DC365" s="33"/>
      <c r="DD365" s="33"/>
      <c r="DE365" s="33"/>
      <c r="DF365" s="33"/>
      <c r="DG365" s="33"/>
      <c r="DH365" s="33">
        <v>260</v>
      </c>
      <c r="DI365" s="33"/>
      <c r="DJ365" s="33"/>
      <c r="DK365" s="33"/>
      <c r="DL365" s="33"/>
      <c r="DM365" s="34"/>
      <c r="DN365" s="34"/>
      <c r="DO365" s="33">
        <v>200</v>
      </c>
      <c r="DP365" s="33"/>
      <c r="DQ365" s="33"/>
      <c r="DR365" s="33"/>
      <c r="DS365" s="33"/>
      <c r="DT365" s="33"/>
      <c r="DU365" s="33"/>
      <c r="DV365" s="33"/>
      <c r="DW365" s="33"/>
      <c r="DX365" s="33"/>
      <c r="DY365" s="33">
        <v>260</v>
      </c>
      <c r="DZ365" s="33"/>
      <c r="EA365" s="33"/>
      <c r="EB365" s="33"/>
      <c r="EC365" s="33"/>
      <c r="ED365" s="33"/>
      <c r="EE365" s="33"/>
      <c r="EF365" s="33"/>
      <c r="EG365" s="38"/>
    </row>
    <row r="366" spans="2:137" ht="13.2">
      <c r="B366" s="30" t="str">
        <f t="shared" si="12"/>
        <v>2024/2</v>
      </c>
      <c r="C366" s="31">
        <f t="shared" si="13"/>
        <v>2540</v>
      </c>
      <c r="D366" s="32">
        <v>45328</v>
      </c>
      <c r="E366" s="33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3"/>
      <c r="R366" s="33"/>
      <c r="S366" s="33"/>
      <c r="T366" s="33"/>
      <c r="U366" s="35"/>
      <c r="V366" s="36"/>
      <c r="W366" s="37"/>
      <c r="X366" s="34"/>
      <c r="Y366" s="33"/>
      <c r="Z366" s="33"/>
      <c r="AA366" s="33"/>
      <c r="AB366" s="35"/>
      <c r="AC366" s="34"/>
      <c r="AD366" s="34"/>
      <c r="AE366" s="34"/>
      <c r="AF366" s="34"/>
      <c r="AG366" s="34"/>
      <c r="AH366" s="33"/>
      <c r="AI366" s="33"/>
      <c r="AJ366" s="34"/>
      <c r="AK366" s="33"/>
      <c r="AL366" s="33"/>
      <c r="AM366" s="33"/>
      <c r="AN366" s="34"/>
      <c r="AO366" s="34"/>
      <c r="AP366" s="33"/>
      <c r="AQ366" s="34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4"/>
      <c r="BM366" s="33"/>
      <c r="BN366" s="33"/>
      <c r="BO366" s="33"/>
      <c r="BP366" s="33"/>
      <c r="BQ366" s="33"/>
      <c r="BR366" s="33" t="s">
        <v>208</v>
      </c>
      <c r="BS366" s="33">
        <v>500</v>
      </c>
      <c r="BT366" s="33"/>
      <c r="BU366" s="33">
        <v>280</v>
      </c>
      <c r="BV366" s="33"/>
      <c r="BW366" s="33"/>
      <c r="BX366" s="33"/>
      <c r="BY366" s="33"/>
      <c r="BZ366" s="33" t="s">
        <v>206</v>
      </c>
      <c r="CA366" s="33"/>
      <c r="CB366" s="35"/>
      <c r="CC366" s="33"/>
      <c r="CD366" s="33"/>
      <c r="CE366" s="33"/>
      <c r="CF366" s="34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>
        <v>520</v>
      </c>
      <c r="CV366" s="33"/>
      <c r="CW366" s="33"/>
      <c r="CX366" s="33" t="s">
        <v>208</v>
      </c>
      <c r="CY366" s="33"/>
      <c r="CZ366" s="34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4"/>
      <c r="DN366" s="34"/>
      <c r="DO366" s="33"/>
      <c r="DP366" s="33">
        <v>980</v>
      </c>
      <c r="DQ366" s="33"/>
      <c r="DR366" s="33"/>
      <c r="DS366" s="33"/>
      <c r="DT366" s="33"/>
      <c r="DU366" s="33"/>
      <c r="DV366" s="33"/>
      <c r="DW366" s="33"/>
      <c r="DX366" s="33"/>
      <c r="DY366" s="33">
        <v>260</v>
      </c>
      <c r="DZ366" s="33"/>
      <c r="EA366" s="33"/>
      <c r="EB366" s="33"/>
      <c r="EC366" s="33"/>
      <c r="ED366" s="33"/>
      <c r="EE366" s="33"/>
      <c r="EF366" s="33"/>
      <c r="EG366" s="38"/>
    </row>
    <row r="367" spans="2:137" ht="13.2">
      <c r="B367" s="30" t="str">
        <f t="shared" si="12"/>
        <v>2024/2</v>
      </c>
      <c r="C367" s="31" t="str">
        <f t="shared" si="13"/>
        <v/>
      </c>
      <c r="D367" s="32">
        <v>45329</v>
      </c>
      <c r="E367" s="33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3"/>
      <c r="R367" s="33"/>
      <c r="S367" s="33"/>
      <c r="T367" s="33"/>
      <c r="U367" s="35"/>
      <c r="V367" s="36"/>
      <c r="W367" s="37"/>
      <c r="X367" s="34"/>
      <c r="Y367" s="33"/>
      <c r="Z367" s="33"/>
      <c r="AA367" s="33"/>
      <c r="AB367" s="35"/>
      <c r="AC367" s="34"/>
      <c r="AD367" s="34"/>
      <c r="AE367" s="34"/>
      <c r="AF367" s="34"/>
      <c r="AG367" s="34"/>
      <c r="AH367" s="33"/>
      <c r="AI367" s="33"/>
      <c r="AJ367" s="34"/>
      <c r="AK367" s="33"/>
      <c r="AL367" s="33"/>
      <c r="AM367" s="33"/>
      <c r="AN367" s="34"/>
      <c r="AO367" s="34"/>
      <c r="AP367" s="33"/>
      <c r="AQ367" s="34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4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5"/>
      <c r="CC367" s="33"/>
      <c r="CD367" s="33"/>
      <c r="CE367" s="33"/>
      <c r="CF367" s="34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4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4"/>
      <c r="DN367" s="34"/>
      <c r="DO367" s="33"/>
      <c r="DP367" s="33" t="s">
        <v>209</v>
      </c>
      <c r="DQ367" s="33" t="s">
        <v>207</v>
      </c>
      <c r="DR367" s="33"/>
      <c r="DS367" s="33"/>
      <c r="DT367" s="33" t="s">
        <v>227</v>
      </c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8"/>
    </row>
    <row r="368" spans="2:137" ht="13.2">
      <c r="B368" s="30" t="str">
        <f t="shared" si="12"/>
        <v>2024/2</v>
      </c>
      <c r="C368" s="31">
        <f t="shared" si="13"/>
        <v>1030</v>
      </c>
      <c r="D368" s="32">
        <v>45330</v>
      </c>
      <c r="E368" s="33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3"/>
      <c r="R368" s="33"/>
      <c r="S368" s="33"/>
      <c r="T368" s="33"/>
      <c r="U368" s="35"/>
      <c r="V368" s="36"/>
      <c r="W368" s="37"/>
      <c r="X368" s="34"/>
      <c r="Y368" s="33"/>
      <c r="Z368" s="33"/>
      <c r="AA368" s="33"/>
      <c r="AB368" s="35"/>
      <c r="AC368" s="34"/>
      <c r="AD368" s="34"/>
      <c r="AE368" s="34"/>
      <c r="AF368" s="34"/>
      <c r="AG368" s="34"/>
      <c r="AH368" s="33"/>
      <c r="AI368" s="33"/>
      <c r="AJ368" s="34"/>
      <c r="AK368" s="33"/>
      <c r="AL368" s="33"/>
      <c r="AM368" s="33"/>
      <c r="AN368" s="34"/>
      <c r="AO368" s="34"/>
      <c r="AP368" s="33"/>
      <c r="AQ368" s="34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4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5"/>
      <c r="CC368" s="33"/>
      <c r="CD368" s="33"/>
      <c r="CE368" s="33">
        <v>280</v>
      </c>
      <c r="CF368" s="34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>
        <v>250</v>
      </c>
      <c r="CW368" s="33"/>
      <c r="CX368" s="33" t="s">
        <v>231</v>
      </c>
      <c r="CY368" s="33"/>
      <c r="CZ368" s="34"/>
      <c r="DA368" s="33"/>
      <c r="DB368" s="33">
        <v>260</v>
      </c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4">
        <v>240</v>
      </c>
      <c r="DN368" s="34" t="s">
        <v>212</v>
      </c>
      <c r="DO368" s="33"/>
      <c r="DP368" s="33"/>
      <c r="DQ368" s="33"/>
      <c r="DR368" s="33" t="s">
        <v>206</v>
      </c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8"/>
    </row>
    <row r="369" spans="2:137" ht="13.2">
      <c r="B369" s="30" t="str">
        <f t="shared" si="12"/>
        <v>2024/2</v>
      </c>
      <c r="C369" s="31">
        <f t="shared" si="13"/>
        <v>1060</v>
      </c>
      <c r="D369" s="32">
        <v>45331</v>
      </c>
      <c r="E369" s="33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3"/>
      <c r="R369" s="33"/>
      <c r="S369" s="33"/>
      <c r="T369" s="33"/>
      <c r="U369" s="35"/>
      <c r="V369" s="36"/>
      <c r="W369" s="37"/>
      <c r="X369" s="34"/>
      <c r="Y369" s="33"/>
      <c r="Z369" s="33"/>
      <c r="AA369" s="33"/>
      <c r="AB369" s="35"/>
      <c r="AC369" s="34"/>
      <c r="AD369" s="34"/>
      <c r="AE369" s="34"/>
      <c r="AF369" s="34"/>
      <c r="AG369" s="34"/>
      <c r="AH369" s="33"/>
      <c r="AI369" s="33"/>
      <c r="AJ369" s="34"/>
      <c r="AK369" s="33"/>
      <c r="AL369" s="33"/>
      <c r="AM369" s="33"/>
      <c r="AN369" s="34"/>
      <c r="AO369" s="34"/>
      <c r="AP369" s="33"/>
      <c r="AQ369" s="34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4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>
        <v>260</v>
      </c>
      <c r="CB369" s="35"/>
      <c r="CC369" s="33"/>
      <c r="CD369" s="33"/>
      <c r="CE369" s="33"/>
      <c r="CF369" s="34"/>
      <c r="CG369" s="33"/>
      <c r="CH369" s="33"/>
      <c r="CI369" s="33"/>
      <c r="CJ369" s="33"/>
      <c r="CK369" s="33"/>
      <c r="CL369" s="33"/>
      <c r="CM369" s="33"/>
      <c r="CN369" s="33">
        <v>280</v>
      </c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4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4"/>
      <c r="DN369" s="34"/>
      <c r="DO369" s="33"/>
      <c r="DP369" s="33"/>
      <c r="DQ369" s="33"/>
      <c r="DR369" s="33"/>
      <c r="DS369" s="33"/>
      <c r="DT369" s="33">
        <v>520</v>
      </c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8"/>
    </row>
    <row r="370" spans="2:137" ht="13.2">
      <c r="B370" s="30" t="str">
        <f t="shared" si="12"/>
        <v>2024/2</v>
      </c>
      <c r="C370" s="31">
        <f t="shared" si="13"/>
        <v>260</v>
      </c>
      <c r="D370" s="32">
        <v>45335</v>
      </c>
      <c r="E370" s="33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3"/>
      <c r="R370" s="33"/>
      <c r="S370" s="33"/>
      <c r="T370" s="33"/>
      <c r="U370" s="35"/>
      <c r="V370" s="36"/>
      <c r="W370" s="37"/>
      <c r="X370" s="34"/>
      <c r="Y370" s="33"/>
      <c r="Z370" s="33"/>
      <c r="AA370" s="33"/>
      <c r="AB370" s="35"/>
      <c r="AC370" s="34"/>
      <c r="AD370" s="34"/>
      <c r="AE370" s="34"/>
      <c r="AF370" s="34"/>
      <c r="AG370" s="34"/>
      <c r="AH370" s="33"/>
      <c r="AI370" s="33"/>
      <c r="AJ370" s="34"/>
      <c r="AK370" s="33"/>
      <c r="AL370" s="33"/>
      <c r="AM370" s="33"/>
      <c r="AN370" s="34"/>
      <c r="AO370" s="34"/>
      <c r="AP370" s="33"/>
      <c r="AQ370" s="34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4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5"/>
      <c r="CC370" s="33"/>
      <c r="CD370" s="33"/>
      <c r="CE370" s="33"/>
      <c r="CF370" s="34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4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4"/>
      <c r="DN370" s="34"/>
      <c r="DO370" s="33"/>
      <c r="DP370" s="33"/>
      <c r="DQ370" s="33"/>
      <c r="DR370" s="33"/>
      <c r="DS370" s="33"/>
      <c r="DT370" s="33" t="s">
        <v>227</v>
      </c>
      <c r="DU370" s="33"/>
      <c r="DV370" s="33"/>
      <c r="DW370" s="33"/>
      <c r="DX370" s="33"/>
      <c r="DY370" s="33">
        <v>260</v>
      </c>
      <c r="DZ370" s="33"/>
      <c r="EA370" s="33"/>
      <c r="EB370" s="33"/>
      <c r="EC370" s="33"/>
      <c r="ED370" s="33"/>
      <c r="EE370" s="33"/>
      <c r="EF370" s="33"/>
      <c r="EG370" s="38"/>
    </row>
    <row r="371" spans="2:137" ht="13.2">
      <c r="B371" s="30" t="str">
        <f t="shared" si="12"/>
        <v>2024/2</v>
      </c>
      <c r="C371" s="31">
        <f t="shared" si="13"/>
        <v>2520</v>
      </c>
      <c r="D371" s="32">
        <v>45336</v>
      </c>
      <c r="E371" s="33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3"/>
      <c r="R371" s="33"/>
      <c r="S371" s="33"/>
      <c r="T371" s="33"/>
      <c r="U371" s="35"/>
      <c r="V371" s="36"/>
      <c r="W371" s="37"/>
      <c r="X371" s="34"/>
      <c r="Y371" s="33"/>
      <c r="Z371" s="33"/>
      <c r="AA371" s="33"/>
      <c r="AB371" s="35"/>
      <c r="AC371" s="34"/>
      <c r="AD371" s="34"/>
      <c r="AE371" s="34"/>
      <c r="AF371" s="34"/>
      <c r="AG371" s="34"/>
      <c r="AH371" s="33"/>
      <c r="AI371" s="33"/>
      <c r="AJ371" s="34"/>
      <c r="AK371" s="33"/>
      <c r="AL371" s="33"/>
      <c r="AM371" s="33"/>
      <c r="AN371" s="34"/>
      <c r="AO371" s="34"/>
      <c r="AP371" s="33"/>
      <c r="AQ371" s="34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4"/>
      <c r="BM371" s="33"/>
      <c r="BN371" s="33"/>
      <c r="BO371" s="33"/>
      <c r="BP371" s="33"/>
      <c r="BQ371" s="33"/>
      <c r="BR371" s="33"/>
      <c r="BS371" s="33">
        <v>250</v>
      </c>
      <c r="BT371" s="33"/>
      <c r="BU371" s="33">
        <v>1040</v>
      </c>
      <c r="BV371" s="33"/>
      <c r="BW371" s="33"/>
      <c r="BX371" s="33"/>
      <c r="BY371" s="33"/>
      <c r="BZ371" s="33"/>
      <c r="CA371" s="33"/>
      <c r="CB371" s="35"/>
      <c r="CC371" s="33"/>
      <c r="CD371" s="33"/>
      <c r="CE371" s="33"/>
      <c r="CF371" s="34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>
        <v>250</v>
      </c>
      <c r="CW371" s="33"/>
      <c r="CX371" s="33"/>
      <c r="CY371" s="33"/>
      <c r="CZ371" s="34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4"/>
      <c r="DN371" s="34"/>
      <c r="DO371" s="33">
        <v>200</v>
      </c>
      <c r="DP371" s="33" t="s">
        <v>206</v>
      </c>
      <c r="DQ371" s="33"/>
      <c r="DR371" s="33" t="s">
        <v>207</v>
      </c>
      <c r="DS371" s="33"/>
      <c r="DT371" s="33">
        <v>780</v>
      </c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8"/>
    </row>
    <row r="372" spans="2:137" ht="13.2">
      <c r="B372" s="30" t="str">
        <f t="shared" si="12"/>
        <v>2024/2</v>
      </c>
      <c r="C372" s="31">
        <f t="shared" si="13"/>
        <v>800</v>
      </c>
      <c r="D372" s="32">
        <v>45337</v>
      </c>
      <c r="E372" s="33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3"/>
      <c r="R372" s="33"/>
      <c r="S372" s="33"/>
      <c r="T372" s="33"/>
      <c r="U372" s="35"/>
      <c r="V372" s="36"/>
      <c r="W372" s="37"/>
      <c r="X372" s="34"/>
      <c r="Y372" s="33"/>
      <c r="Z372" s="33"/>
      <c r="AA372" s="33"/>
      <c r="AB372" s="35"/>
      <c r="AC372" s="34"/>
      <c r="AD372" s="34"/>
      <c r="AE372" s="34"/>
      <c r="AF372" s="34"/>
      <c r="AG372" s="34"/>
      <c r="AH372" s="33"/>
      <c r="AI372" s="33"/>
      <c r="AJ372" s="34"/>
      <c r="AK372" s="33"/>
      <c r="AL372" s="33"/>
      <c r="AM372" s="33"/>
      <c r="AN372" s="34"/>
      <c r="AO372" s="34"/>
      <c r="AP372" s="33"/>
      <c r="AQ372" s="34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4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5"/>
      <c r="CC372" s="33"/>
      <c r="CD372" s="33"/>
      <c r="CE372" s="33"/>
      <c r="CF372" s="34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 t="s">
        <v>232</v>
      </c>
      <c r="CY372" s="33"/>
      <c r="CZ372" s="34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4"/>
      <c r="DN372" s="34">
        <v>800</v>
      </c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8"/>
    </row>
    <row r="373" spans="2:137" ht="13.2">
      <c r="B373" s="30" t="str">
        <f t="shared" si="12"/>
        <v>2024/2</v>
      </c>
      <c r="C373" s="31">
        <f t="shared" si="13"/>
        <v>3100</v>
      </c>
      <c r="D373" s="32">
        <v>45338</v>
      </c>
      <c r="E373" s="33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3"/>
      <c r="R373" s="33"/>
      <c r="S373" s="33"/>
      <c r="T373" s="33"/>
      <c r="U373" s="35"/>
      <c r="V373" s="36"/>
      <c r="W373" s="37"/>
      <c r="X373" s="34"/>
      <c r="Y373" s="33"/>
      <c r="Z373" s="33"/>
      <c r="AA373" s="33"/>
      <c r="AB373" s="35"/>
      <c r="AC373" s="34"/>
      <c r="AD373" s="34"/>
      <c r="AE373" s="34"/>
      <c r="AF373" s="34"/>
      <c r="AG373" s="34"/>
      <c r="AH373" s="33"/>
      <c r="AI373" s="33"/>
      <c r="AJ373" s="34"/>
      <c r="AK373" s="33"/>
      <c r="AL373" s="33"/>
      <c r="AM373" s="33"/>
      <c r="AN373" s="34"/>
      <c r="AO373" s="34"/>
      <c r="AP373" s="33"/>
      <c r="AQ373" s="34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4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>
        <v>260</v>
      </c>
      <c r="CB373" s="35"/>
      <c r="CC373" s="33"/>
      <c r="CD373" s="33"/>
      <c r="CE373" s="33">
        <v>280</v>
      </c>
      <c r="CF373" s="34">
        <v>460</v>
      </c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>
        <v>1620</v>
      </c>
      <c r="CY373" s="33"/>
      <c r="CZ373" s="34">
        <v>220</v>
      </c>
      <c r="DA373" s="33"/>
      <c r="DB373" s="33">
        <v>260</v>
      </c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4"/>
      <c r="DN373" s="34" t="s">
        <v>207</v>
      </c>
      <c r="DO373" s="33"/>
      <c r="DP373" s="33"/>
      <c r="DQ373" s="33"/>
      <c r="DR373" s="33"/>
      <c r="DS373" s="33"/>
      <c r="DT373" s="33" t="s">
        <v>227</v>
      </c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8"/>
    </row>
    <row r="374" spans="2:137" ht="13.2">
      <c r="B374" s="30" t="str">
        <f t="shared" si="12"/>
        <v>2024/2</v>
      </c>
      <c r="C374" s="31">
        <f t="shared" si="13"/>
        <v>2550</v>
      </c>
      <c r="D374" s="32">
        <v>45342</v>
      </c>
      <c r="E374" s="33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3"/>
      <c r="R374" s="33"/>
      <c r="S374" s="33"/>
      <c r="T374" s="33"/>
      <c r="U374" s="35"/>
      <c r="V374" s="36"/>
      <c r="W374" s="37"/>
      <c r="X374" s="34"/>
      <c r="Y374" s="33"/>
      <c r="Z374" s="33"/>
      <c r="AA374" s="33"/>
      <c r="AB374" s="35"/>
      <c r="AC374" s="34"/>
      <c r="AD374" s="34"/>
      <c r="AE374" s="34"/>
      <c r="AF374" s="34"/>
      <c r="AG374" s="34"/>
      <c r="AH374" s="33"/>
      <c r="AI374" s="33"/>
      <c r="AJ374" s="34"/>
      <c r="AK374" s="33"/>
      <c r="AL374" s="33"/>
      <c r="AM374" s="33"/>
      <c r="AN374" s="34"/>
      <c r="AO374" s="34"/>
      <c r="AP374" s="33"/>
      <c r="AQ374" s="34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4"/>
      <c r="BM374" s="33"/>
      <c r="BN374" s="33"/>
      <c r="BO374" s="33"/>
      <c r="BP374" s="33"/>
      <c r="BQ374" s="33"/>
      <c r="BR374" s="33"/>
      <c r="BS374" s="33">
        <v>250</v>
      </c>
      <c r="BT374" s="33">
        <v>260</v>
      </c>
      <c r="BU374" s="33"/>
      <c r="BV374" s="33">
        <v>280</v>
      </c>
      <c r="BW374" s="33"/>
      <c r="BX374" s="33"/>
      <c r="BY374" s="33"/>
      <c r="BZ374" s="33" t="s">
        <v>207</v>
      </c>
      <c r="CA374" s="33"/>
      <c r="CB374" s="35"/>
      <c r="CC374" s="33"/>
      <c r="CD374" s="33"/>
      <c r="CE374" s="33"/>
      <c r="CF374" s="34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4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4"/>
      <c r="DN374" s="34"/>
      <c r="DO374" s="33"/>
      <c r="DP374" s="33"/>
      <c r="DQ374" s="33"/>
      <c r="DR374" s="33"/>
      <c r="DS374" s="33"/>
      <c r="DT374" s="33" t="s">
        <v>227</v>
      </c>
      <c r="DU374" s="33"/>
      <c r="DV374" s="33"/>
      <c r="DW374" s="33"/>
      <c r="DX374" s="33"/>
      <c r="DY374" s="33">
        <v>260</v>
      </c>
      <c r="DZ374" s="33"/>
      <c r="EA374" s="33"/>
      <c r="EB374" s="33"/>
      <c r="EC374" s="33"/>
      <c r="ED374" s="33"/>
      <c r="EE374" s="33">
        <v>1500</v>
      </c>
      <c r="EF374" s="33"/>
      <c r="EG374" s="38"/>
    </row>
    <row r="375" spans="2:137" ht="13.2">
      <c r="B375" s="30" t="str">
        <f t="shared" si="12"/>
        <v>2024/2</v>
      </c>
      <c r="C375" s="31">
        <f t="shared" si="13"/>
        <v>760</v>
      </c>
      <c r="D375" s="32">
        <v>45343</v>
      </c>
      <c r="E375" s="33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3"/>
      <c r="R375" s="33"/>
      <c r="S375" s="33"/>
      <c r="T375" s="33"/>
      <c r="U375" s="35"/>
      <c r="V375" s="36"/>
      <c r="W375" s="37"/>
      <c r="X375" s="34"/>
      <c r="Y375" s="33"/>
      <c r="Z375" s="33"/>
      <c r="AA375" s="33"/>
      <c r="AB375" s="35"/>
      <c r="AC375" s="34"/>
      <c r="AD375" s="34"/>
      <c r="AE375" s="34"/>
      <c r="AF375" s="34"/>
      <c r="AG375" s="34"/>
      <c r="AH375" s="33"/>
      <c r="AI375" s="33"/>
      <c r="AJ375" s="34"/>
      <c r="AK375" s="33"/>
      <c r="AL375" s="33"/>
      <c r="AM375" s="33"/>
      <c r="AN375" s="34"/>
      <c r="AO375" s="34"/>
      <c r="AP375" s="33"/>
      <c r="AQ375" s="34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4"/>
      <c r="BM375" s="33"/>
      <c r="BN375" s="33"/>
      <c r="BO375" s="33"/>
      <c r="BP375" s="33"/>
      <c r="BQ375" s="33"/>
      <c r="BR375" s="33"/>
      <c r="BS375" s="33"/>
      <c r="BT375" s="33"/>
      <c r="BU375" s="33" t="s">
        <v>209</v>
      </c>
      <c r="BV375" s="33"/>
      <c r="BW375" s="33"/>
      <c r="BX375" s="33"/>
      <c r="BY375" s="33"/>
      <c r="BZ375" s="33"/>
      <c r="CA375" s="33"/>
      <c r="CB375" s="35"/>
      <c r="CC375" s="33"/>
      <c r="CD375" s="33"/>
      <c r="CE375" s="33"/>
      <c r="CF375" s="34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4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4">
        <v>240</v>
      </c>
      <c r="DN375" s="34"/>
      <c r="DO375" s="33"/>
      <c r="DP375" s="33"/>
      <c r="DQ375" s="33"/>
      <c r="DR375" s="33" t="s">
        <v>208</v>
      </c>
      <c r="DS375" s="33"/>
      <c r="DT375" s="33">
        <v>520</v>
      </c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8"/>
    </row>
    <row r="376" spans="2:137" ht="13.2">
      <c r="B376" s="30" t="str">
        <f t="shared" si="12"/>
        <v>2024/2</v>
      </c>
      <c r="C376" s="31">
        <f t="shared" si="13"/>
        <v>810</v>
      </c>
      <c r="D376" s="32">
        <v>45344</v>
      </c>
      <c r="E376" s="33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3"/>
      <c r="R376" s="33"/>
      <c r="S376" s="33"/>
      <c r="T376" s="33"/>
      <c r="U376" s="35"/>
      <c r="V376" s="36"/>
      <c r="W376" s="37"/>
      <c r="X376" s="34"/>
      <c r="Y376" s="33"/>
      <c r="Z376" s="33"/>
      <c r="AA376" s="33"/>
      <c r="AB376" s="35"/>
      <c r="AC376" s="34"/>
      <c r="AD376" s="34"/>
      <c r="AE376" s="34"/>
      <c r="AF376" s="34"/>
      <c r="AG376" s="34"/>
      <c r="AH376" s="33"/>
      <c r="AI376" s="33"/>
      <c r="AJ376" s="34"/>
      <c r="AK376" s="33"/>
      <c r="AL376" s="33"/>
      <c r="AM376" s="33"/>
      <c r="AN376" s="34"/>
      <c r="AO376" s="34"/>
      <c r="AP376" s="33"/>
      <c r="AQ376" s="34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4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5"/>
      <c r="CC376" s="33"/>
      <c r="CD376" s="33"/>
      <c r="CE376" s="33">
        <v>280</v>
      </c>
      <c r="CF376" s="34"/>
      <c r="CG376" s="33"/>
      <c r="CH376" s="33"/>
      <c r="CI376" s="33"/>
      <c r="CJ376" s="33"/>
      <c r="CK376" s="33"/>
      <c r="CL376" s="33"/>
      <c r="CM376" s="33"/>
      <c r="CN376" s="33">
        <v>280</v>
      </c>
      <c r="CO376" s="33"/>
      <c r="CP376" s="33"/>
      <c r="CQ376" s="33"/>
      <c r="CR376" s="33"/>
      <c r="CS376" s="33"/>
      <c r="CT376" s="33"/>
      <c r="CU376" s="33"/>
      <c r="CV376" s="33">
        <v>250</v>
      </c>
      <c r="CW376" s="33"/>
      <c r="CX376" s="33" t="s">
        <v>210</v>
      </c>
      <c r="CY376" s="33"/>
      <c r="CZ376" s="34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4"/>
      <c r="DN376" s="34" t="s">
        <v>208</v>
      </c>
      <c r="DO376" s="33"/>
      <c r="DP376" s="33"/>
      <c r="DQ376" s="33" t="s">
        <v>224</v>
      </c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8"/>
    </row>
    <row r="377" spans="2:137" ht="13.2">
      <c r="B377" s="30" t="str">
        <f t="shared" si="12"/>
        <v>2024/2</v>
      </c>
      <c r="C377" s="31">
        <f t="shared" si="13"/>
        <v>260</v>
      </c>
      <c r="D377" s="32">
        <v>45345</v>
      </c>
      <c r="E377" s="33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3"/>
      <c r="R377" s="33"/>
      <c r="S377" s="33"/>
      <c r="T377" s="33"/>
      <c r="U377" s="35"/>
      <c r="V377" s="36"/>
      <c r="W377" s="37"/>
      <c r="X377" s="34"/>
      <c r="Y377" s="33"/>
      <c r="Z377" s="33"/>
      <c r="AA377" s="33"/>
      <c r="AB377" s="35"/>
      <c r="AC377" s="34"/>
      <c r="AD377" s="34"/>
      <c r="AE377" s="34"/>
      <c r="AF377" s="34"/>
      <c r="AG377" s="34"/>
      <c r="AH377" s="33"/>
      <c r="AI377" s="33"/>
      <c r="AJ377" s="34"/>
      <c r="AK377" s="33"/>
      <c r="AL377" s="33"/>
      <c r="AM377" s="33"/>
      <c r="AN377" s="34"/>
      <c r="AO377" s="34"/>
      <c r="AP377" s="33"/>
      <c r="AQ377" s="34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4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>
        <v>260</v>
      </c>
      <c r="CB377" s="35"/>
      <c r="CC377" s="33"/>
      <c r="CD377" s="33"/>
      <c r="CE377" s="33"/>
      <c r="CF377" s="34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 t="s">
        <v>207</v>
      </c>
      <c r="CS377" s="33"/>
      <c r="CT377" s="33"/>
      <c r="CU377" s="33"/>
      <c r="CV377" s="33"/>
      <c r="CW377" s="33"/>
      <c r="CX377" s="33"/>
      <c r="CY377" s="33"/>
      <c r="CZ377" s="34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4"/>
      <c r="DN377" s="34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8"/>
    </row>
    <row r="378" spans="2:137" ht="13.2">
      <c r="B378" s="30" t="str">
        <f t="shared" si="12"/>
        <v>2024/2</v>
      </c>
      <c r="C378" s="31">
        <f t="shared" si="13"/>
        <v>1220</v>
      </c>
      <c r="D378" s="32">
        <v>45349</v>
      </c>
      <c r="E378" s="33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3"/>
      <c r="R378" s="33"/>
      <c r="S378" s="33"/>
      <c r="T378" s="33"/>
      <c r="U378" s="35"/>
      <c r="V378" s="36"/>
      <c r="W378" s="37"/>
      <c r="X378" s="34"/>
      <c r="Y378" s="33"/>
      <c r="Z378" s="33"/>
      <c r="AA378" s="33"/>
      <c r="AB378" s="35"/>
      <c r="AC378" s="34"/>
      <c r="AD378" s="34"/>
      <c r="AE378" s="34"/>
      <c r="AF378" s="34"/>
      <c r="AG378" s="34"/>
      <c r="AH378" s="33"/>
      <c r="AI378" s="33"/>
      <c r="AJ378" s="34"/>
      <c r="AK378" s="33"/>
      <c r="AL378" s="33"/>
      <c r="AM378" s="33"/>
      <c r="AN378" s="34"/>
      <c r="AO378" s="34"/>
      <c r="AP378" s="33"/>
      <c r="AQ378" s="34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4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>
        <v>250</v>
      </c>
      <c r="BW378" s="33"/>
      <c r="BX378" s="33"/>
      <c r="BY378" s="33"/>
      <c r="BZ378" s="33" t="s">
        <v>208</v>
      </c>
      <c r="CA378" s="33"/>
      <c r="CB378" s="35">
        <v>200</v>
      </c>
      <c r="CC378" s="33"/>
      <c r="CD378" s="33"/>
      <c r="CE378" s="33"/>
      <c r="CF378" s="34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>
        <v>260</v>
      </c>
      <c r="CV378" s="33">
        <v>250</v>
      </c>
      <c r="CW378" s="33"/>
      <c r="CX378" s="33"/>
      <c r="CY378" s="33"/>
      <c r="CZ378" s="34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4"/>
      <c r="DN378" s="34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>
        <v>260</v>
      </c>
      <c r="DZ378" s="33"/>
      <c r="EA378" s="33"/>
      <c r="EB378" s="33"/>
      <c r="EC378" s="33"/>
      <c r="ED378" s="33"/>
      <c r="EE378" s="33"/>
      <c r="EF378" s="33"/>
      <c r="EG378" s="38"/>
    </row>
    <row r="379" spans="2:137" ht="13.2">
      <c r="B379" s="30" t="str">
        <f t="shared" si="12"/>
        <v>2024/2</v>
      </c>
      <c r="C379" s="31">
        <f t="shared" si="13"/>
        <v>460</v>
      </c>
      <c r="D379" s="32">
        <v>45350</v>
      </c>
      <c r="E379" s="33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3"/>
      <c r="R379" s="33"/>
      <c r="S379" s="33"/>
      <c r="T379" s="33"/>
      <c r="U379" s="35"/>
      <c r="V379" s="36"/>
      <c r="W379" s="37"/>
      <c r="X379" s="34"/>
      <c r="Y379" s="33"/>
      <c r="Z379" s="33"/>
      <c r="AA379" s="33"/>
      <c r="AB379" s="35"/>
      <c r="AC379" s="34"/>
      <c r="AD379" s="34"/>
      <c r="AE379" s="34"/>
      <c r="AF379" s="34"/>
      <c r="AG379" s="34"/>
      <c r="AH379" s="33"/>
      <c r="AI379" s="33"/>
      <c r="AJ379" s="34"/>
      <c r="AK379" s="33"/>
      <c r="AL379" s="33"/>
      <c r="AM379" s="33"/>
      <c r="AN379" s="34"/>
      <c r="AO379" s="34"/>
      <c r="AP379" s="33"/>
      <c r="AQ379" s="34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4"/>
      <c r="BM379" s="33"/>
      <c r="BN379" s="33"/>
      <c r="BO379" s="33"/>
      <c r="BP379" s="33"/>
      <c r="BQ379" s="33"/>
      <c r="BR379" s="33"/>
      <c r="BS379" s="33"/>
      <c r="BT379" s="33"/>
      <c r="BU379" s="33" t="s">
        <v>206</v>
      </c>
      <c r="BV379" s="33"/>
      <c r="BW379" s="33"/>
      <c r="BX379" s="33"/>
      <c r="BY379" s="33"/>
      <c r="BZ379" s="33"/>
      <c r="CA379" s="33"/>
      <c r="CB379" s="35"/>
      <c r="CC379" s="33"/>
      <c r="CD379" s="33"/>
      <c r="CE379" s="33"/>
      <c r="CF379" s="34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 t="s">
        <v>227</v>
      </c>
      <c r="CV379" s="33"/>
      <c r="CW379" s="33"/>
      <c r="CX379" s="33"/>
      <c r="CY379" s="33"/>
      <c r="CZ379" s="34">
        <v>220</v>
      </c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4">
        <v>240</v>
      </c>
      <c r="DN379" s="34"/>
      <c r="DO379" s="33"/>
      <c r="DP379" s="33"/>
      <c r="DQ379" s="33" t="s">
        <v>231</v>
      </c>
      <c r="DR379" s="33" t="s">
        <v>209</v>
      </c>
      <c r="DS379" s="33"/>
      <c r="DT379" s="33" t="s">
        <v>227</v>
      </c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8"/>
    </row>
    <row r="380" spans="2:137" ht="13.2">
      <c r="B380" s="30" t="str">
        <f t="shared" si="12"/>
        <v>2024/2</v>
      </c>
      <c r="C380" s="31">
        <f t="shared" si="13"/>
        <v>2100</v>
      </c>
      <c r="D380" s="32">
        <v>45351</v>
      </c>
      <c r="E380" s="33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3"/>
      <c r="R380" s="33"/>
      <c r="S380" s="33"/>
      <c r="T380" s="33"/>
      <c r="U380" s="35"/>
      <c r="V380" s="36"/>
      <c r="W380" s="37"/>
      <c r="X380" s="34"/>
      <c r="Y380" s="33"/>
      <c r="Z380" s="33"/>
      <c r="AA380" s="33"/>
      <c r="AB380" s="35"/>
      <c r="AC380" s="34"/>
      <c r="AD380" s="34"/>
      <c r="AE380" s="34"/>
      <c r="AF380" s="34"/>
      <c r="AG380" s="34"/>
      <c r="AH380" s="33"/>
      <c r="AI380" s="33"/>
      <c r="AJ380" s="34"/>
      <c r="AK380" s="33"/>
      <c r="AL380" s="33"/>
      <c r="AM380" s="33"/>
      <c r="AN380" s="34"/>
      <c r="AO380" s="34"/>
      <c r="AP380" s="33"/>
      <c r="AQ380" s="34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4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5"/>
      <c r="CC380" s="33"/>
      <c r="CD380" s="33"/>
      <c r="CE380" s="33">
        <v>280</v>
      </c>
      <c r="CF380" s="34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 t="s">
        <v>212</v>
      </c>
      <c r="CY380" s="33"/>
      <c r="CZ380" s="34"/>
      <c r="DA380" s="33"/>
      <c r="DB380" s="33">
        <v>260</v>
      </c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4"/>
      <c r="DN380" s="34" t="s">
        <v>209</v>
      </c>
      <c r="DO380" s="33"/>
      <c r="DP380" s="33" t="s">
        <v>207</v>
      </c>
      <c r="DQ380" s="33"/>
      <c r="DR380" s="33">
        <v>1040</v>
      </c>
      <c r="DS380" s="33"/>
      <c r="DT380" s="33">
        <v>520</v>
      </c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8"/>
    </row>
    <row r="381" spans="2:137" ht="13.2">
      <c r="B381" s="30" t="str">
        <f t="shared" si="12"/>
        <v>2024/3</v>
      </c>
      <c r="C381" s="31">
        <f t="shared" si="13"/>
        <v>1000</v>
      </c>
      <c r="D381" s="32">
        <v>45352</v>
      </c>
      <c r="E381" s="33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3"/>
      <c r="R381" s="33"/>
      <c r="S381" s="33"/>
      <c r="T381" s="33"/>
      <c r="U381" s="35"/>
      <c r="V381" s="36"/>
      <c r="W381" s="37"/>
      <c r="X381" s="34"/>
      <c r="Y381" s="33"/>
      <c r="Z381" s="33"/>
      <c r="AA381" s="33"/>
      <c r="AB381" s="35"/>
      <c r="AC381" s="34"/>
      <c r="AD381" s="34"/>
      <c r="AE381" s="34"/>
      <c r="AF381" s="34"/>
      <c r="AG381" s="34"/>
      <c r="AH381" s="33"/>
      <c r="AI381" s="33"/>
      <c r="AJ381" s="34"/>
      <c r="AK381" s="33"/>
      <c r="AL381" s="33"/>
      <c r="AM381" s="33"/>
      <c r="AN381" s="34"/>
      <c r="AO381" s="34"/>
      <c r="AP381" s="33"/>
      <c r="AQ381" s="34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4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>
        <v>260</v>
      </c>
      <c r="CB381" s="35"/>
      <c r="CC381" s="33"/>
      <c r="CD381" s="33"/>
      <c r="CE381" s="33"/>
      <c r="CF381" s="34" t="s">
        <v>227</v>
      </c>
      <c r="CG381" s="33"/>
      <c r="CH381" s="33"/>
      <c r="CI381" s="33"/>
      <c r="CJ381" s="33"/>
      <c r="CK381" s="33"/>
      <c r="CL381" s="33"/>
      <c r="CM381" s="33"/>
      <c r="CN381" s="33">
        <v>280</v>
      </c>
      <c r="CO381" s="33"/>
      <c r="CP381" s="33"/>
      <c r="CQ381" s="33"/>
      <c r="CR381" s="33" t="s">
        <v>224</v>
      </c>
      <c r="CS381" s="33"/>
      <c r="CT381" s="33"/>
      <c r="CU381" s="33"/>
      <c r="CV381" s="33"/>
      <c r="CW381" s="33"/>
      <c r="CX381" s="33"/>
      <c r="CY381" s="33"/>
      <c r="CZ381" s="34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4"/>
      <c r="DN381" s="34"/>
      <c r="DO381" s="33">
        <v>200</v>
      </c>
      <c r="DP381" s="33"/>
      <c r="DQ381" s="33" t="s">
        <v>240</v>
      </c>
      <c r="DR381" s="33"/>
      <c r="DS381" s="33"/>
      <c r="DT381" s="33">
        <v>260</v>
      </c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8"/>
    </row>
    <row r="382" spans="2:137" ht="13.2">
      <c r="B382" s="30" t="str">
        <f t="shared" si="12"/>
        <v>2024/3</v>
      </c>
      <c r="C382" s="31">
        <f t="shared" si="13"/>
        <v>2360</v>
      </c>
      <c r="D382" s="32">
        <v>45356</v>
      </c>
      <c r="E382" s="33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3"/>
      <c r="R382" s="33"/>
      <c r="S382" s="33"/>
      <c r="T382" s="33"/>
      <c r="U382" s="35"/>
      <c r="V382" s="36"/>
      <c r="W382" s="37"/>
      <c r="X382" s="34"/>
      <c r="Y382" s="33"/>
      <c r="Z382" s="33"/>
      <c r="AA382" s="33"/>
      <c r="AB382" s="35"/>
      <c r="AC382" s="34"/>
      <c r="AD382" s="34"/>
      <c r="AE382" s="34"/>
      <c r="AF382" s="34"/>
      <c r="AG382" s="34"/>
      <c r="AH382" s="33"/>
      <c r="AI382" s="33"/>
      <c r="AJ382" s="34"/>
      <c r="AK382" s="33"/>
      <c r="AL382" s="33"/>
      <c r="AM382" s="33"/>
      <c r="AN382" s="34"/>
      <c r="AO382" s="34"/>
      <c r="AP382" s="33"/>
      <c r="AQ382" s="34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4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5"/>
      <c r="CC382" s="33"/>
      <c r="CD382" s="33"/>
      <c r="CE382" s="33"/>
      <c r="CF382" s="34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4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4"/>
      <c r="DN382" s="34"/>
      <c r="DO382" s="33"/>
      <c r="DP382" s="33">
        <v>980</v>
      </c>
      <c r="DQ382" s="33">
        <v>1120</v>
      </c>
      <c r="DR382" s="33"/>
      <c r="DS382" s="33"/>
      <c r="DT382" s="33"/>
      <c r="DU382" s="33"/>
      <c r="DV382" s="33"/>
      <c r="DW382" s="33"/>
      <c r="DX382" s="33"/>
      <c r="DY382" s="33">
        <v>260</v>
      </c>
      <c r="DZ382" s="33"/>
      <c r="EA382" s="33"/>
      <c r="EB382" s="33"/>
      <c r="EC382" s="33"/>
      <c r="ED382" s="33"/>
      <c r="EE382" s="33"/>
      <c r="EF382" s="33"/>
      <c r="EG382" s="38"/>
    </row>
    <row r="383" spans="2:137" ht="13.2">
      <c r="B383" s="30" t="str">
        <f t="shared" si="12"/>
        <v>2024/3</v>
      </c>
      <c r="C383" s="31">
        <f t="shared" si="13"/>
        <v>240</v>
      </c>
      <c r="D383" s="32">
        <v>45357</v>
      </c>
      <c r="E383" s="33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3"/>
      <c r="R383" s="33"/>
      <c r="S383" s="33"/>
      <c r="T383" s="33"/>
      <c r="U383" s="35"/>
      <c r="V383" s="36"/>
      <c r="W383" s="37"/>
      <c r="X383" s="34"/>
      <c r="Y383" s="33"/>
      <c r="Z383" s="33"/>
      <c r="AA383" s="33"/>
      <c r="AB383" s="35"/>
      <c r="AC383" s="34"/>
      <c r="AD383" s="34"/>
      <c r="AE383" s="34"/>
      <c r="AF383" s="34"/>
      <c r="AG383" s="34"/>
      <c r="AH383" s="33"/>
      <c r="AI383" s="33"/>
      <c r="AJ383" s="34"/>
      <c r="AK383" s="33"/>
      <c r="AL383" s="33"/>
      <c r="AM383" s="33"/>
      <c r="AN383" s="34"/>
      <c r="AO383" s="34"/>
      <c r="AP383" s="33"/>
      <c r="AQ383" s="34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4"/>
      <c r="BM383" s="33"/>
      <c r="BN383" s="33"/>
      <c r="BO383" s="33"/>
      <c r="BP383" s="33"/>
      <c r="BQ383" s="33"/>
      <c r="BR383" s="33"/>
      <c r="BS383" s="33"/>
      <c r="BT383" s="33"/>
      <c r="BU383" s="33" t="s">
        <v>207</v>
      </c>
      <c r="BV383" s="33"/>
      <c r="BW383" s="33"/>
      <c r="BX383" s="33"/>
      <c r="BY383" s="33"/>
      <c r="BZ383" s="33"/>
      <c r="CA383" s="33"/>
      <c r="CB383" s="35"/>
      <c r="CC383" s="33"/>
      <c r="CD383" s="33"/>
      <c r="CE383" s="33"/>
      <c r="CF383" s="34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4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4">
        <v>240</v>
      </c>
      <c r="DN383" s="34" t="s">
        <v>206</v>
      </c>
      <c r="DO383" s="33"/>
      <c r="DP383" s="33"/>
      <c r="DQ383" s="33" t="s">
        <v>209</v>
      </c>
      <c r="DR383" s="33" t="s">
        <v>206</v>
      </c>
      <c r="DS383" s="33"/>
      <c r="DT383" s="33" t="s">
        <v>227</v>
      </c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8"/>
    </row>
    <row r="384" spans="2:137" ht="13.2">
      <c r="B384" s="30" t="str">
        <f t="shared" si="12"/>
        <v>2024/3</v>
      </c>
      <c r="C384" s="31">
        <f t="shared" si="13"/>
        <v>1660</v>
      </c>
      <c r="D384" s="32">
        <v>45358</v>
      </c>
      <c r="E384" s="33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3"/>
      <c r="R384" s="33"/>
      <c r="S384" s="33"/>
      <c r="T384" s="33"/>
      <c r="U384" s="35"/>
      <c r="V384" s="36"/>
      <c r="W384" s="37"/>
      <c r="X384" s="34"/>
      <c r="Y384" s="33"/>
      <c r="Z384" s="33"/>
      <c r="AA384" s="33"/>
      <c r="AB384" s="35"/>
      <c r="AC384" s="34"/>
      <c r="AD384" s="34"/>
      <c r="AE384" s="34"/>
      <c r="AF384" s="34"/>
      <c r="AG384" s="34"/>
      <c r="AH384" s="33"/>
      <c r="AI384" s="33"/>
      <c r="AJ384" s="34"/>
      <c r="AK384" s="33"/>
      <c r="AL384" s="33"/>
      <c r="AM384" s="33"/>
      <c r="AN384" s="34"/>
      <c r="AO384" s="34"/>
      <c r="AP384" s="33"/>
      <c r="AQ384" s="34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4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5"/>
      <c r="CC384" s="33"/>
      <c r="CD384" s="33"/>
      <c r="CE384" s="33"/>
      <c r="CF384" s="34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>
        <v>880</v>
      </c>
      <c r="CS384" s="33"/>
      <c r="CT384" s="33"/>
      <c r="CU384" s="33">
        <v>520</v>
      </c>
      <c r="CV384" s="33"/>
      <c r="CW384" s="33"/>
      <c r="CX384" s="33"/>
      <c r="CY384" s="33"/>
      <c r="CZ384" s="34"/>
      <c r="DA384" s="33"/>
      <c r="DB384" s="33"/>
      <c r="DC384" s="33"/>
      <c r="DD384" s="33"/>
      <c r="DE384" s="33"/>
      <c r="DF384" s="33"/>
      <c r="DG384" s="33"/>
      <c r="DH384" s="33">
        <v>260</v>
      </c>
      <c r="DI384" s="33"/>
      <c r="DJ384" s="33"/>
      <c r="DK384" s="33"/>
      <c r="DL384" s="33"/>
      <c r="DM384" s="34"/>
      <c r="DN384" s="34"/>
      <c r="DO384" s="33" t="s">
        <v>227</v>
      </c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8"/>
    </row>
    <row r="385" spans="2:137" ht="13.2">
      <c r="B385" s="30" t="str">
        <f t="shared" si="12"/>
        <v>2024/3</v>
      </c>
      <c r="C385" s="31">
        <f t="shared" si="13"/>
        <v>1590</v>
      </c>
      <c r="D385" s="32">
        <v>45359</v>
      </c>
      <c r="E385" s="33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3"/>
      <c r="R385" s="33"/>
      <c r="S385" s="33"/>
      <c r="T385" s="33"/>
      <c r="U385" s="35"/>
      <c r="V385" s="36"/>
      <c r="W385" s="37"/>
      <c r="X385" s="34"/>
      <c r="Y385" s="33"/>
      <c r="Z385" s="33"/>
      <c r="AA385" s="33"/>
      <c r="AB385" s="35"/>
      <c r="AC385" s="34"/>
      <c r="AD385" s="34"/>
      <c r="AE385" s="34"/>
      <c r="AF385" s="34"/>
      <c r="AG385" s="34"/>
      <c r="AH385" s="33"/>
      <c r="AI385" s="33"/>
      <c r="AJ385" s="34"/>
      <c r="AK385" s="33"/>
      <c r="AL385" s="33"/>
      <c r="AM385" s="33"/>
      <c r="AN385" s="34"/>
      <c r="AO385" s="34"/>
      <c r="AP385" s="33"/>
      <c r="AQ385" s="34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4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>
        <v>260</v>
      </c>
      <c r="CB385" s="35"/>
      <c r="CC385" s="33"/>
      <c r="CD385" s="33"/>
      <c r="CE385" s="33">
        <v>280</v>
      </c>
      <c r="CF385" s="34"/>
      <c r="CG385" s="33"/>
      <c r="CH385" s="33"/>
      <c r="CI385" s="33"/>
      <c r="CJ385" s="33"/>
      <c r="CK385" s="33"/>
      <c r="CL385" s="33"/>
      <c r="CM385" s="33"/>
      <c r="CN385" s="33">
        <v>280</v>
      </c>
      <c r="CO385" s="33"/>
      <c r="CP385" s="33"/>
      <c r="CQ385" s="33"/>
      <c r="CR385" s="33" t="s">
        <v>210</v>
      </c>
      <c r="CS385" s="33"/>
      <c r="CT385" s="33"/>
      <c r="CU385" s="33"/>
      <c r="CV385" s="33">
        <v>250</v>
      </c>
      <c r="CW385" s="33"/>
      <c r="CX385" s="33" t="s">
        <v>214</v>
      </c>
      <c r="CY385" s="33"/>
      <c r="CZ385" s="34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4"/>
      <c r="DN385" s="34"/>
      <c r="DO385" s="33"/>
      <c r="DP385" s="33" t="s">
        <v>208</v>
      </c>
      <c r="DQ385" s="33"/>
      <c r="DR385" s="33"/>
      <c r="DS385" s="33"/>
      <c r="DT385" s="33">
        <v>520</v>
      </c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8"/>
    </row>
    <row r="386" spans="2:137" ht="13.2">
      <c r="B386" s="30" t="str">
        <f t="shared" si="12"/>
        <v>2024/3</v>
      </c>
      <c r="C386" s="31">
        <f t="shared" si="13"/>
        <v>250</v>
      </c>
      <c r="D386" s="32">
        <v>45363</v>
      </c>
      <c r="E386" s="33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3"/>
      <c r="R386" s="33"/>
      <c r="S386" s="33"/>
      <c r="T386" s="33"/>
      <c r="U386" s="35"/>
      <c r="V386" s="36"/>
      <c r="W386" s="37"/>
      <c r="X386" s="34"/>
      <c r="Y386" s="33"/>
      <c r="Z386" s="33"/>
      <c r="AA386" s="33"/>
      <c r="AB386" s="35"/>
      <c r="AC386" s="34"/>
      <c r="AD386" s="34"/>
      <c r="AE386" s="34"/>
      <c r="AF386" s="34"/>
      <c r="AG386" s="34"/>
      <c r="AH386" s="33"/>
      <c r="AI386" s="33"/>
      <c r="AJ386" s="34"/>
      <c r="AK386" s="33"/>
      <c r="AL386" s="33"/>
      <c r="AM386" s="33"/>
      <c r="AN386" s="34"/>
      <c r="AO386" s="34"/>
      <c r="AP386" s="33"/>
      <c r="AQ386" s="34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4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 t="s">
        <v>209</v>
      </c>
      <c r="CA386" s="33"/>
      <c r="CB386" s="35"/>
      <c r="CC386" s="33"/>
      <c r="CD386" s="33"/>
      <c r="CE386" s="33"/>
      <c r="CF386" s="34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>
        <v>250</v>
      </c>
      <c r="CW386" s="33"/>
      <c r="CX386" s="33"/>
      <c r="CY386" s="33"/>
      <c r="CZ386" s="34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4"/>
      <c r="DN386" s="34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8"/>
    </row>
    <row r="387" spans="2:137" ht="13.2">
      <c r="B387" s="30" t="str">
        <f t="shared" si="12"/>
        <v>2024/3</v>
      </c>
      <c r="C387" s="31">
        <f t="shared" si="13"/>
        <v>980</v>
      </c>
      <c r="D387" s="32">
        <v>45364</v>
      </c>
      <c r="E387" s="33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3"/>
      <c r="R387" s="33"/>
      <c r="S387" s="33"/>
      <c r="T387" s="33"/>
      <c r="U387" s="35"/>
      <c r="V387" s="36"/>
      <c r="W387" s="37"/>
      <c r="X387" s="34"/>
      <c r="Y387" s="33"/>
      <c r="Z387" s="33"/>
      <c r="AA387" s="33"/>
      <c r="AB387" s="35"/>
      <c r="AC387" s="34"/>
      <c r="AD387" s="34"/>
      <c r="AE387" s="34"/>
      <c r="AF387" s="34"/>
      <c r="AG387" s="34"/>
      <c r="AH387" s="33"/>
      <c r="AI387" s="33"/>
      <c r="AJ387" s="34"/>
      <c r="AK387" s="33"/>
      <c r="AL387" s="33"/>
      <c r="AM387" s="33"/>
      <c r="AN387" s="34"/>
      <c r="AO387" s="34"/>
      <c r="AP387" s="33"/>
      <c r="AQ387" s="34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4"/>
      <c r="BM387" s="33"/>
      <c r="BN387" s="33"/>
      <c r="BO387" s="33"/>
      <c r="BP387" s="33"/>
      <c r="BQ387" s="33"/>
      <c r="BR387" s="33"/>
      <c r="BS387" s="33"/>
      <c r="BT387" s="33"/>
      <c r="BU387" s="33" t="s">
        <v>208</v>
      </c>
      <c r="BV387" s="33"/>
      <c r="BW387" s="33"/>
      <c r="BX387" s="33"/>
      <c r="BY387" s="33">
        <v>280</v>
      </c>
      <c r="BZ387" s="33"/>
      <c r="CA387" s="33"/>
      <c r="CB387" s="35"/>
      <c r="CC387" s="33"/>
      <c r="CD387" s="33"/>
      <c r="CE387" s="33"/>
      <c r="CF387" s="34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4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4">
        <v>240</v>
      </c>
      <c r="DN387" s="34"/>
      <c r="DO387" s="33">
        <v>200</v>
      </c>
      <c r="DP387" s="33" t="s">
        <v>209</v>
      </c>
      <c r="DQ387" s="33" t="s">
        <v>206</v>
      </c>
      <c r="DR387" s="33" t="s">
        <v>207</v>
      </c>
      <c r="DS387" s="33"/>
      <c r="DT387" s="33">
        <v>260</v>
      </c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8"/>
    </row>
    <row r="388" spans="2:137" ht="13.2">
      <c r="B388" s="30" t="str">
        <f t="shared" ref="B388:B451" si="14">IF(D388&gt;0, CONCATENATE(YEAR(D388),"/",MONTH(D388)),"")</f>
        <v>2024/3</v>
      </c>
      <c r="C388" s="31">
        <f t="shared" ref="C388:C451" si="15">IF(SUM(E388:EG388)=0,"",SUM(E388:EG388))</f>
        <v>740</v>
      </c>
      <c r="D388" s="32">
        <v>45365</v>
      </c>
      <c r="E388" s="33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3"/>
      <c r="R388" s="33"/>
      <c r="S388" s="33"/>
      <c r="T388" s="33"/>
      <c r="U388" s="35"/>
      <c r="V388" s="36"/>
      <c r="W388" s="37"/>
      <c r="X388" s="34"/>
      <c r="Y388" s="33"/>
      <c r="Z388" s="33"/>
      <c r="AA388" s="33"/>
      <c r="AB388" s="35"/>
      <c r="AC388" s="34"/>
      <c r="AD388" s="34"/>
      <c r="AE388" s="34"/>
      <c r="AF388" s="34"/>
      <c r="AG388" s="34"/>
      <c r="AH388" s="33"/>
      <c r="AI388" s="33"/>
      <c r="AJ388" s="34"/>
      <c r="AK388" s="33"/>
      <c r="AL388" s="33"/>
      <c r="AM388" s="33"/>
      <c r="AN388" s="34"/>
      <c r="AO388" s="34"/>
      <c r="AP388" s="33"/>
      <c r="AQ388" s="34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4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5"/>
      <c r="CC388" s="33"/>
      <c r="CD388" s="33"/>
      <c r="CE388" s="33"/>
      <c r="CF388" s="34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>
        <v>260</v>
      </c>
      <c r="CV388" s="33"/>
      <c r="CW388" s="33"/>
      <c r="CX388" s="33" t="s">
        <v>224</v>
      </c>
      <c r="CY388" s="33"/>
      <c r="CZ388" s="34">
        <v>220</v>
      </c>
      <c r="DA388" s="33"/>
      <c r="DB388" s="33">
        <v>260</v>
      </c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4"/>
      <c r="DN388" s="34" t="s">
        <v>207</v>
      </c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8"/>
    </row>
    <row r="389" spans="2:137" ht="13.2">
      <c r="B389" s="30" t="str">
        <f t="shared" si="14"/>
        <v>2024/3</v>
      </c>
      <c r="C389" s="31">
        <f t="shared" si="15"/>
        <v>3200</v>
      </c>
      <c r="D389" s="32">
        <v>45366</v>
      </c>
      <c r="E389" s="33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3"/>
      <c r="R389" s="33"/>
      <c r="S389" s="33"/>
      <c r="T389" s="33"/>
      <c r="U389" s="35"/>
      <c r="V389" s="36"/>
      <c r="W389" s="37"/>
      <c r="X389" s="34"/>
      <c r="Y389" s="33"/>
      <c r="Z389" s="33"/>
      <c r="AA389" s="33"/>
      <c r="AB389" s="35"/>
      <c r="AC389" s="34"/>
      <c r="AD389" s="34"/>
      <c r="AE389" s="34"/>
      <c r="AF389" s="34"/>
      <c r="AG389" s="34"/>
      <c r="AH389" s="33"/>
      <c r="AI389" s="33"/>
      <c r="AJ389" s="34"/>
      <c r="AK389" s="33"/>
      <c r="AL389" s="33"/>
      <c r="AM389" s="33"/>
      <c r="AN389" s="34"/>
      <c r="AO389" s="34"/>
      <c r="AP389" s="33"/>
      <c r="AQ389" s="34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4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>
        <v>260</v>
      </c>
      <c r="CB389" s="35"/>
      <c r="CC389" s="33"/>
      <c r="CD389" s="33"/>
      <c r="CE389" s="33">
        <v>280</v>
      </c>
      <c r="CF389" s="34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 t="s">
        <v>212</v>
      </c>
      <c r="CS389" s="33"/>
      <c r="CT389" s="33"/>
      <c r="CU389" s="33"/>
      <c r="CV389" s="33"/>
      <c r="CW389" s="33"/>
      <c r="CX389" s="33">
        <v>1080</v>
      </c>
      <c r="CY389" s="33"/>
      <c r="CZ389" s="34"/>
      <c r="DA389" s="33"/>
      <c r="DB389" s="33"/>
      <c r="DC389" s="33"/>
      <c r="DD389" s="33"/>
      <c r="DE389" s="33"/>
      <c r="DF389" s="33"/>
      <c r="DG389" s="33"/>
      <c r="DH389" s="33">
        <v>260</v>
      </c>
      <c r="DI389" s="33"/>
      <c r="DJ389" s="33"/>
      <c r="DK389" s="33"/>
      <c r="DL389" s="33"/>
      <c r="DM389" s="34"/>
      <c r="DN389" s="34">
        <v>800</v>
      </c>
      <c r="DO389" s="33"/>
      <c r="DP389" s="33"/>
      <c r="DQ389" s="33"/>
      <c r="DR389" s="33"/>
      <c r="DS389" s="33"/>
      <c r="DT389" s="33">
        <v>260</v>
      </c>
      <c r="DU389" s="33"/>
      <c r="DV389" s="33"/>
      <c r="DW389" s="33"/>
      <c r="DX389" s="33"/>
      <c r="DY389" s="33">
        <v>260</v>
      </c>
      <c r="DZ389" s="33"/>
      <c r="EA389" s="33"/>
      <c r="EB389" s="33"/>
      <c r="EC389" s="33"/>
      <c r="ED389" s="33"/>
      <c r="EE389" s="33"/>
      <c r="EF389" s="33"/>
      <c r="EG389" s="38"/>
    </row>
    <row r="390" spans="2:137" ht="13.2">
      <c r="B390" s="30" t="str">
        <f t="shared" si="14"/>
        <v>2024/3</v>
      </c>
      <c r="C390" s="31">
        <f t="shared" si="15"/>
        <v>1344</v>
      </c>
      <c r="D390" s="32">
        <v>45370</v>
      </c>
      <c r="E390" s="33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3"/>
      <c r="R390" s="33"/>
      <c r="S390" s="33"/>
      <c r="T390" s="33"/>
      <c r="U390" s="35"/>
      <c r="V390" s="36"/>
      <c r="W390" s="37"/>
      <c r="X390" s="34"/>
      <c r="Y390" s="33"/>
      <c r="Z390" s="33"/>
      <c r="AA390" s="33"/>
      <c r="AB390" s="35"/>
      <c r="AC390" s="34"/>
      <c r="AD390" s="34"/>
      <c r="AE390" s="34"/>
      <c r="AF390" s="34"/>
      <c r="AG390" s="34"/>
      <c r="AH390" s="33"/>
      <c r="AI390" s="33"/>
      <c r="AJ390" s="34"/>
      <c r="AK390" s="33"/>
      <c r="AL390" s="33"/>
      <c r="AM390" s="33"/>
      <c r="AN390" s="34"/>
      <c r="AO390" s="34"/>
      <c r="AP390" s="33"/>
      <c r="AQ390" s="34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4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>
        <v>835</v>
      </c>
      <c r="BY390" s="33">
        <v>280</v>
      </c>
      <c r="BZ390" s="33" t="s">
        <v>206</v>
      </c>
      <c r="CA390" s="33"/>
      <c r="CB390" s="35"/>
      <c r="CC390" s="33"/>
      <c r="CD390" s="33"/>
      <c r="CE390" s="33"/>
      <c r="CF390" s="34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4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4"/>
      <c r="DN390" s="34"/>
      <c r="DO390" s="33" t="s">
        <v>227</v>
      </c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>
        <v>229</v>
      </c>
      <c r="EF390" s="33"/>
      <c r="EG390" s="38"/>
    </row>
    <row r="391" spans="2:137" ht="13.2">
      <c r="B391" s="30" t="str">
        <f t="shared" si="14"/>
        <v>2024/3</v>
      </c>
      <c r="C391" s="31">
        <f t="shared" si="15"/>
        <v>1970</v>
      </c>
      <c r="D391" s="32">
        <v>45371</v>
      </c>
      <c r="E391" s="33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3"/>
      <c r="R391" s="33"/>
      <c r="S391" s="33"/>
      <c r="T391" s="33"/>
      <c r="U391" s="35"/>
      <c r="V391" s="36"/>
      <c r="W391" s="37"/>
      <c r="X391" s="34"/>
      <c r="Y391" s="33"/>
      <c r="Z391" s="33"/>
      <c r="AA391" s="33"/>
      <c r="AB391" s="35"/>
      <c r="AC391" s="34"/>
      <c r="AD391" s="34"/>
      <c r="AE391" s="34"/>
      <c r="AF391" s="34"/>
      <c r="AG391" s="34"/>
      <c r="AH391" s="33"/>
      <c r="AI391" s="33"/>
      <c r="AJ391" s="34"/>
      <c r="AK391" s="33"/>
      <c r="AL391" s="33"/>
      <c r="AM391" s="33"/>
      <c r="AN391" s="34"/>
      <c r="AO391" s="34"/>
      <c r="AP391" s="33"/>
      <c r="AQ391" s="34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4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 t="s">
        <v>206</v>
      </c>
      <c r="BY391" s="33"/>
      <c r="BZ391" s="33">
        <v>960</v>
      </c>
      <c r="CA391" s="33"/>
      <c r="CB391" s="35"/>
      <c r="CC391" s="33"/>
      <c r="CD391" s="33"/>
      <c r="CE391" s="33"/>
      <c r="CF391" s="34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>
        <v>250</v>
      </c>
      <c r="CW391" s="33"/>
      <c r="CX391" s="33"/>
      <c r="CY391" s="33"/>
      <c r="CZ391" s="34"/>
      <c r="DA391" s="33"/>
      <c r="DB391" s="33"/>
      <c r="DC391" s="33"/>
      <c r="DD391" s="33"/>
      <c r="DE391" s="33"/>
      <c r="DF391" s="33"/>
      <c r="DG391" s="33"/>
      <c r="DH391" s="33">
        <v>260</v>
      </c>
      <c r="DI391" s="33"/>
      <c r="DJ391" s="33"/>
      <c r="DK391" s="33"/>
      <c r="DL391" s="33"/>
      <c r="DM391" s="34">
        <v>240</v>
      </c>
      <c r="DN391" s="34" t="s">
        <v>208</v>
      </c>
      <c r="DO391" s="33"/>
      <c r="DP391" s="33" t="s">
        <v>241</v>
      </c>
      <c r="DQ391" s="33" t="s">
        <v>207</v>
      </c>
      <c r="DR391" s="33" t="s">
        <v>208</v>
      </c>
      <c r="DS391" s="33"/>
      <c r="DT391" s="33">
        <v>260</v>
      </c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8"/>
    </row>
    <row r="392" spans="2:137" ht="13.2">
      <c r="B392" s="30" t="str">
        <f t="shared" si="14"/>
        <v>2024/3</v>
      </c>
      <c r="C392" s="31">
        <f t="shared" si="15"/>
        <v>740</v>
      </c>
      <c r="D392" s="32">
        <v>45372</v>
      </c>
      <c r="E392" s="33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3"/>
      <c r="R392" s="33"/>
      <c r="S392" s="33"/>
      <c r="T392" s="33"/>
      <c r="U392" s="35"/>
      <c r="V392" s="36"/>
      <c r="W392" s="37"/>
      <c r="X392" s="34"/>
      <c r="Y392" s="33"/>
      <c r="Z392" s="33"/>
      <c r="AA392" s="33"/>
      <c r="AB392" s="35"/>
      <c r="AC392" s="34"/>
      <c r="AD392" s="34"/>
      <c r="AE392" s="34"/>
      <c r="AF392" s="34"/>
      <c r="AG392" s="34"/>
      <c r="AH392" s="33"/>
      <c r="AI392" s="33"/>
      <c r="AJ392" s="34"/>
      <c r="AK392" s="33"/>
      <c r="AL392" s="33"/>
      <c r="AM392" s="33"/>
      <c r="AN392" s="34"/>
      <c r="AO392" s="34"/>
      <c r="AP392" s="33"/>
      <c r="AQ392" s="34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4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5"/>
      <c r="CC392" s="33"/>
      <c r="CD392" s="33"/>
      <c r="CE392" s="33"/>
      <c r="CF392" s="34">
        <v>460</v>
      </c>
      <c r="CG392" s="33"/>
      <c r="CH392" s="33"/>
      <c r="CI392" s="33"/>
      <c r="CJ392" s="33"/>
      <c r="CK392" s="33"/>
      <c r="CL392" s="33"/>
      <c r="CM392" s="33"/>
      <c r="CN392" s="33">
        <v>280</v>
      </c>
      <c r="CO392" s="33"/>
      <c r="CP392" s="33"/>
      <c r="CQ392" s="33"/>
      <c r="CR392" s="33"/>
      <c r="CS392" s="33"/>
      <c r="CT392" s="33"/>
      <c r="CU392" s="33" t="s">
        <v>227</v>
      </c>
      <c r="CV392" s="33"/>
      <c r="CW392" s="33"/>
      <c r="CX392" s="33" t="s">
        <v>210</v>
      </c>
      <c r="CY392" s="33"/>
      <c r="CZ392" s="34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4"/>
      <c r="DN392" s="34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8"/>
    </row>
    <row r="393" spans="2:137" ht="13.2">
      <c r="B393" s="30" t="str">
        <f t="shared" si="14"/>
        <v>2024/3</v>
      </c>
      <c r="C393" s="31">
        <f t="shared" si="15"/>
        <v>1230</v>
      </c>
      <c r="D393" s="32">
        <v>45373</v>
      </c>
      <c r="E393" s="33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3"/>
      <c r="R393" s="33"/>
      <c r="S393" s="33"/>
      <c r="T393" s="33"/>
      <c r="U393" s="35"/>
      <c r="V393" s="36"/>
      <c r="W393" s="37"/>
      <c r="X393" s="34"/>
      <c r="Y393" s="33"/>
      <c r="Z393" s="33"/>
      <c r="AA393" s="33"/>
      <c r="AB393" s="35"/>
      <c r="AC393" s="34"/>
      <c r="AD393" s="34"/>
      <c r="AE393" s="34"/>
      <c r="AF393" s="34"/>
      <c r="AG393" s="34"/>
      <c r="AH393" s="33"/>
      <c r="AI393" s="33"/>
      <c r="AJ393" s="34"/>
      <c r="AK393" s="33"/>
      <c r="AL393" s="33"/>
      <c r="AM393" s="33"/>
      <c r="AN393" s="34"/>
      <c r="AO393" s="34"/>
      <c r="AP393" s="33"/>
      <c r="AQ393" s="34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4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>
        <v>280</v>
      </c>
      <c r="BX393" s="33"/>
      <c r="BY393" s="33"/>
      <c r="BZ393" s="33"/>
      <c r="CA393" s="33">
        <v>260</v>
      </c>
      <c r="CB393" s="35"/>
      <c r="CC393" s="33"/>
      <c r="CD393" s="33"/>
      <c r="CE393" s="33">
        <v>280</v>
      </c>
      <c r="CF393" s="34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 t="s">
        <v>207</v>
      </c>
      <c r="CS393" s="33"/>
      <c r="CT393" s="33"/>
      <c r="CU393" s="33"/>
      <c r="CV393" s="33"/>
      <c r="CW393" s="33"/>
      <c r="CX393" s="33"/>
      <c r="CY393" s="33"/>
      <c r="CZ393" s="34"/>
      <c r="DA393" s="33"/>
      <c r="DB393" s="33">
        <v>150</v>
      </c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4"/>
      <c r="DN393" s="34"/>
      <c r="DO393" s="33"/>
      <c r="DP393" s="33"/>
      <c r="DQ393" s="33"/>
      <c r="DR393" s="33"/>
      <c r="DS393" s="33"/>
      <c r="DT393" s="33">
        <v>260</v>
      </c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8"/>
    </row>
    <row r="394" spans="2:137" ht="13.2">
      <c r="B394" s="30" t="str">
        <f t="shared" si="14"/>
        <v>2024/3</v>
      </c>
      <c r="C394" s="31">
        <f t="shared" si="15"/>
        <v>790</v>
      </c>
      <c r="D394" s="32">
        <v>45377</v>
      </c>
      <c r="E394" s="33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3"/>
      <c r="R394" s="33"/>
      <c r="S394" s="33"/>
      <c r="T394" s="33"/>
      <c r="U394" s="35"/>
      <c r="V394" s="36"/>
      <c r="W394" s="37"/>
      <c r="X394" s="34"/>
      <c r="Y394" s="33"/>
      <c r="Z394" s="33"/>
      <c r="AA394" s="33"/>
      <c r="AB394" s="35"/>
      <c r="AC394" s="34"/>
      <c r="AD394" s="34"/>
      <c r="AE394" s="34"/>
      <c r="AF394" s="34"/>
      <c r="AG394" s="34"/>
      <c r="AH394" s="33"/>
      <c r="AI394" s="33"/>
      <c r="AJ394" s="34"/>
      <c r="AK394" s="33"/>
      <c r="AL394" s="33"/>
      <c r="AM394" s="33"/>
      <c r="AN394" s="34"/>
      <c r="AO394" s="34"/>
      <c r="AP394" s="33"/>
      <c r="AQ394" s="34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4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 t="s">
        <v>207</v>
      </c>
      <c r="CA394" s="33">
        <v>260</v>
      </c>
      <c r="CB394" s="35"/>
      <c r="CC394" s="33"/>
      <c r="CD394" s="33"/>
      <c r="CE394" s="33"/>
      <c r="CF394" s="34"/>
      <c r="CG394" s="33"/>
      <c r="CH394" s="33"/>
      <c r="CI394" s="33"/>
      <c r="CJ394" s="33"/>
      <c r="CK394" s="33"/>
      <c r="CL394" s="33"/>
      <c r="CM394" s="33"/>
      <c r="CN394" s="33">
        <v>280</v>
      </c>
      <c r="CO394" s="33"/>
      <c r="CP394" s="33"/>
      <c r="CQ394" s="33"/>
      <c r="CR394" s="33"/>
      <c r="CS394" s="33"/>
      <c r="CT394" s="33"/>
      <c r="CU394" s="33"/>
      <c r="CV394" s="33">
        <v>250</v>
      </c>
      <c r="CW394" s="33"/>
      <c r="CX394" s="33"/>
      <c r="CY394" s="33"/>
      <c r="CZ394" s="34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4"/>
      <c r="DN394" s="34"/>
      <c r="DO394" s="33"/>
      <c r="DP394" s="33"/>
      <c r="DQ394" s="33"/>
      <c r="DR394" s="33"/>
      <c r="DS394" s="33"/>
      <c r="DT394" s="33" t="s">
        <v>227</v>
      </c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8"/>
    </row>
    <row r="395" spans="2:137" ht="13.2">
      <c r="B395" s="30" t="str">
        <f t="shared" si="14"/>
        <v>2024/3</v>
      </c>
      <c r="C395" s="31">
        <f t="shared" si="15"/>
        <v>1820</v>
      </c>
      <c r="D395" s="32">
        <v>45378</v>
      </c>
      <c r="E395" s="33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3"/>
      <c r="R395" s="33"/>
      <c r="S395" s="33"/>
      <c r="T395" s="33"/>
      <c r="U395" s="35"/>
      <c r="V395" s="36"/>
      <c r="W395" s="37"/>
      <c r="X395" s="34"/>
      <c r="Y395" s="33"/>
      <c r="Z395" s="33"/>
      <c r="AA395" s="33"/>
      <c r="AB395" s="35"/>
      <c r="AC395" s="34"/>
      <c r="AD395" s="34"/>
      <c r="AE395" s="34"/>
      <c r="AF395" s="34"/>
      <c r="AG395" s="34"/>
      <c r="AH395" s="33"/>
      <c r="AI395" s="33"/>
      <c r="AJ395" s="34"/>
      <c r="AK395" s="33"/>
      <c r="AL395" s="33"/>
      <c r="AM395" s="33"/>
      <c r="AN395" s="34"/>
      <c r="AO395" s="34"/>
      <c r="AP395" s="33"/>
      <c r="AQ395" s="34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4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42" t="s">
        <v>207</v>
      </c>
      <c r="BY395" s="33">
        <v>280</v>
      </c>
      <c r="BZ395" s="33"/>
      <c r="CA395" s="33"/>
      <c r="CB395" s="35"/>
      <c r="CC395" s="33"/>
      <c r="CD395" s="33"/>
      <c r="CE395" s="33">
        <v>280</v>
      </c>
      <c r="CF395" s="34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42" t="s">
        <v>208</v>
      </c>
      <c r="CS395" s="33"/>
      <c r="CT395" s="33"/>
      <c r="CU395" s="33">
        <v>260</v>
      </c>
      <c r="CV395" s="33"/>
      <c r="CW395" s="33"/>
      <c r="CX395" s="33"/>
      <c r="CY395" s="33"/>
      <c r="CZ395" s="34">
        <v>220</v>
      </c>
      <c r="DA395" s="33"/>
      <c r="DB395" s="33"/>
      <c r="DC395" s="33"/>
      <c r="DD395" s="33"/>
      <c r="DE395" s="33"/>
      <c r="DF395" s="33"/>
      <c r="DG395" s="33"/>
      <c r="DH395" s="33">
        <v>260</v>
      </c>
      <c r="DI395" s="33"/>
      <c r="DJ395" s="33"/>
      <c r="DK395" s="33"/>
      <c r="DL395" s="33"/>
      <c r="DM395" s="34"/>
      <c r="DN395" s="34" t="s">
        <v>209</v>
      </c>
      <c r="DO395" s="33"/>
      <c r="DP395" s="33"/>
      <c r="DQ395" s="33"/>
      <c r="DR395" s="43" t="s">
        <v>209</v>
      </c>
      <c r="DS395" s="33"/>
      <c r="DT395" s="33">
        <v>520</v>
      </c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8"/>
    </row>
    <row r="396" spans="2:137" ht="13.2">
      <c r="B396" s="30" t="str">
        <f t="shared" si="14"/>
        <v>2024/3</v>
      </c>
      <c r="C396" s="31">
        <f t="shared" si="15"/>
        <v>1340</v>
      </c>
      <c r="D396" s="32">
        <v>45379</v>
      </c>
      <c r="E396" s="33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3"/>
      <c r="R396" s="33"/>
      <c r="S396" s="33"/>
      <c r="T396" s="33"/>
      <c r="U396" s="35"/>
      <c r="V396" s="36"/>
      <c r="W396" s="37"/>
      <c r="X396" s="34"/>
      <c r="Y396" s="33"/>
      <c r="Z396" s="33"/>
      <c r="AA396" s="33"/>
      <c r="AB396" s="35"/>
      <c r="AC396" s="34"/>
      <c r="AD396" s="34"/>
      <c r="AE396" s="34"/>
      <c r="AF396" s="34"/>
      <c r="AG396" s="34"/>
      <c r="AH396" s="33"/>
      <c r="AI396" s="33"/>
      <c r="AJ396" s="34"/>
      <c r="AK396" s="33"/>
      <c r="AL396" s="33"/>
      <c r="AM396" s="33"/>
      <c r="AN396" s="34"/>
      <c r="AO396" s="34"/>
      <c r="AP396" s="33"/>
      <c r="AQ396" s="34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4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5"/>
      <c r="CC396" s="33"/>
      <c r="CD396" s="33"/>
      <c r="CE396" s="43"/>
      <c r="CF396" s="34" t="s">
        <v>227</v>
      </c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43"/>
      <c r="CS396" s="33"/>
      <c r="CT396" s="33"/>
      <c r="CU396" s="33"/>
      <c r="CV396" s="33"/>
      <c r="CW396" s="33"/>
      <c r="CX396" s="33" t="s">
        <v>212</v>
      </c>
      <c r="CY396" s="33"/>
      <c r="CZ396" s="34"/>
      <c r="DA396" s="33"/>
      <c r="DB396" s="33"/>
      <c r="DC396" s="33"/>
      <c r="DD396" s="33"/>
      <c r="DE396" s="33"/>
      <c r="DF396" s="33"/>
      <c r="DG396" s="33"/>
      <c r="DH396" s="43"/>
      <c r="DI396" s="33"/>
      <c r="DJ396" s="33"/>
      <c r="DK396" s="33"/>
      <c r="DL396" s="33"/>
      <c r="DM396" s="34"/>
      <c r="DN396" s="34"/>
      <c r="DO396" s="33"/>
      <c r="DP396" s="33" t="s">
        <v>207</v>
      </c>
      <c r="DQ396" s="33"/>
      <c r="DR396" s="33">
        <v>1080</v>
      </c>
      <c r="DS396" s="33"/>
      <c r="DT396" s="33">
        <v>260</v>
      </c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8"/>
    </row>
    <row r="397" spans="2:137" ht="13.2">
      <c r="B397" s="30" t="str">
        <f t="shared" si="14"/>
        <v>2024/4</v>
      </c>
      <c r="C397" s="31">
        <f t="shared" si="15"/>
        <v>2840</v>
      </c>
      <c r="D397" s="32">
        <v>45384</v>
      </c>
      <c r="E397" s="33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3"/>
      <c r="R397" s="33"/>
      <c r="S397" s="33"/>
      <c r="T397" s="33"/>
      <c r="U397" s="35"/>
      <c r="V397" s="36"/>
      <c r="W397" s="37"/>
      <c r="X397" s="34"/>
      <c r="Y397" s="33"/>
      <c r="Z397" s="33"/>
      <c r="AA397" s="33"/>
      <c r="AB397" s="35"/>
      <c r="AC397" s="34"/>
      <c r="AD397" s="34"/>
      <c r="AE397" s="34"/>
      <c r="AF397" s="34"/>
      <c r="AG397" s="34"/>
      <c r="AH397" s="33"/>
      <c r="AI397" s="33"/>
      <c r="AJ397" s="34"/>
      <c r="AK397" s="33"/>
      <c r="AL397" s="33"/>
      <c r="AM397" s="33"/>
      <c r="AN397" s="34"/>
      <c r="AO397" s="34"/>
      <c r="AP397" s="33"/>
      <c r="AQ397" s="34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4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5"/>
      <c r="CC397" s="33"/>
      <c r="CD397" s="33"/>
      <c r="CE397" s="33"/>
      <c r="CF397" s="34"/>
      <c r="CG397" s="33"/>
      <c r="CH397" s="33"/>
      <c r="CI397" s="33"/>
      <c r="CJ397" s="33"/>
      <c r="CK397" s="33"/>
      <c r="CL397" s="33"/>
      <c r="CM397" s="33"/>
      <c r="CN397" s="33">
        <v>280</v>
      </c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4"/>
      <c r="DA397" s="33"/>
      <c r="DB397" s="33">
        <v>260</v>
      </c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4"/>
      <c r="DN397" s="34"/>
      <c r="DO397" s="33">
        <v>200</v>
      </c>
      <c r="DP397" s="33">
        <v>980</v>
      </c>
      <c r="DQ397" s="33">
        <v>1120</v>
      </c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8"/>
    </row>
    <row r="398" spans="2:137" ht="13.2">
      <c r="B398" s="30" t="str">
        <f t="shared" si="14"/>
        <v>2024/4</v>
      </c>
      <c r="C398" s="31">
        <f t="shared" si="15"/>
        <v>1040</v>
      </c>
      <c r="D398" s="32">
        <v>45385</v>
      </c>
      <c r="E398" s="33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3"/>
      <c r="R398" s="33"/>
      <c r="S398" s="33"/>
      <c r="T398" s="33"/>
      <c r="U398" s="35"/>
      <c r="V398" s="36"/>
      <c r="W398" s="37"/>
      <c r="X398" s="34"/>
      <c r="Y398" s="33"/>
      <c r="Z398" s="33"/>
      <c r="AA398" s="33"/>
      <c r="AB398" s="35"/>
      <c r="AC398" s="34"/>
      <c r="AD398" s="34"/>
      <c r="AE398" s="34"/>
      <c r="AF398" s="34"/>
      <c r="AG398" s="34"/>
      <c r="AH398" s="33"/>
      <c r="AI398" s="33"/>
      <c r="AJ398" s="34"/>
      <c r="AK398" s="33"/>
      <c r="AL398" s="33"/>
      <c r="AM398" s="33"/>
      <c r="AN398" s="34"/>
      <c r="AO398" s="34"/>
      <c r="AP398" s="33"/>
      <c r="AQ398" s="34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4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5"/>
      <c r="CC398" s="33"/>
      <c r="CD398" s="33"/>
      <c r="CE398" s="33"/>
      <c r="CF398" s="34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 t="s">
        <v>227</v>
      </c>
      <c r="CV398" s="33"/>
      <c r="CW398" s="33"/>
      <c r="CX398" s="33"/>
      <c r="CY398" s="33"/>
      <c r="CZ398" s="34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4">
        <v>240</v>
      </c>
      <c r="DN398" s="34"/>
      <c r="DO398" s="33"/>
      <c r="DP398" s="33"/>
      <c r="DQ398" s="33" t="s">
        <v>208</v>
      </c>
      <c r="DR398" s="33" t="s">
        <v>206</v>
      </c>
      <c r="DS398" s="33">
        <v>280</v>
      </c>
      <c r="DT398" s="33">
        <v>520</v>
      </c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8"/>
    </row>
    <row r="399" spans="2:137" ht="13.2">
      <c r="B399" s="30" t="str">
        <f t="shared" si="14"/>
        <v>2024/4</v>
      </c>
      <c r="C399" s="31">
        <f t="shared" si="15"/>
        <v>710</v>
      </c>
      <c r="D399" s="32">
        <v>45386</v>
      </c>
      <c r="E399" s="33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3"/>
      <c r="R399" s="33"/>
      <c r="S399" s="33"/>
      <c r="T399" s="33"/>
      <c r="U399" s="35"/>
      <c r="V399" s="36"/>
      <c r="W399" s="37"/>
      <c r="X399" s="34"/>
      <c r="Y399" s="33"/>
      <c r="Z399" s="33"/>
      <c r="AA399" s="33"/>
      <c r="AB399" s="35"/>
      <c r="AC399" s="34"/>
      <c r="AD399" s="34"/>
      <c r="AE399" s="34"/>
      <c r="AF399" s="34"/>
      <c r="AG399" s="34"/>
      <c r="AH399" s="33"/>
      <c r="AI399" s="33"/>
      <c r="AJ399" s="34"/>
      <c r="AK399" s="33"/>
      <c r="AL399" s="33"/>
      <c r="AM399" s="33"/>
      <c r="AN399" s="34"/>
      <c r="AO399" s="34"/>
      <c r="AP399" s="33"/>
      <c r="AQ399" s="34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4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 t="s">
        <v>208</v>
      </c>
      <c r="CA399" s="33"/>
      <c r="CB399" s="35"/>
      <c r="CC399" s="33"/>
      <c r="CD399" s="33"/>
      <c r="CE399" s="33">
        <v>280</v>
      </c>
      <c r="CF399" s="34"/>
      <c r="CG399" s="33"/>
      <c r="CH399" s="33"/>
      <c r="CI399" s="33"/>
      <c r="CJ399" s="33"/>
      <c r="CK399" s="33"/>
      <c r="CL399" s="33"/>
      <c r="CM399" s="33"/>
      <c r="CN399" s="33">
        <v>280</v>
      </c>
      <c r="CO399" s="33"/>
      <c r="CP399" s="33"/>
      <c r="CQ399" s="33"/>
      <c r="CR399" s="33"/>
      <c r="CS399" s="33"/>
      <c r="CT399" s="33"/>
      <c r="CU399" s="33"/>
      <c r="CV399" s="33"/>
      <c r="CW399" s="33"/>
      <c r="CX399" s="33" t="s">
        <v>214</v>
      </c>
      <c r="CY399" s="33"/>
      <c r="CZ399" s="34"/>
      <c r="DA399" s="33"/>
      <c r="DB399" s="33">
        <v>150</v>
      </c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4"/>
      <c r="DN399" s="34" t="s">
        <v>212</v>
      </c>
      <c r="DO399" s="33" t="s">
        <v>227</v>
      </c>
      <c r="DP399" s="33" t="s">
        <v>224</v>
      </c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8"/>
    </row>
    <row r="400" spans="2:137" ht="13.2">
      <c r="B400" s="30" t="str">
        <f t="shared" si="14"/>
        <v>2024/4</v>
      </c>
      <c r="C400" s="31">
        <f t="shared" si="15"/>
        <v>1050</v>
      </c>
      <c r="D400" s="32">
        <v>45387</v>
      </c>
      <c r="E400" s="33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3"/>
      <c r="R400" s="33"/>
      <c r="S400" s="33"/>
      <c r="T400" s="33"/>
      <c r="U400" s="35"/>
      <c r="V400" s="36"/>
      <c r="W400" s="37"/>
      <c r="X400" s="34"/>
      <c r="Y400" s="33"/>
      <c r="Z400" s="33"/>
      <c r="AA400" s="33"/>
      <c r="AB400" s="35"/>
      <c r="AC400" s="34"/>
      <c r="AD400" s="34"/>
      <c r="AE400" s="34"/>
      <c r="AF400" s="34"/>
      <c r="AG400" s="34"/>
      <c r="AH400" s="33"/>
      <c r="AI400" s="33"/>
      <c r="AJ400" s="34"/>
      <c r="AK400" s="33"/>
      <c r="AL400" s="33"/>
      <c r="AM400" s="33"/>
      <c r="AN400" s="34"/>
      <c r="AO400" s="34"/>
      <c r="AP400" s="33"/>
      <c r="AQ400" s="34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4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5"/>
      <c r="CC400" s="33"/>
      <c r="CD400" s="33"/>
      <c r="CE400" s="33"/>
      <c r="CF400" s="34"/>
      <c r="CG400" s="33">
        <v>260</v>
      </c>
      <c r="CH400" s="33"/>
      <c r="CI400" s="33"/>
      <c r="CJ400" s="33"/>
      <c r="CK400" s="33"/>
      <c r="CL400" s="33"/>
      <c r="CM400" s="33"/>
      <c r="CN400" s="33">
        <v>280</v>
      </c>
      <c r="CO400" s="33"/>
      <c r="CP400" s="33"/>
      <c r="CQ400" s="33"/>
      <c r="CR400" s="33" t="s">
        <v>210</v>
      </c>
      <c r="CS400" s="33"/>
      <c r="CT400" s="33"/>
      <c r="CU400" s="33"/>
      <c r="CV400" s="33">
        <v>250</v>
      </c>
      <c r="CW400" s="33"/>
      <c r="CX400" s="33"/>
      <c r="CY400" s="33"/>
      <c r="CZ400" s="34"/>
      <c r="DA400" s="33"/>
      <c r="DB400" s="33"/>
      <c r="DC400" s="33"/>
      <c r="DD400" s="33"/>
      <c r="DE400" s="33"/>
      <c r="DF400" s="33"/>
      <c r="DG400" s="33"/>
      <c r="DH400" s="33">
        <v>260</v>
      </c>
      <c r="DI400" s="33"/>
      <c r="DJ400" s="33"/>
      <c r="DK400" s="33"/>
      <c r="DL400" s="33"/>
      <c r="DM400" s="34"/>
      <c r="DN400" s="34"/>
      <c r="DO400" s="33"/>
      <c r="DP400" s="33"/>
      <c r="DQ400" s="33" t="s">
        <v>209</v>
      </c>
      <c r="DR400" s="33"/>
      <c r="DS400" s="33"/>
      <c r="DT400" s="33" t="s">
        <v>227</v>
      </c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8"/>
    </row>
    <row r="401" spans="2:137" ht="13.2">
      <c r="B401" s="30" t="str">
        <f t="shared" si="14"/>
        <v>2024/4</v>
      </c>
      <c r="C401" s="31" t="str">
        <f t="shared" si="15"/>
        <v/>
      </c>
      <c r="D401" s="32">
        <v>45391</v>
      </c>
      <c r="E401" s="33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3"/>
      <c r="R401" s="33"/>
      <c r="S401" s="33"/>
      <c r="T401" s="33"/>
      <c r="U401" s="35"/>
      <c r="V401" s="36"/>
      <c r="W401" s="37"/>
      <c r="X401" s="34"/>
      <c r="Y401" s="33"/>
      <c r="Z401" s="33"/>
      <c r="AA401" s="33"/>
      <c r="AB401" s="35"/>
      <c r="AC401" s="34"/>
      <c r="AD401" s="34"/>
      <c r="AE401" s="34"/>
      <c r="AF401" s="34"/>
      <c r="AG401" s="34"/>
      <c r="AH401" s="33"/>
      <c r="AI401" s="33"/>
      <c r="AJ401" s="34"/>
      <c r="AK401" s="33"/>
      <c r="AL401" s="33"/>
      <c r="AM401" s="33"/>
      <c r="AN401" s="34"/>
      <c r="AO401" s="34"/>
      <c r="AP401" s="33"/>
      <c r="AQ401" s="34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4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5"/>
      <c r="CC401" s="33"/>
      <c r="CD401" s="33"/>
      <c r="CE401" s="33"/>
      <c r="CF401" s="34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4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4"/>
      <c r="DN401" s="34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8"/>
    </row>
    <row r="402" spans="2:137" ht="13.2">
      <c r="B402" s="30" t="str">
        <f t="shared" si="14"/>
        <v>2024/4</v>
      </c>
      <c r="C402" s="31">
        <f t="shared" si="15"/>
        <v>1780</v>
      </c>
      <c r="D402" s="32">
        <v>45392</v>
      </c>
      <c r="E402" s="33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3"/>
      <c r="R402" s="33"/>
      <c r="S402" s="33"/>
      <c r="T402" s="33"/>
      <c r="U402" s="35"/>
      <c r="V402" s="36"/>
      <c r="W402" s="37"/>
      <c r="X402" s="34"/>
      <c r="Y402" s="33"/>
      <c r="Z402" s="33"/>
      <c r="AA402" s="33"/>
      <c r="AB402" s="35"/>
      <c r="AC402" s="34"/>
      <c r="AD402" s="34"/>
      <c r="AE402" s="34"/>
      <c r="AF402" s="34"/>
      <c r="AG402" s="34"/>
      <c r="AH402" s="33"/>
      <c r="AI402" s="33"/>
      <c r="AJ402" s="34"/>
      <c r="AK402" s="33"/>
      <c r="AL402" s="33"/>
      <c r="AM402" s="33"/>
      <c r="AN402" s="34"/>
      <c r="AO402" s="34"/>
      <c r="AP402" s="33"/>
      <c r="AQ402" s="34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4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5"/>
      <c r="CC402" s="33"/>
      <c r="CD402" s="33"/>
      <c r="CE402" s="33"/>
      <c r="CF402" s="34">
        <v>460</v>
      </c>
      <c r="CG402" s="33"/>
      <c r="CH402" s="33"/>
      <c r="CI402" s="33"/>
      <c r="CJ402" s="33"/>
      <c r="CK402" s="33"/>
      <c r="CL402" s="33"/>
      <c r="CM402" s="33"/>
      <c r="CN402" s="33">
        <v>280</v>
      </c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4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4"/>
      <c r="DN402" s="34"/>
      <c r="DO402" s="33"/>
      <c r="DP402" s="33"/>
      <c r="DQ402" s="33"/>
      <c r="DR402" s="33" t="s">
        <v>207</v>
      </c>
      <c r="DS402" s="33">
        <v>260</v>
      </c>
      <c r="DT402" s="33">
        <v>780</v>
      </c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8"/>
    </row>
    <row r="403" spans="2:137" ht="13.2">
      <c r="B403" s="30" t="str">
        <f t="shared" si="14"/>
        <v>2024/4</v>
      </c>
      <c r="C403" s="31">
        <f t="shared" si="15"/>
        <v>2080</v>
      </c>
      <c r="D403" s="32">
        <v>45393</v>
      </c>
      <c r="E403" s="33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3"/>
      <c r="R403" s="33"/>
      <c r="S403" s="33"/>
      <c r="T403" s="33"/>
      <c r="U403" s="35"/>
      <c r="V403" s="36"/>
      <c r="W403" s="37"/>
      <c r="X403" s="34"/>
      <c r="Y403" s="33"/>
      <c r="Z403" s="33"/>
      <c r="AA403" s="33"/>
      <c r="AB403" s="35"/>
      <c r="AC403" s="34"/>
      <c r="AD403" s="34"/>
      <c r="AE403" s="34"/>
      <c r="AF403" s="34"/>
      <c r="AG403" s="34"/>
      <c r="AH403" s="33"/>
      <c r="AI403" s="33"/>
      <c r="AJ403" s="34"/>
      <c r="AK403" s="33"/>
      <c r="AL403" s="33"/>
      <c r="AM403" s="33"/>
      <c r="AN403" s="34"/>
      <c r="AO403" s="34"/>
      <c r="AP403" s="33"/>
      <c r="AQ403" s="34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4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5"/>
      <c r="CC403" s="33"/>
      <c r="CD403" s="33"/>
      <c r="CE403" s="33"/>
      <c r="CF403" s="34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>
        <v>880</v>
      </c>
      <c r="CS403" s="33"/>
      <c r="CT403" s="33"/>
      <c r="CU403" s="33">
        <v>520</v>
      </c>
      <c r="CV403" s="33"/>
      <c r="CW403" s="33"/>
      <c r="CX403" s="33" t="s">
        <v>224</v>
      </c>
      <c r="CY403" s="33"/>
      <c r="CZ403" s="34">
        <v>220</v>
      </c>
      <c r="DA403" s="33"/>
      <c r="DB403" s="33">
        <v>260</v>
      </c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4"/>
      <c r="DN403" s="34" t="s">
        <v>207</v>
      </c>
      <c r="DO403" s="33">
        <v>200</v>
      </c>
      <c r="DP403" s="33" t="s">
        <v>209</v>
      </c>
      <c r="DQ403" s="33" t="s">
        <v>206</v>
      </c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8"/>
    </row>
    <row r="404" spans="2:137" ht="13.2">
      <c r="B404" s="30" t="str">
        <f t="shared" si="14"/>
        <v>2024/4</v>
      </c>
      <c r="C404" s="31">
        <f t="shared" si="15"/>
        <v>1570</v>
      </c>
      <c r="D404" s="32">
        <v>45394</v>
      </c>
      <c r="E404" s="33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3"/>
      <c r="R404" s="33"/>
      <c r="S404" s="33"/>
      <c r="T404" s="33"/>
      <c r="U404" s="35"/>
      <c r="V404" s="36"/>
      <c r="W404" s="37"/>
      <c r="X404" s="34"/>
      <c r="Y404" s="33"/>
      <c r="Z404" s="33"/>
      <c r="AA404" s="33"/>
      <c r="AB404" s="35"/>
      <c r="AC404" s="34"/>
      <c r="AD404" s="34"/>
      <c r="AE404" s="34"/>
      <c r="AF404" s="34"/>
      <c r="AG404" s="34"/>
      <c r="AH404" s="33"/>
      <c r="AI404" s="33"/>
      <c r="AJ404" s="34"/>
      <c r="AK404" s="33"/>
      <c r="AL404" s="33"/>
      <c r="AM404" s="33"/>
      <c r="AN404" s="34"/>
      <c r="AO404" s="34"/>
      <c r="AP404" s="33"/>
      <c r="AQ404" s="34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4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>
        <v>520</v>
      </c>
      <c r="CB404" s="35"/>
      <c r="CC404" s="33"/>
      <c r="CD404" s="33"/>
      <c r="CE404" s="33">
        <v>280</v>
      </c>
      <c r="CF404" s="34"/>
      <c r="CG404" s="33">
        <v>260</v>
      </c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 t="s">
        <v>212</v>
      </c>
      <c r="CS404" s="33"/>
      <c r="CT404" s="33"/>
      <c r="CU404" s="33"/>
      <c r="CV404" s="33">
        <v>250</v>
      </c>
      <c r="CW404" s="33"/>
      <c r="CX404" s="33"/>
      <c r="CY404" s="33"/>
      <c r="CZ404" s="34"/>
      <c r="DA404" s="33"/>
      <c r="DB404" s="33"/>
      <c r="DC404" s="33"/>
      <c r="DD404" s="33"/>
      <c r="DE404" s="33"/>
      <c r="DF404" s="33"/>
      <c r="DG404" s="33"/>
      <c r="DH404" s="33">
        <v>260</v>
      </c>
      <c r="DI404" s="33"/>
      <c r="DJ404" s="33"/>
      <c r="DK404" s="33"/>
      <c r="DL404" s="33"/>
      <c r="DM404" s="34"/>
      <c r="DN404" s="34"/>
      <c r="DO404" s="33"/>
      <c r="DP404" s="33"/>
      <c r="DQ404" s="33"/>
      <c r="DR404" s="33"/>
      <c r="DS404" s="33"/>
      <c r="DT404" s="33" t="s">
        <v>227</v>
      </c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8"/>
    </row>
    <row r="405" spans="2:137" ht="13.2">
      <c r="B405" s="30" t="str">
        <f t="shared" si="14"/>
        <v>2024/4</v>
      </c>
      <c r="C405" s="31">
        <f t="shared" si="15"/>
        <v>280</v>
      </c>
      <c r="D405" s="32">
        <v>45398</v>
      </c>
      <c r="E405" s="33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3"/>
      <c r="R405" s="33"/>
      <c r="S405" s="33"/>
      <c r="T405" s="33"/>
      <c r="U405" s="35"/>
      <c r="V405" s="36"/>
      <c r="W405" s="37"/>
      <c r="X405" s="34"/>
      <c r="Y405" s="33"/>
      <c r="Z405" s="33"/>
      <c r="AA405" s="33"/>
      <c r="AB405" s="35"/>
      <c r="AC405" s="34"/>
      <c r="AD405" s="34"/>
      <c r="AE405" s="34"/>
      <c r="AF405" s="34"/>
      <c r="AG405" s="34"/>
      <c r="AH405" s="33"/>
      <c r="AI405" s="33"/>
      <c r="AJ405" s="34"/>
      <c r="AK405" s="33"/>
      <c r="AL405" s="33"/>
      <c r="AM405" s="33"/>
      <c r="AN405" s="34"/>
      <c r="AO405" s="34"/>
      <c r="AP405" s="33"/>
      <c r="AQ405" s="34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4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5"/>
      <c r="CC405" s="33"/>
      <c r="CD405" s="33"/>
      <c r="CE405" s="33"/>
      <c r="CF405" s="34"/>
      <c r="CG405" s="33"/>
      <c r="CH405" s="33"/>
      <c r="CI405" s="33"/>
      <c r="CJ405" s="33"/>
      <c r="CK405" s="33"/>
      <c r="CL405" s="33"/>
      <c r="CM405" s="33"/>
      <c r="CN405" s="33">
        <v>280</v>
      </c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4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4"/>
      <c r="DN405" s="34"/>
      <c r="DO405" s="33"/>
      <c r="DP405" s="33"/>
      <c r="DQ405" s="33"/>
      <c r="DR405" s="33" t="s">
        <v>208</v>
      </c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8"/>
    </row>
    <row r="406" spans="2:137" ht="13.2">
      <c r="B406" s="30" t="str">
        <f t="shared" si="14"/>
        <v>2024/4</v>
      </c>
      <c r="C406" s="31">
        <f t="shared" si="15"/>
        <v>1710</v>
      </c>
      <c r="D406" s="32">
        <v>45399</v>
      </c>
      <c r="E406" s="33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3"/>
      <c r="R406" s="33"/>
      <c r="S406" s="33"/>
      <c r="T406" s="33"/>
      <c r="U406" s="35"/>
      <c r="V406" s="36"/>
      <c r="W406" s="37"/>
      <c r="X406" s="34"/>
      <c r="Y406" s="33"/>
      <c r="Z406" s="33"/>
      <c r="AA406" s="33"/>
      <c r="AB406" s="35"/>
      <c r="AC406" s="34"/>
      <c r="AD406" s="34"/>
      <c r="AE406" s="34"/>
      <c r="AF406" s="34"/>
      <c r="AG406" s="34"/>
      <c r="AH406" s="33"/>
      <c r="AI406" s="33"/>
      <c r="AJ406" s="34"/>
      <c r="AK406" s="33"/>
      <c r="AL406" s="33"/>
      <c r="AM406" s="33"/>
      <c r="AN406" s="34"/>
      <c r="AO406" s="34"/>
      <c r="AP406" s="33"/>
      <c r="AQ406" s="34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4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5"/>
      <c r="CC406" s="33"/>
      <c r="CD406" s="33"/>
      <c r="CE406" s="33"/>
      <c r="CF406" s="34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4"/>
      <c r="DA406" s="33"/>
      <c r="DB406" s="33">
        <v>150</v>
      </c>
      <c r="DC406" s="33"/>
      <c r="DD406" s="33"/>
      <c r="DE406" s="33"/>
      <c r="DF406" s="33"/>
      <c r="DG406" s="33"/>
      <c r="DH406" s="33">
        <v>260</v>
      </c>
      <c r="DI406" s="33"/>
      <c r="DJ406" s="33"/>
      <c r="DK406" s="33"/>
      <c r="DL406" s="33"/>
      <c r="DM406" s="34">
        <v>240</v>
      </c>
      <c r="DN406" s="34">
        <v>800</v>
      </c>
      <c r="DO406" s="33" t="s">
        <v>227</v>
      </c>
      <c r="DP406" s="33"/>
      <c r="DQ406" s="33" t="s">
        <v>207</v>
      </c>
      <c r="DR406" s="33"/>
      <c r="DS406" s="33">
        <v>260</v>
      </c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8"/>
    </row>
    <row r="407" spans="2:137" ht="13.2">
      <c r="B407" s="30" t="str">
        <f t="shared" si="14"/>
        <v>2024/4</v>
      </c>
      <c r="C407" s="31">
        <f t="shared" si="15"/>
        <v>2120</v>
      </c>
      <c r="D407" s="32">
        <v>45400</v>
      </c>
      <c r="E407" s="33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3"/>
      <c r="R407" s="33"/>
      <c r="S407" s="33"/>
      <c r="T407" s="33"/>
      <c r="U407" s="35"/>
      <c r="V407" s="36"/>
      <c r="W407" s="37"/>
      <c r="X407" s="34"/>
      <c r="Y407" s="33"/>
      <c r="Z407" s="33"/>
      <c r="AA407" s="33"/>
      <c r="AB407" s="35"/>
      <c r="AC407" s="34"/>
      <c r="AD407" s="34"/>
      <c r="AE407" s="34"/>
      <c r="AF407" s="34"/>
      <c r="AG407" s="34"/>
      <c r="AH407" s="33"/>
      <c r="AI407" s="33"/>
      <c r="AJ407" s="34"/>
      <c r="AK407" s="33"/>
      <c r="AL407" s="33"/>
      <c r="AM407" s="33"/>
      <c r="AN407" s="34"/>
      <c r="AO407" s="34"/>
      <c r="AP407" s="33"/>
      <c r="AQ407" s="34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4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5"/>
      <c r="CC407" s="33"/>
      <c r="CD407" s="33"/>
      <c r="CE407" s="33"/>
      <c r="CF407" s="34"/>
      <c r="CG407" s="33"/>
      <c r="CH407" s="33"/>
      <c r="CI407" s="33"/>
      <c r="CJ407" s="33"/>
      <c r="CK407" s="33"/>
      <c r="CL407" s="33"/>
      <c r="CM407" s="33"/>
      <c r="CN407" s="33" t="s">
        <v>227</v>
      </c>
      <c r="CO407" s="33"/>
      <c r="CP407" s="33"/>
      <c r="CQ407" s="33"/>
      <c r="CR407" s="33"/>
      <c r="CS407" s="33"/>
      <c r="CT407" s="33"/>
      <c r="CU407" s="33"/>
      <c r="CV407" s="33"/>
      <c r="CW407" s="33"/>
      <c r="CX407" s="33" t="s">
        <v>210</v>
      </c>
      <c r="CY407" s="33"/>
      <c r="CZ407" s="34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4"/>
      <c r="DN407" s="34" t="s">
        <v>208</v>
      </c>
      <c r="DO407" s="33"/>
      <c r="DP407" s="33" t="s">
        <v>206</v>
      </c>
      <c r="DQ407" s="33"/>
      <c r="DR407" s="33"/>
      <c r="DS407" s="33"/>
      <c r="DT407" s="33">
        <v>520</v>
      </c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>
        <v>1600</v>
      </c>
      <c r="EF407" s="33"/>
      <c r="EG407" s="38"/>
    </row>
    <row r="408" spans="2:137" ht="13.2">
      <c r="B408" s="30" t="str">
        <f t="shared" si="14"/>
        <v>2024/4</v>
      </c>
      <c r="C408" s="31">
        <f t="shared" si="15"/>
        <v>2970</v>
      </c>
      <c r="D408" s="32">
        <v>45401</v>
      </c>
      <c r="E408" s="33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3"/>
      <c r="R408" s="33"/>
      <c r="S408" s="33"/>
      <c r="T408" s="33"/>
      <c r="U408" s="35"/>
      <c r="V408" s="36"/>
      <c r="W408" s="37"/>
      <c r="X408" s="34"/>
      <c r="Y408" s="33"/>
      <c r="Z408" s="33"/>
      <c r="AA408" s="33"/>
      <c r="AB408" s="35"/>
      <c r="AC408" s="34"/>
      <c r="AD408" s="34"/>
      <c r="AE408" s="34"/>
      <c r="AF408" s="34"/>
      <c r="AG408" s="34"/>
      <c r="AH408" s="33"/>
      <c r="AI408" s="33"/>
      <c r="AJ408" s="34"/>
      <c r="AK408" s="33"/>
      <c r="AL408" s="33"/>
      <c r="AM408" s="33"/>
      <c r="AN408" s="34"/>
      <c r="AO408" s="34"/>
      <c r="AP408" s="33"/>
      <c r="AQ408" s="34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4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>
        <v>260</v>
      </c>
      <c r="CB408" s="35"/>
      <c r="CC408" s="33"/>
      <c r="CD408" s="33"/>
      <c r="CE408" s="33">
        <v>280</v>
      </c>
      <c r="CF408" s="34"/>
      <c r="CG408" s="33">
        <v>260</v>
      </c>
      <c r="CH408" s="33">
        <v>280</v>
      </c>
      <c r="CI408" s="33"/>
      <c r="CJ408" s="33"/>
      <c r="CK408" s="33"/>
      <c r="CL408" s="33"/>
      <c r="CM408" s="33"/>
      <c r="CN408" s="33">
        <v>560</v>
      </c>
      <c r="CO408" s="33"/>
      <c r="CP408" s="33"/>
      <c r="CQ408" s="33"/>
      <c r="CR408" s="33" t="s">
        <v>214</v>
      </c>
      <c r="CS408" s="33"/>
      <c r="CT408" s="33"/>
      <c r="CU408" s="33"/>
      <c r="CV408" s="33">
        <v>250</v>
      </c>
      <c r="CW408" s="33"/>
      <c r="CX408" s="33">
        <v>1080</v>
      </c>
      <c r="CY408" s="33"/>
      <c r="CZ408" s="34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4"/>
      <c r="DN408" s="34"/>
      <c r="DO408" s="33"/>
      <c r="DP408" s="33"/>
      <c r="DQ408" s="33"/>
      <c r="DR408" s="33"/>
      <c r="DS408" s="33"/>
      <c r="DT408" s="33" t="s">
        <v>227</v>
      </c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8"/>
    </row>
    <row r="409" spans="2:137" ht="13.2">
      <c r="B409" s="30" t="str">
        <f t="shared" si="14"/>
        <v>2024/4</v>
      </c>
      <c r="C409" s="31">
        <f t="shared" si="15"/>
        <v>1500</v>
      </c>
      <c r="D409" s="44">
        <v>45405</v>
      </c>
      <c r="E409" s="33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3"/>
      <c r="R409" s="33"/>
      <c r="S409" s="33"/>
      <c r="T409" s="33"/>
      <c r="U409" s="35"/>
      <c r="V409" s="36"/>
      <c r="W409" s="37"/>
      <c r="X409" s="34"/>
      <c r="Y409" s="33"/>
      <c r="Z409" s="33"/>
      <c r="AA409" s="33"/>
      <c r="AB409" s="35"/>
      <c r="AC409" s="34"/>
      <c r="AD409" s="34"/>
      <c r="AE409" s="34"/>
      <c r="AF409" s="34"/>
      <c r="AG409" s="34"/>
      <c r="AH409" s="33"/>
      <c r="AI409" s="33"/>
      <c r="AJ409" s="34"/>
      <c r="AK409" s="33"/>
      <c r="AL409" s="33"/>
      <c r="AM409" s="33"/>
      <c r="AN409" s="34"/>
      <c r="AO409" s="34"/>
      <c r="AP409" s="33"/>
      <c r="AQ409" s="34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4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>
        <v>260</v>
      </c>
      <c r="CB409" s="35">
        <v>200</v>
      </c>
      <c r="CC409" s="33"/>
      <c r="CD409" s="33"/>
      <c r="CE409" s="33"/>
      <c r="CF409" s="34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4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4"/>
      <c r="DN409" s="34"/>
      <c r="DO409" s="33"/>
      <c r="DP409" s="33"/>
      <c r="DQ409" s="33"/>
      <c r="DR409" s="33" t="s">
        <v>209</v>
      </c>
      <c r="DS409" s="33">
        <v>260</v>
      </c>
      <c r="DT409" s="33">
        <v>780</v>
      </c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8"/>
    </row>
    <row r="410" spans="2:137" ht="13.2">
      <c r="B410" s="30" t="str">
        <f t="shared" si="14"/>
        <v>2024/4</v>
      </c>
      <c r="C410" s="31">
        <f t="shared" si="15"/>
        <v>1988.45</v>
      </c>
      <c r="D410" s="32">
        <v>45406</v>
      </c>
      <c r="E410" s="33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3"/>
      <c r="R410" s="33"/>
      <c r="S410" s="33"/>
      <c r="T410" s="33"/>
      <c r="U410" s="35"/>
      <c r="V410" s="36"/>
      <c r="W410" s="37"/>
      <c r="X410" s="34"/>
      <c r="Y410" s="33"/>
      <c r="Z410" s="33"/>
      <c r="AA410" s="33"/>
      <c r="AB410" s="35"/>
      <c r="AC410" s="34"/>
      <c r="AD410" s="34"/>
      <c r="AE410" s="34"/>
      <c r="AF410" s="34"/>
      <c r="AG410" s="34"/>
      <c r="AH410" s="33"/>
      <c r="AI410" s="33"/>
      <c r="AJ410" s="34"/>
      <c r="AK410" s="33"/>
      <c r="AL410" s="33"/>
      <c r="AM410" s="33"/>
      <c r="AN410" s="34"/>
      <c r="AO410" s="34"/>
      <c r="AP410" s="33"/>
      <c r="AQ410" s="34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4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5"/>
      <c r="CC410" s="33"/>
      <c r="CD410" s="33"/>
      <c r="CE410" s="33"/>
      <c r="CF410" s="34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>
        <v>268.45</v>
      </c>
      <c r="CV410" s="33"/>
      <c r="CW410" s="33"/>
      <c r="CX410" s="33"/>
      <c r="CY410" s="33"/>
      <c r="CZ410" s="34">
        <v>220</v>
      </c>
      <c r="DA410" s="33"/>
      <c r="DB410" s="33"/>
      <c r="DC410" s="33"/>
      <c r="DD410" s="33"/>
      <c r="DE410" s="33"/>
      <c r="DF410" s="33"/>
      <c r="DG410" s="33"/>
      <c r="DH410" s="33">
        <v>260</v>
      </c>
      <c r="DI410" s="33"/>
      <c r="DJ410" s="33"/>
      <c r="DK410" s="33"/>
      <c r="DL410" s="33"/>
      <c r="DM410" s="34">
        <v>240</v>
      </c>
      <c r="DN410" s="34"/>
      <c r="DO410" s="33"/>
      <c r="DP410" s="33"/>
      <c r="DQ410" s="33" t="s">
        <v>208</v>
      </c>
      <c r="DR410" s="33">
        <v>1000</v>
      </c>
      <c r="DS410" s="33"/>
      <c r="DT410" s="33" t="s">
        <v>227</v>
      </c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8"/>
    </row>
    <row r="411" spans="2:137" ht="13.2">
      <c r="B411" s="30" t="str">
        <f t="shared" si="14"/>
        <v>2024/4</v>
      </c>
      <c r="C411" s="31">
        <f t="shared" si="15"/>
        <v>1075</v>
      </c>
      <c r="D411" s="32">
        <v>45407</v>
      </c>
      <c r="E411" s="33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3"/>
      <c r="R411" s="33"/>
      <c r="S411" s="33"/>
      <c r="T411" s="33"/>
      <c r="U411" s="35"/>
      <c r="V411" s="36"/>
      <c r="W411" s="37"/>
      <c r="X411" s="34"/>
      <c r="Y411" s="33"/>
      <c r="Z411" s="33"/>
      <c r="AA411" s="33"/>
      <c r="AB411" s="35"/>
      <c r="AC411" s="34"/>
      <c r="AD411" s="34"/>
      <c r="AE411" s="34"/>
      <c r="AF411" s="34"/>
      <c r="AG411" s="34"/>
      <c r="AH411" s="33"/>
      <c r="AI411" s="33"/>
      <c r="AJ411" s="34"/>
      <c r="AK411" s="33"/>
      <c r="AL411" s="33"/>
      <c r="AM411" s="33"/>
      <c r="AN411" s="34"/>
      <c r="AO411" s="34"/>
      <c r="AP411" s="33"/>
      <c r="AQ411" s="34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4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5"/>
      <c r="CC411" s="33"/>
      <c r="CD411" s="33"/>
      <c r="CE411" s="33"/>
      <c r="CF411" s="34" t="s">
        <v>227</v>
      </c>
      <c r="CG411" s="33"/>
      <c r="CH411" s="33">
        <v>280</v>
      </c>
      <c r="CI411" s="33"/>
      <c r="CJ411" s="33"/>
      <c r="CK411" s="33">
        <v>275</v>
      </c>
      <c r="CL411" s="33"/>
      <c r="CM411" s="33"/>
      <c r="CN411" s="33" t="s">
        <v>227</v>
      </c>
      <c r="CO411" s="33"/>
      <c r="CP411" s="33"/>
      <c r="CQ411" s="33"/>
      <c r="CR411" s="33"/>
      <c r="CS411" s="33"/>
      <c r="CT411" s="33"/>
      <c r="CU411" s="33"/>
      <c r="CV411" s="33"/>
      <c r="CW411" s="33"/>
      <c r="CX411" s="33" t="s">
        <v>212</v>
      </c>
      <c r="CY411" s="33"/>
      <c r="CZ411" s="34"/>
      <c r="DA411" s="33"/>
      <c r="DB411" s="33">
        <v>260</v>
      </c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4"/>
      <c r="DN411" s="34" t="s">
        <v>210</v>
      </c>
      <c r="DO411" s="33"/>
      <c r="DP411" s="33" t="s">
        <v>207</v>
      </c>
      <c r="DQ411" s="33"/>
      <c r="DR411" s="33" t="s">
        <v>206</v>
      </c>
      <c r="DS411" s="33"/>
      <c r="DT411" s="33">
        <v>260</v>
      </c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8"/>
    </row>
    <row r="412" spans="2:137" ht="13.2">
      <c r="B412" s="30" t="str">
        <f t="shared" si="14"/>
        <v>2024/4</v>
      </c>
      <c r="C412" s="31">
        <f t="shared" si="15"/>
        <v>790</v>
      </c>
      <c r="D412" s="32">
        <v>45408</v>
      </c>
      <c r="E412" s="33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3"/>
      <c r="R412" s="33"/>
      <c r="S412" s="33"/>
      <c r="T412" s="33"/>
      <c r="U412" s="35"/>
      <c r="V412" s="36"/>
      <c r="W412" s="37"/>
      <c r="X412" s="34"/>
      <c r="Y412" s="33"/>
      <c r="Z412" s="33"/>
      <c r="AA412" s="33"/>
      <c r="AB412" s="35"/>
      <c r="AC412" s="34"/>
      <c r="AD412" s="34"/>
      <c r="AE412" s="34"/>
      <c r="AF412" s="34"/>
      <c r="AG412" s="34"/>
      <c r="AH412" s="33"/>
      <c r="AI412" s="33"/>
      <c r="AJ412" s="34"/>
      <c r="AK412" s="33"/>
      <c r="AL412" s="33"/>
      <c r="AM412" s="33"/>
      <c r="AN412" s="34"/>
      <c r="AO412" s="34"/>
      <c r="AP412" s="33"/>
      <c r="AQ412" s="34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4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5"/>
      <c r="CC412" s="33"/>
      <c r="CD412" s="33"/>
      <c r="CE412" s="33">
        <v>280</v>
      </c>
      <c r="CF412" s="34"/>
      <c r="CG412" s="33">
        <v>260</v>
      </c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 t="s">
        <v>208</v>
      </c>
      <c r="CS412" s="33"/>
      <c r="CT412" s="33"/>
      <c r="CU412" s="33"/>
      <c r="CV412" s="33">
        <v>250</v>
      </c>
      <c r="CW412" s="33"/>
      <c r="CX412" s="33"/>
      <c r="CY412" s="33"/>
      <c r="CZ412" s="34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4"/>
      <c r="DN412" s="34"/>
      <c r="DO412" s="33"/>
      <c r="DP412" s="33"/>
      <c r="DQ412" s="33"/>
      <c r="DR412" s="33"/>
      <c r="DS412" s="33"/>
      <c r="DT412" s="33" t="s">
        <v>227</v>
      </c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8"/>
    </row>
    <row r="413" spans="2:137" ht="13.2">
      <c r="B413" s="30" t="str">
        <f t="shared" si="14"/>
        <v>2024/4</v>
      </c>
      <c r="C413" s="31">
        <f t="shared" si="15"/>
        <v>1650</v>
      </c>
      <c r="D413" s="32">
        <v>45412</v>
      </c>
      <c r="E413" s="33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3"/>
      <c r="R413" s="33"/>
      <c r="S413" s="33"/>
      <c r="T413" s="33"/>
      <c r="U413" s="35"/>
      <c r="V413" s="36"/>
      <c r="W413" s="37"/>
      <c r="X413" s="34"/>
      <c r="Y413" s="33"/>
      <c r="Z413" s="33"/>
      <c r="AA413" s="33"/>
      <c r="AB413" s="35"/>
      <c r="AC413" s="34"/>
      <c r="AD413" s="34"/>
      <c r="AE413" s="34"/>
      <c r="AF413" s="34"/>
      <c r="AG413" s="34"/>
      <c r="AH413" s="33"/>
      <c r="AI413" s="33"/>
      <c r="AJ413" s="34"/>
      <c r="AK413" s="33"/>
      <c r="AL413" s="33"/>
      <c r="AM413" s="33"/>
      <c r="AN413" s="34"/>
      <c r="AO413" s="34"/>
      <c r="AP413" s="33"/>
      <c r="AQ413" s="34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4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5"/>
      <c r="CC413" s="33"/>
      <c r="CD413" s="33"/>
      <c r="CE413" s="33" t="s">
        <v>227</v>
      </c>
      <c r="CF413" s="34"/>
      <c r="CG413" s="33"/>
      <c r="CH413" s="33">
        <v>280</v>
      </c>
      <c r="CI413" s="33"/>
      <c r="CJ413" s="33"/>
      <c r="CK413" s="33">
        <v>275</v>
      </c>
      <c r="CL413" s="33">
        <v>275</v>
      </c>
      <c r="CM413" s="33"/>
      <c r="CN413" s="33">
        <v>560</v>
      </c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4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4"/>
      <c r="DN413" s="34"/>
      <c r="DO413" s="33" t="s">
        <v>227</v>
      </c>
      <c r="DP413" s="33"/>
      <c r="DQ413" s="33"/>
      <c r="DR413" s="33" t="s">
        <v>207</v>
      </c>
      <c r="DS413" s="33">
        <v>260</v>
      </c>
      <c r="DT413" s="33" t="s">
        <v>227</v>
      </c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8"/>
    </row>
    <row r="414" spans="2:137" ht="13.2">
      <c r="B414" s="30" t="str">
        <f t="shared" si="14"/>
        <v>2024/5</v>
      </c>
      <c r="C414" s="31">
        <f t="shared" si="15"/>
        <v>1220</v>
      </c>
      <c r="D414" s="32">
        <v>45414</v>
      </c>
      <c r="E414" s="33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3"/>
      <c r="R414" s="33"/>
      <c r="S414" s="33"/>
      <c r="T414" s="33"/>
      <c r="U414" s="35"/>
      <c r="V414" s="36"/>
      <c r="W414" s="37"/>
      <c r="X414" s="34"/>
      <c r="Y414" s="33"/>
      <c r="Z414" s="33"/>
      <c r="AA414" s="33"/>
      <c r="AB414" s="35"/>
      <c r="AC414" s="34"/>
      <c r="AD414" s="34"/>
      <c r="AE414" s="34"/>
      <c r="AF414" s="34"/>
      <c r="AG414" s="34"/>
      <c r="AH414" s="33"/>
      <c r="AI414" s="33"/>
      <c r="AJ414" s="34"/>
      <c r="AK414" s="33"/>
      <c r="AL414" s="33"/>
      <c r="AM414" s="33"/>
      <c r="AN414" s="34"/>
      <c r="AO414" s="34"/>
      <c r="AP414" s="33"/>
      <c r="AQ414" s="34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4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5"/>
      <c r="CC414" s="33"/>
      <c r="CD414" s="33"/>
      <c r="CE414" s="33"/>
      <c r="CF414" s="34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 t="s">
        <v>214</v>
      </c>
      <c r="CY414" s="33"/>
      <c r="CZ414" s="34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4">
        <v>240</v>
      </c>
      <c r="DN414" s="34" t="s">
        <v>212</v>
      </c>
      <c r="DO414" s="33">
        <v>200</v>
      </c>
      <c r="DP414" s="33" t="s">
        <v>208</v>
      </c>
      <c r="DQ414" s="33"/>
      <c r="DR414" s="33"/>
      <c r="DS414" s="33"/>
      <c r="DT414" s="33">
        <v>780</v>
      </c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8"/>
    </row>
    <row r="415" spans="2:137" ht="13.2">
      <c r="B415" s="30" t="str">
        <f t="shared" si="14"/>
        <v>2024/5</v>
      </c>
      <c r="C415" s="31">
        <f t="shared" si="15"/>
        <v>2458.4499999999998</v>
      </c>
      <c r="D415" s="32">
        <v>45415</v>
      </c>
      <c r="E415" s="33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3"/>
      <c r="R415" s="33"/>
      <c r="S415" s="33"/>
      <c r="T415" s="33"/>
      <c r="U415" s="35"/>
      <c r="V415" s="36"/>
      <c r="W415" s="37"/>
      <c r="X415" s="34"/>
      <c r="Y415" s="33"/>
      <c r="Z415" s="33"/>
      <c r="AA415" s="33"/>
      <c r="AB415" s="35"/>
      <c r="AC415" s="34"/>
      <c r="AD415" s="34"/>
      <c r="AE415" s="34"/>
      <c r="AF415" s="34"/>
      <c r="AG415" s="34"/>
      <c r="AH415" s="33"/>
      <c r="AI415" s="33"/>
      <c r="AJ415" s="34"/>
      <c r="AK415" s="33"/>
      <c r="AL415" s="33"/>
      <c r="AM415" s="33"/>
      <c r="AN415" s="34"/>
      <c r="AO415" s="34"/>
      <c r="AP415" s="33"/>
      <c r="AQ415" s="34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4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5"/>
      <c r="CC415" s="33"/>
      <c r="CD415" s="33"/>
      <c r="CE415" s="33"/>
      <c r="CF415" s="34"/>
      <c r="CG415" s="33"/>
      <c r="CH415" s="33">
        <v>280</v>
      </c>
      <c r="CI415" s="33"/>
      <c r="CJ415" s="33"/>
      <c r="CK415" s="33"/>
      <c r="CL415" s="33"/>
      <c r="CM415" s="33"/>
      <c r="CN415" s="33"/>
      <c r="CO415" s="33"/>
      <c r="CP415" s="33"/>
      <c r="CQ415" s="33"/>
      <c r="CR415" s="33" t="s">
        <v>210</v>
      </c>
      <c r="CS415" s="33"/>
      <c r="CT415" s="33"/>
      <c r="CU415" s="33">
        <v>268.45</v>
      </c>
      <c r="CV415" s="33">
        <v>250</v>
      </c>
      <c r="CW415" s="33"/>
      <c r="CX415" s="33"/>
      <c r="CY415" s="33"/>
      <c r="CZ415" s="34"/>
      <c r="DA415" s="33"/>
      <c r="DB415" s="33"/>
      <c r="DC415" s="33"/>
      <c r="DD415" s="33"/>
      <c r="DE415" s="33"/>
      <c r="DF415" s="33"/>
      <c r="DG415" s="33"/>
      <c r="DH415" s="33">
        <v>260</v>
      </c>
      <c r="DI415" s="33"/>
      <c r="DJ415" s="33"/>
      <c r="DK415" s="33"/>
      <c r="DL415" s="33"/>
      <c r="DM415" s="34"/>
      <c r="DN415" s="34"/>
      <c r="DO415" s="33"/>
      <c r="DP415" s="33"/>
      <c r="DQ415" s="33">
        <v>1400</v>
      </c>
      <c r="DR415" s="33"/>
      <c r="DS415" s="33"/>
      <c r="DT415" s="33" t="s">
        <v>227</v>
      </c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8"/>
    </row>
    <row r="416" spans="2:137" ht="13.2">
      <c r="B416" s="30" t="str">
        <f t="shared" si="14"/>
        <v>2024/5</v>
      </c>
      <c r="C416" s="31">
        <f t="shared" si="15"/>
        <v>2225</v>
      </c>
      <c r="D416" s="32">
        <v>45419</v>
      </c>
      <c r="E416" s="33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3"/>
      <c r="R416" s="33"/>
      <c r="S416" s="33"/>
      <c r="T416" s="33"/>
      <c r="U416" s="35"/>
      <c r="V416" s="36"/>
      <c r="W416" s="37"/>
      <c r="X416" s="34"/>
      <c r="Y416" s="33"/>
      <c r="Z416" s="33"/>
      <c r="AA416" s="33"/>
      <c r="AB416" s="35"/>
      <c r="AC416" s="34"/>
      <c r="AD416" s="34"/>
      <c r="AE416" s="34"/>
      <c r="AF416" s="34"/>
      <c r="AG416" s="34"/>
      <c r="AH416" s="33"/>
      <c r="AI416" s="33"/>
      <c r="AJ416" s="34"/>
      <c r="AK416" s="33"/>
      <c r="AL416" s="33"/>
      <c r="AM416" s="33"/>
      <c r="AN416" s="34"/>
      <c r="AO416" s="34"/>
      <c r="AP416" s="33"/>
      <c r="AQ416" s="34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4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5"/>
      <c r="CC416" s="33">
        <v>280</v>
      </c>
      <c r="CD416" s="33"/>
      <c r="CE416" s="33"/>
      <c r="CF416" s="34"/>
      <c r="CG416" s="33">
        <v>260</v>
      </c>
      <c r="CH416" s="33"/>
      <c r="CI416" s="33"/>
      <c r="CJ416" s="33"/>
      <c r="CK416" s="33"/>
      <c r="CL416" s="33">
        <v>275</v>
      </c>
      <c r="CM416" s="33"/>
      <c r="CN416" s="33">
        <v>280</v>
      </c>
      <c r="CO416" s="33"/>
      <c r="CP416" s="33"/>
      <c r="CQ416" s="33"/>
      <c r="CR416" s="33"/>
      <c r="CS416" s="33"/>
      <c r="CT416" s="33"/>
      <c r="CU416" s="33" t="s">
        <v>227</v>
      </c>
      <c r="CV416" s="33"/>
      <c r="CW416" s="33"/>
      <c r="CX416" s="33"/>
      <c r="CY416" s="33"/>
      <c r="CZ416" s="34"/>
      <c r="DA416" s="33"/>
      <c r="DB416" s="33">
        <v>150</v>
      </c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4"/>
      <c r="DN416" s="34"/>
      <c r="DO416" s="33">
        <v>200</v>
      </c>
      <c r="DP416" s="33"/>
      <c r="DQ416" s="33"/>
      <c r="DR416" s="33"/>
      <c r="DS416" s="33"/>
      <c r="DT416" s="33">
        <v>780</v>
      </c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8"/>
    </row>
    <row r="417" spans="2:137" ht="13.2">
      <c r="B417" s="30" t="str">
        <f t="shared" si="14"/>
        <v>2024/5</v>
      </c>
      <c r="C417" s="31">
        <f t="shared" si="15"/>
        <v>2035</v>
      </c>
      <c r="D417" s="32">
        <v>45420</v>
      </c>
      <c r="E417" s="33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3"/>
      <c r="R417" s="33"/>
      <c r="S417" s="33"/>
      <c r="T417" s="33"/>
      <c r="U417" s="35"/>
      <c r="V417" s="36"/>
      <c r="W417" s="37"/>
      <c r="X417" s="34"/>
      <c r="Y417" s="33"/>
      <c r="Z417" s="33"/>
      <c r="AA417" s="33"/>
      <c r="AB417" s="35"/>
      <c r="AC417" s="34"/>
      <c r="AD417" s="34"/>
      <c r="AE417" s="34"/>
      <c r="AF417" s="34"/>
      <c r="AG417" s="34"/>
      <c r="AH417" s="33"/>
      <c r="AI417" s="33"/>
      <c r="AJ417" s="34"/>
      <c r="AK417" s="33"/>
      <c r="AL417" s="33"/>
      <c r="AM417" s="33"/>
      <c r="AN417" s="34"/>
      <c r="AO417" s="34"/>
      <c r="AP417" s="33"/>
      <c r="AQ417" s="34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4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5"/>
      <c r="CC417" s="33"/>
      <c r="CD417" s="33"/>
      <c r="CE417" s="33" t="s">
        <v>227</v>
      </c>
      <c r="CF417" s="34"/>
      <c r="CG417" s="33"/>
      <c r="CH417" s="33">
        <v>280</v>
      </c>
      <c r="CI417" s="33"/>
      <c r="CJ417" s="33"/>
      <c r="CK417" s="33">
        <v>275</v>
      </c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4"/>
      <c r="DA417" s="33"/>
      <c r="DB417" s="33"/>
      <c r="DC417" s="33"/>
      <c r="DD417" s="33"/>
      <c r="DE417" s="33"/>
      <c r="DF417" s="33"/>
      <c r="DG417" s="33"/>
      <c r="DH417" s="33">
        <v>260</v>
      </c>
      <c r="DI417" s="33"/>
      <c r="DJ417" s="33"/>
      <c r="DK417" s="33"/>
      <c r="DL417" s="33"/>
      <c r="DM417" s="34">
        <v>240</v>
      </c>
      <c r="DN417" s="34"/>
      <c r="DO417" s="33"/>
      <c r="DP417" s="33">
        <v>980</v>
      </c>
      <c r="DQ417" s="33" t="s">
        <v>209</v>
      </c>
      <c r="DR417" s="33" t="s">
        <v>224</v>
      </c>
      <c r="DS417" s="33"/>
      <c r="DT417" s="33" t="s">
        <v>227</v>
      </c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8"/>
    </row>
    <row r="418" spans="2:137" ht="13.2">
      <c r="B418" s="30" t="str">
        <f t="shared" si="14"/>
        <v>2024/5</v>
      </c>
      <c r="C418" s="31">
        <f t="shared" si="15"/>
        <v>480</v>
      </c>
      <c r="D418" s="32">
        <v>45421</v>
      </c>
      <c r="E418" s="33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3"/>
      <c r="R418" s="33"/>
      <c r="S418" s="33"/>
      <c r="T418" s="33"/>
      <c r="U418" s="35"/>
      <c r="V418" s="36"/>
      <c r="W418" s="37"/>
      <c r="X418" s="34"/>
      <c r="Y418" s="33"/>
      <c r="Z418" s="33"/>
      <c r="AA418" s="33"/>
      <c r="AB418" s="35"/>
      <c r="AC418" s="34"/>
      <c r="AD418" s="34"/>
      <c r="AE418" s="34"/>
      <c r="AF418" s="34"/>
      <c r="AG418" s="34"/>
      <c r="AH418" s="33"/>
      <c r="AI418" s="33"/>
      <c r="AJ418" s="34"/>
      <c r="AK418" s="33"/>
      <c r="AL418" s="33"/>
      <c r="AM418" s="33"/>
      <c r="AN418" s="34"/>
      <c r="AO418" s="34"/>
      <c r="AP418" s="33"/>
      <c r="AQ418" s="34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4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5"/>
      <c r="CC418" s="33"/>
      <c r="CD418" s="33"/>
      <c r="CE418" s="33"/>
      <c r="CF418" s="34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 t="s">
        <v>224</v>
      </c>
      <c r="CY418" s="33"/>
      <c r="CZ418" s="34">
        <v>220</v>
      </c>
      <c r="DA418" s="33"/>
      <c r="DB418" s="33">
        <v>260</v>
      </c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4"/>
      <c r="DN418" s="34" t="s">
        <v>207</v>
      </c>
      <c r="DO418" s="33"/>
      <c r="DP418" s="33" t="s">
        <v>209</v>
      </c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8"/>
    </row>
    <row r="419" spans="2:137" ht="13.2">
      <c r="B419" s="30" t="str">
        <f t="shared" si="14"/>
        <v>2024/5</v>
      </c>
      <c r="C419" s="31">
        <f t="shared" si="15"/>
        <v>1270</v>
      </c>
      <c r="D419" s="32">
        <v>45422</v>
      </c>
      <c r="E419" s="33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3"/>
      <c r="R419" s="33"/>
      <c r="S419" s="33"/>
      <c r="T419" s="33"/>
      <c r="U419" s="35"/>
      <c r="V419" s="36"/>
      <c r="W419" s="37"/>
      <c r="X419" s="34"/>
      <c r="Y419" s="33"/>
      <c r="Z419" s="33"/>
      <c r="AA419" s="33"/>
      <c r="AB419" s="35"/>
      <c r="AC419" s="34"/>
      <c r="AD419" s="34"/>
      <c r="AE419" s="34"/>
      <c r="AF419" s="34"/>
      <c r="AG419" s="34"/>
      <c r="AH419" s="33"/>
      <c r="AI419" s="33"/>
      <c r="AJ419" s="34"/>
      <c r="AK419" s="33"/>
      <c r="AL419" s="33"/>
      <c r="AM419" s="33"/>
      <c r="AN419" s="34"/>
      <c r="AO419" s="34"/>
      <c r="AP419" s="33"/>
      <c r="AQ419" s="34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4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5"/>
      <c r="CC419" s="33"/>
      <c r="CD419" s="33"/>
      <c r="CE419" s="33"/>
      <c r="CF419" s="34">
        <v>460</v>
      </c>
      <c r="CG419" s="33"/>
      <c r="CH419" s="33">
        <v>280</v>
      </c>
      <c r="CI419" s="33">
        <v>280</v>
      </c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>
        <v>250</v>
      </c>
      <c r="CW419" s="33"/>
      <c r="CX419" s="33"/>
      <c r="CY419" s="33"/>
      <c r="CZ419" s="34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4"/>
      <c r="DN419" s="34"/>
      <c r="DO419" s="33"/>
      <c r="DP419" s="33"/>
      <c r="DQ419" s="33" t="s">
        <v>206</v>
      </c>
      <c r="DR419" s="33"/>
      <c r="DS419" s="33"/>
      <c r="DT419" s="33" t="s">
        <v>227</v>
      </c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8"/>
    </row>
    <row r="420" spans="2:137" ht="13.2">
      <c r="B420" s="30" t="str">
        <f t="shared" si="14"/>
        <v>2024/5</v>
      </c>
      <c r="C420" s="31">
        <f t="shared" si="15"/>
        <v>3020</v>
      </c>
      <c r="D420" s="32">
        <v>45426</v>
      </c>
      <c r="E420" s="33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3"/>
      <c r="R420" s="33"/>
      <c r="S420" s="33"/>
      <c r="T420" s="33"/>
      <c r="U420" s="35"/>
      <c r="V420" s="36"/>
      <c r="W420" s="37"/>
      <c r="X420" s="34"/>
      <c r="Y420" s="33"/>
      <c r="Z420" s="33"/>
      <c r="AA420" s="33"/>
      <c r="AB420" s="35"/>
      <c r="AC420" s="34"/>
      <c r="AD420" s="34"/>
      <c r="AE420" s="34"/>
      <c r="AF420" s="34"/>
      <c r="AG420" s="34"/>
      <c r="AH420" s="33"/>
      <c r="AI420" s="33"/>
      <c r="AJ420" s="34"/>
      <c r="AK420" s="33"/>
      <c r="AL420" s="33"/>
      <c r="AM420" s="33"/>
      <c r="AN420" s="34"/>
      <c r="AO420" s="34"/>
      <c r="AP420" s="33"/>
      <c r="AQ420" s="34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4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5"/>
      <c r="CC420" s="33"/>
      <c r="CD420" s="33"/>
      <c r="CE420" s="33"/>
      <c r="CF420" s="34"/>
      <c r="CG420" s="33"/>
      <c r="CH420" s="33"/>
      <c r="CI420" s="33"/>
      <c r="CJ420" s="33"/>
      <c r="CK420" s="33"/>
      <c r="CL420" s="33"/>
      <c r="CM420" s="33"/>
      <c r="CN420" s="33">
        <v>280</v>
      </c>
      <c r="CO420" s="33"/>
      <c r="CP420" s="33"/>
      <c r="CQ420" s="33"/>
      <c r="CR420" s="33">
        <v>880</v>
      </c>
      <c r="CS420" s="33"/>
      <c r="CT420" s="33"/>
      <c r="CU420" s="33"/>
      <c r="CV420" s="33"/>
      <c r="CW420" s="33"/>
      <c r="CX420" s="33"/>
      <c r="CY420" s="33"/>
      <c r="CZ420" s="34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4"/>
      <c r="DN420" s="34"/>
      <c r="DO420" s="33" t="s">
        <v>227</v>
      </c>
      <c r="DP420" s="33"/>
      <c r="DQ420" s="33"/>
      <c r="DR420" s="33"/>
      <c r="DS420" s="33">
        <v>260</v>
      </c>
      <c r="DT420" s="33" t="s">
        <v>227</v>
      </c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>
        <v>1600</v>
      </c>
      <c r="EF420" s="33"/>
      <c r="EG420" s="38"/>
    </row>
    <row r="421" spans="2:137" ht="13.2">
      <c r="B421" s="30" t="str">
        <f t="shared" si="14"/>
        <v>2024/5</v>
      </c>
      <c r="C421" s="31">
        <f t="shared" si="15"/>
        <v>2900</v>
      </c>
      <c r="D421" s="32">
        <v>45427</v>
      </c>
      <c r="E421" s="33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3"/>
      <c r="R421" s="33"/>
      <c r="S421" s="33"/>
      <c r="T421" s="33"/>
      <c r="U421" s="35"/>
      <c r="V421" s="36"/>
      <c r="W421" s="37"/>
      <c r="X421" s="34"/>
      <c r="Y421" s="33"/>
      <c r="Z421" s="33"/>
      <c r="AA421" s="33"/>
      <c r="AB421" s="35"/>
      <c r="AC421" s="34"/>
      <c r="AD421" s="34"/>
      <c r="AE421" s="34"/>
      <c r="AF421" s="34"/>
      <c r="AG421" s="34"/>
      <c r="AH421" s="33"/>
      <c r="AI421" s="33"/>
      <c r="AJ421" s="34"/>
      <c r="AK421" s="33"/>
      <c r="AL421" s="33"/>
      <c r="AM421" s="33"/>
      <c r="AN421" s="34"/>
      <c r="AO421" s="34"/>
      <c r="AP421" s="33"/>
      <c r="AQ421" s="34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4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5"/>
      <c r="CC421" s="33"/>
      <c r="CD421" s="33"/>
      <c r="CE421" s="33" t="s">
        <v>227</v>
      </c>
      <c r="CF421" s="34"/>
      <c r="CG421" s="33"/>
      <c r="CH421" s="33">
        <v>280</v>
      </c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>
        <v>520</v>
      </c>
      <c r="CV421" s="33"/>
      <c r="CW421" s="33"/>
      <c r="CX421" s="33">
        <v>1080</v>
      </c>
      <c r="CY421" s="33"/>
      <c r="CZ421" s="34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4">
        <v>240</v>
      </c>
      <c r="DN421" s="34"/>
      <c r="DO421" s="33"/>
      <c r="DP421" s="33"/>
      <c r="DQ421" s="33" t="s">
        <v>207</v>
      </c>
      <c r="DR421" s="33" t="s">
        <v>209</v>
      </c>
      <c r="DS421" s="33"/>
      <c r="DT421" s="33">
        <v>780</v>
      </c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8"/>
    </row>
    <row r="422" spans="2:137" ht="13.2">
      <c r="B422" s="30" t="str">
        <f t="shared" si="14"/>
        <v>2024/5</v>
      </c>
      <c r="C422" s="31">
        <f t="shared" si="15"/>
        <v>410</v>
      </c>
      <c r="D422" s="32">
        <v>45428</v>
      </c>
      <c r="E422" s="33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3"/>
      <c r="R422" s="33"/>
      <c r="S422" s="33"/>
      <c r="T422" s="33"/>
      <c r="U422" s="35"/>
      <c r="V422" s="36"/>
      <c r="W422" s="37"/>
      <c r="X422" s="34"/>
      <c r="Y422" s="33"/>
      <c r="Z422" s="33"/>
      <c r="AA422" s="33"/>
      <c r="AB422" s="35"/>
      <c r="AC422" s="34"/>
      <c r="AD422" s="34"/>
      <c r="AE422" s="34"/>
      <c r="AF422" s="34"/>
      <c r="AG422" s="34"/>
      <c r="AH422" s="33"/>
      <c r="AI422" s="33"/>
      <c r="AJ422" s="34"/>
      <c r="AK422" s="33"/>
      <c r="AL422" s="33"/>
      <c r="AM422" s="33"/>
      <c r="AN422" s="34"/>
      <c r="AO422" s="34"/>
      <c r="AP422" s="33"/>
      <c r="AQ422" s="34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4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5"/>
      <c r="CC422" s="33">
        <v>260</v>
      </c>
      <c r="CD422" s="33"/>
      <c r="CE422" s="33"/>
      <c r="CF422" s="34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 t="s">
        <v>209</v>
      </c>
      <c r="CY422" s="33"/>
      <c r="CZ422" s="34"/>
      <c r="DA422" s="33"/>
      <c r="DB422" s="33">
        <v>150</v>
      </c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4"/>
      <c r="DN422" s="34" t="s">
        <v>224</v>
      </c>
      <c r="DO422" s="33"/>
      <c r="DP422" s="33" t="s">
        <v>206</v>
      </c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8"/>
    </row>
    <row r="423" spans="2:137" ht="13.2">
      <c r="B423" s="30" t="str">
        <f t="shared" si="14"/>
        <v>2024/5</v>
      </c>
      <c r="C423" s="31">
        <f t="shared" si="15"/>
        <v>3720</v>
      </c>
      <c r="D423" s="32">
        <v>45429</v>
      </c>
      <c r="E423" s="33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3"/>
      <c r="R423" s="33"/>
      <c r="S423" s="33"/>
      <c r="T423" s="33"/>
      <c r="U423" s="35"/>
      <c r="V423" s="36"/>
      <c r="W423" s="37"/>
      <c r="X423" s="34"/>
      <c r="Y423" s="33"/>
      <c r="Z423" s="33"/>
      <c r="AA423" s="33"/>
      <c r="AB423" s="35"/>
      <c r="AC423" s="34"/>
      <c r="AD423" s="34"/>
      <c r="AE423" s="34"/>
      <c r="AF423" s="34"/>
      <c r="AG423" s="34"/>
      <c r="AH423" s="33"/>
      <c r="AI423" s="33"/>
      <c r="AJ423" s="34"/>
      <c r="AK423" s="33"/>
      <c r="AL423" s="33"/>
      <c r="AM423" s="33"/>
      <c r="AN423" s="34"/>
      <c r="AO423" s="34"/>
      <c r="AP423" s="33"/>
      <c r="AQ423" s="34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4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5"/>
      <c r="CC423" s="33"/>
      <c r="CD423" s="33"/>
      <c r="CE423" s="33"/>
      <c r="CF423" s="34"/>
      <c r="CG423" s="33">
        <v>260</v>
      </c>
      <c r="CH423" s="33"/>
      <c r="CI423" s="33">
        <v>280</v>
      </c>
      <c r="CJ423" s="33"/>
      <c r="CK423" s="33">
        <v>275</v>
      </c>
      <c r="CL423" s="33">
        <v>275</v>
      </c>
      <c r="CM423" s="33"/>
      <c r="CN423" s="33">
        <v>280</v>
      </c>
      <c r="CO423" s="33"/>
      <c r="CP423" s="33"/>
      <c r="CQ423" s="33"/>
      <c r="CR423" s="33" t="s">
        <v>212</v>
      </c>
      <c r="CS423" s="33"/>
      <c r="CT423" s="33"/>
      <c r="CU423" s="33"/>
      <c r="CV423" s="33">
        <v>250</v>
      </c>
      <c r="CW423" s="33"/>
      <c r="CX423" s="33" t="s">
        <v>206</v>
      </c>
      <c r="CY423" s="33"/>
      <c r="CZ423" s="34"/>
      <c r="DA423" s="33"/>
      <c r="DB423" s="33"/>
      <c r="DC423" s="33"/>
      <c r="DD423" s="33"/>
      <c r="DE423" s="33"/>
      <c r="DF423" s="33"/>
      <c r="DG423" s="33"/>
      <c r="DH423" s="33">
        <v>260</v>
      </c>
      <c r="DI423" s="33"/>
      <c r="DJ423" s="33"/>
      <c r="DK423" s="33"/>
      <c r="DL423" s="33"/>
      <c r="DM423" s="34"/>
      <c r="DN423" s="34">
        <v>800</v>
      </c>
      <c r="DO423" s="33"/>
      <c r="DP423" s="33"/>
      <c r="DQ423" s="33"/>
      <c r="DR423" s="33">
        <v>1040</v>
      </c>
      <c r="DS423" s="33"/>
      <c r="DT423" s="33" t="s">
        <v>227</v>
      </c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8"/>
    </row>
    <row r="424" spans="2:137" ht="13.2">
      <c r="B424" s="30" t="str">
        <f t="shared" si="14"/>
        <v>2024/5</v>
      </c>
      <c r="C424" s="31">
        <f t="shared" si="15"/>
        <v>788.45</v>
      </c>
      <c r="D424" s="32">
        <v>45432</v>
      </c>
      <c r="E424" s="33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3"/>
      <c r="R424" s="33"/>
      <c r="S424" s="33"/>
      <c r="T424" s="33"/>
      <c r="U424" s="35"/>
      <c r="V424" s="36"/>
      <c r="W424" s="37"/>
      <c r="X424" s="34"/>
      <c r="Y424" s="33"/>
      <c r="Z424" s="33"/>
      <c r="AA424" s="33"/>
      <c r="AB424" s="35"/>
      <c r="AC424" s="34"/>
      <c r="AD424" s="34"/>
      <c r="AE424" s="34"/>
      <c r="AF424" s="34"/>
      <c r="AG424" s="34"/>
      <c r="AH424" s="33"/>
      <c r="AI424" s="33"/>
      <c r="AJ424" s="34"/>
      <c r="AK424" s="33"/>
      <c r="AL424" s="33"/>
      <c r="AM424" s="33"/>
      <c r="AN424" s="34"/>
      <c r="AO424" s="34"/>
      <c r="AP424" s="33"/>
      <c r="AQ424" s="34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4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5"/>
      <c r="CC424" s="33"/>
      <c r="CD424" s="33"/>
      <c r="CE424" s="33" t="s">
        <v>227</v>
      </c>
      <c r="CF424" s="34"/>
      <c r="CG424" s="33">
        <v>260</v>
      </c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>
        <v>268.45</v>
      </c>
      <c r="CV424" s="33"/>
      <c r="CW424" s="33"/>
      <c r="CX424" s="33"/>
      <c r="CY424" s="33"/>
      <c r="CZ424" s="34"/>
      <c r="DA424" s="33"/>
      <c r="DB424" s="33"/>
      <c r="DC424" s="33"/>
      <c r="DD424" s="33"/>
      <c r="DE424" s="33"/>
      <c r="DF424" s="33"/>
      <c r="DG424" s="33"/>
      <c r="DH424" s="33">
        <v>260</v>
      </c>
      <c r="DI424" s="33"/>
      <c r="DJ424" s="33"/>
      <c r="DK424" s="33"/>
      <c r="DL424" s="33"/>
      <c r="DM424" s="34"/>
      <c r="DN424" s="34" t="s">
        <v>210</v>
      </c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8"/>
    </row>
    <row r="425" spans="2:137" ht="13.2">
      <c r="B425" s="30" t="str">
        <f t="shared" si="14"/>
        <v>2024/5</v>
      </c>
      <c r="C425" s="31">
        <f t="shared" si="15"/>
        <v>1600</v>
      </c>
      <c r="D425" s="32">
        <v>45433</v>
      </c>
      <c r="E425" s="33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3"/>
      <c r="R425" s="33"/>
      <c r="S425" s="33"/>
      <c r="T425" s="33"/>
      <c r="U425" s="35"/>
      <c r="V425" s="36"/>
      <c r="W425" s="37"/>
      <c r="X425" s="34"/>
      <c r="Y425" s="33"/>
      <c r="Z425" s="33"/>
      <c r="AA425" s="33"/>
      <c r="AB425" s="35"/>
      <c r="AC425" s="34"/>
      <c r="AD425" s="34"/>
      <c r="AE425" s="34"/>
      <c r="AF425" s="34"/>
      <c r="AG425" s="34"/>
      <c r="AH425" s="33"/>
      <c r="AI425" s="33"/>
      <c r="AJ425" s="34"/>
      <c r="AK425" s="33"/>
      <c r="AL425" s="33"/>
      <c r="AM425" s="33"/>
      <c r="AN425" s="34"/>
      <c r="AO425" s="34"/>
      <c r="AP425" s="33"/>
      <c r="AQ425" s="34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4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5"/>
      <c r="CC425" s="33">
        <v>260</v>
      </c>
      <c r="CD425" s="33"/>
      <c r="CE425" s="33">
        <v>560</v>
      </c>
      <c r="CF425" s="34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 t="s">
        <v>207</v>
      </c>
      <c r="CY425" s="33"/>
      <c r="CZ425" s="34"/>
      <c r="DA425" s="33"/>
      <c r="DB425" s="33">
        <v>260</v>
      </c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4"/>
      <c r="DN425" s="34"/>
      <c r="DO425" s="33"/>
      <c r="DP425" s="33"/>
      <c r="DQ425" s="33"/>
      <c r="DR425" s="33"/>
      <c r="DS425" s="33"/>
      <c r="DT425" s="33">
        <v>520</v>
      </c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8"/>
    </row>
    <row r="426" spans="2:137" ht="13.2">
      <c r="B426" s="30" t="str">
        <f t="shared" si="14"/>
        <v>2024/5</v>
      </c>
      <c r="C426" s="31">
        <f t="shared" si="15"/>
        <v>2040</v>
      </c>
      <c r="D426" s="32">
        <v>45434</v>
      </c>
      <c r="E426" s="33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3"/>
      <c r="R426" s="33"/>
      <c r="S426" s="33"/>
      <c r="T426" s="33"/>
      <c r="U426" s="35"/>
      <c r="V426" s="36"/>
      <c r="W426" s="37"/>
      <c r="X426" s="34"/>
      <c r="Y426" s="33"/>
      <c r="Z426" s="33"/>
      <c r="AA426" s="33"/>
      <c r="AB426" s="35"/>
      <c r="AC426" s="34"/>
      <c r="AD426" s="34"/>
      <c r="AE426" s="34"/>
      <c r="AF426" s="34"/>
      <c r="AG426" s="34"/>
      <c r="AH426" s="33"/>
      <c r="AI426" s="33"/>
      <c r="AJ426" s="34"/>
      <c r="AK426" s="33"/>
      <c r="AL426" s="33"/>
      <c r="AM426" s="33"/>
      <c r="AN426" s="34"/>
      <c r="AO426" s="34"/>
      <c r="AP426" s="33"/>
      <c r="AQ426" s="34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4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5"/>
      <c r="CC426" s="33"/>
      <c r="CD426" s="33"/>
      <c r="CE426" s="33"/>
      <c r="CF426" s="34"/>
      <c r="CG426" s="33"/>
      <c r="CH426" s="33">
        <v>280</v>
      </c>
      <c r="CI426" s="33"/>
      <c r="CJ426" s="33"/>
      <c r="CK426" s="33">
        <v>275</v>
      </c>
      <c r="CL426" s="33">
        <v>275</v>
      </c>
      <c r="CM426" s="33"/>
      <c r="CN426" s="33" t="s">
        <v>227</v>
      </c>
      <c r="CO426" s="33"/>
      <c r="CP426" s="33"/>
      <c r="CQ426" s="33"/>
      <c r="CR426" s="33" t="s">
        <v>207</v>
      </c>
      <c r="CS426" s="33"/>
      <c r="CT426" s="33"/>
      <c r="CU426" s="33"/>
      <c r="CV426" s="33">
        <v>250</v>
      </c>
      <c r="CW426" s="33"/>
      <c r="CX426" s="33"/>
      <c r="CY426" s="33"/>
      <c r="CZ426" s="34"/>
      <c r="DA426" s="33"/>
      <c r="DB426" s="33">
        <v>260</v>
      </c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4">
        <v>240</v>
      </c>
      <c r="DN426" s="34"/>
      <c r="DO426" s="33">
        <v>200</v>
      </c>
      <c r="DP426" s="33" t="s">
        <v>207</v>
      </c>
      <c r="DQ426" s="33" t="s">
        <v>208</v>
      </c>
      <c r="DR426" s="33" t="s">
        <v>212</v>
      </c>
      <c r="DS426" s="33">
        <v>260</v>
      </c>
      <c r="DT426" s="33" t="s">
        <v>227</v>
      </c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8"/>
    </row>
    <row r="427" spans="2:137" ht="13.2">
      <c r="B427" s="30" t="str">
        <f t="shared" si="14"/>
        <v>2024/5</v>
      </c>
      <c r="C427" s="31">
        <f t="shared" si="15"/>
        <v>980</v>
      </c>
      <c r="D427" s="32">
        <v>45441</v>
      </c>
      <c r="E427" s="33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3"/>
      <c r="R427" s="33"/>
      <c r="S427" s="33"/>
      <c r="T427" s="33"/>
      <c r="U427" s="35"/>
      <c r="V427" s="36"/>
      <c r="W427" s="37"/>
      <c r="X427" s="34"/>
      <c r="Y427" s="33"/>
      <c r="Z427" s="33"/>
      <c r="AA427" s="33"/>
      <c r="AB427" s="35"/>
      <c r="AC427" s="34"/>
      <c r="AD427" s="34"/>
      <c r="AE427" s="34"/>
      <c r="AF427" s="34"/>
      <c r="AG427" s="34"/>
      <c r="AH427" s="33"/>
      <c r="AI427" s="33"/>
      <c r="AJ427" s="34"/>
      <c r="AK427" s="33"/>
      <c r="AL427" s="33"/>
      <c r="AM427" s="33"/>
      <c r="AN427" s="34"/>
      <c r="AO427" s="34"/>
      <c r="AP427" s="33"/>
      <c r="AQ427" s="34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4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5">
        <v>200</v>
      </c>
      <c r="CC427" s="33"/>
      <c r="CD427" s="33"/>
      <c r="CE427" s="33" t="s">
        <v>227</v>
      </c>
      <c r="CF427" s="34"/>
      <c r="CG427" s="33"/>
      <c r="CH427" s="33"/>
      <c r="CI427" s="33">
        <v>280</v>
      </c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4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4">
        <v>240</v>
      </c>
      <c r="DN427" s="34"/>
      <c r="DO427" s="33"/>
      <c r="DP427" s="33" t="s">
        <v>208</v>
      </c>
      <c r="DQ427" s="33" t="s">
        <v>231</v>
      </c>
      <c r="DR427" s="33" t="s">
        <v>207</v>
      </c>
      <c r="DS427" s="33">
        <v>260</v>
      </c>
      <c r="DT427" s="33" t="s">
        <v>227</v>
      </c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8"/>
    </row>
    <row r="428" spans="2:137" ht="13.2">
      <c r="B428" s="30" t="str">
        <f t="shared" si="14"/>
        <v>2024/5</v>
      </c>
      <c r="C428" s="31">
        <f t="shared" si="15"/>
        <v>1320</v>
      </c>
      <c r="D428" s="32">
        <v>45443</v>
      </c>
      <c r="E428" s="33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3"/>
      <c r="R428" s="33"/>
      <c r="S428" s="33"/>
      <c r="T428" s="33"/>
      <c r="U428" s="35"/>
      <c r="V428" s="36"/>
      <c r="W428" s="37"/>
      <c r="X428" s="34"/>
      <c r="Y428" s="33"/>
      <c r="Z428" s="33"/>
      <c r="AA428" s="33"/>
      <c r="AB428" s="35"/>
      <c r="AC428" s="34"/>
      <c r="AD428" s="34"/>
      <c r="AE428" s="34"/>
      <c r="AF428" s="34"/>
      <c r="AG428" s="34"/>
      <c r="AH428" s="33"/>
      <c r="AI428" s="33"/>
      <c r="AJ428" s="34"/>
      <c r="AK428" s="33"/>
      <c r="AL428" s="33"/>
      <c r="AM428" s="33"/>
      <c r="AN428" s="34"/>
      <c r="AO428" s="34"/>
      <c r="AP428" s="33"/>
      <c r="AQ428" s="34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4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5"/>
      <c r="CC428" s="33"/>
      <c r="CD428" s="33"/>
      <c r="CE428" s="33"/>
      <c r="CF428" s="34" t="s">
        <v>227</v>
      </c>
      <c r="CG428" s="33"/>
      <c r="CH428" s="33"/>
      <c r="CI428" s="33"/>
      <c r="CJ428" s="33"/>
      <c r="CK428" s="33">
        <v>275</v>
      </c>
      <c r="CL428" s="33">
        <v>275</v>
      </c>
      <c r="CM428" s="33"/>
      <c r="CN428" s="33"/>
      <c r="CO428" s="33"/>
      <c r="CP428" s="33"/>
      <c r="CQ428" s="33"/>
      <c r="CR428" s="33" t="s">
        <v>242</v>
      </c>
      <c r="CS428" s="33"/>
      <c r="CT428" s="33"/>
      <c r="CU428" s="33"/>
      <c r="CV428" s="33">
        <v>250</v>
      </c>
      <c r="CW428" s="33"/>
      <c r="CX428" s="33" t="s">
        <v>208</v>
      </c>
      <c r="CY428" s="33"/>
      <c r="CZ428" s="34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4"/>
      <c r="DN428" s="34"/>
      <c r="DO428" s="33"/>
      <c r="DP428" s="33"/>
      <c r="DQ428" s="33"/>
      <c r="DR428" s="33"/>
      <c r="DS428" s="33"/>
      <c r="DT428" s="33">
        <v>520</v>
      </c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8"/>
    </row>
    <row r="429" spans="2:137" ht="13.2">
      <c r="B429" s="30" t="str">
        <f t="shared" si="14"/>
        <v>2024/6</v>
      </c>
      <c r="C429" s="31">
        <f t="shared" si="15"/>
        <v>1940</v>
      </c>
      <c r="D429" s="32">
        <v>45447</v>
      </c>
      <c r="E429" s="33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3"/>
      <c r="R429" s="33"/>
      <c r="S429" s="33"/>
      <c r="T429" s="33"/>
      <c r="U429" s="35"/>
      <c r="V429" s="36"/>
      <c r="W429" s="37"/>
      <c r="X429" s="34"/>
      <c r="Y429" s="33"/>
      <c r="Z429" s="33"/>
      <c r="AA429" s="33"/>
      <c r="AB429" s="35"/>
      <c r="AC429" s="34"/>
      <c r="AD429" s="34"/>
      <c r="AE429" s="34"/>
      <c r="AF429" s="34"/>
      <c r="AG429" s="34"/>
      <c r="AH429" s="33"/>
      <c r="AI429" s="33"/>
      <c r="AJ429" s="34"/>
      <c r="AK429" s="33"/>
      <c r="AL429" s="33"/>
      <c r="AM429" s="33"/>
      <c r="AN429" s="34"/>
      <c r="AO429" s="34"/>
      <c r="AP429" s="33"/>
      <c r="AQ429" s="34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4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5"/>
      <c r="CC429" s="33"/>
      <c r="CD429" s="33"/>
      <c r="CE429" s="33"/>
      <c r="CF429" s="34"/>
      <c r="CG429" s="33"/>
      <c r="CH429" s="33">
        <v>280</v>
      </c>
      <c r="CI429" s="33"/>
      <c r="CJ429" s="33"/>
      <c r="CK429" s="33"/>
      <c r="CL429" s="33"/>
      <c r="CM429" s="33"/>
      <c r="CN429" s="33">
        <v>280</v>
      </c>
      <c r="CO429" s="33"/>
      <c r="CP429" s="33"/>
      <c r="CQ429" s="33"/>
      <c r="CR429" s="33"/>
      <c r="CS429" s="33"/>
      <c r="CT429" s="33"/>
      <c r="CU429" s="33"/>
      <c r="CV429" s="33"/>
      <c r="CW429" s="33"/>
      <c r="CX429" s="33" t="s">
        <v>243</v>
      </c>
      <c r="CY429" s="33"/>
      <c r="CZ429" s="34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4"/>
      <c r="DN429" s="34"/>
      <c r="DO429" s="33" t="s">
        <v>227</v>
      </c>
      <c r="DP429" s="33"/>
      <c r="DQ429" s="33">
        <v>1120</v>
      </c>
      <c r="DR429" s="33" t="s">
        <v>224</v>
      </c>
      <c r="DS429" s="33">
        <v>260</v>
      </c>
      <c r="DT429" s="33" t="s">
        <v>227</v>
      </c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8"/>
    </row>
    <row r="430" spans="2:137" ht="13.2">
      <c r="B430" s="30" t="str">
        <f t="shared" si="14"/>
        <v>2024/6</v>
      </c>
      <c r="C430" s="31">
        <f t="shared" si="15"/>
        <v>1838.45</v>
      </c>
      <c r="D430" s="32">
        <v>45448</v>
      </c>
      <c r="E430" s="33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3"/>
      <c r="R430" s="33"/>
      <c r="S430" s="33"/>
      <c r="T430" s="33"/>
      <c r="U430" s="35"/>
      <c r="V430" s="36"/>
      <c r="W430" s="37"/>
      <c r="X430" s="34"/>
      <c r="Y430" s="33"/>
      <c r="Z430" s="33"/>
      <c r="AA430" s="33"/>
      <c r="AB430" s="35"/>
      <c r="AC430" s="34"/>
      <c r="AD430" s="34"/>
      <c r="AE430" s="34"/>
      <c r="AF430" s="34"/>
      <c r="AG430" s="34"/>
      <c r="AH430" s="33"/>
      <c r="AI430" s="33"/>
      <c r="AJ430" s="34"/>
      <c r="AK430" s="33"/>
      <c r="AL430" s="33"/>
      <c r="AM430" s="33"/>
      <c r="AN430" s="34"/>
      <c r="AO430" s="34"/>
      <c r="AP430" s="33"/>
      <c r="AQ430" s="34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4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5"/>
      <c r="CC430" s="33"/>
      <c r="CD430" s="33"/>
      <c r="CE430" s="33" t="s">
        <v>227</v>
      </c>
      <c r="CF430" s="34"/>
      <c r="CG430" s="33"/>
      <c r="CH430" s="33"/>
      <c r="CI430" s="33"/>
      <c r="CJ430" s="33"/>
      <c r="CK430" s="33">
        <v>275</v>
      </c>
      <c r="CL430" s="33">
        <v>275</v>
      </c>
      <c r="CM430" s="33"/>
      <c r="CN430" s="33">
        <v>280</v>
      </c>
      <c r="CO430" s="33"/>
      <c r="CP430" s="33"/>
      <c r="CQ430" s="33"/>
      <c r="CR430" s="33"/>
      <c r="CS430" s="33"/>
      <c r="CT430" s="33"/>
      <c r="CU430" s="33">
        <v>268.45</v>
      </c>
      <c r="CV430" s="33"/>
      <c r="CW430" s="33"/>
      <c r="CX430" s="33"/>
      <c r="CY430" s="33">
        <v>280</v>
      </c>
      <c r="CZ430" s="34">
        <v>220</v>
      </c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4">
        <v>240</v>
      </c>
      <c r="DN430" s="34"/>
      <c r="DO430" s="33"/>
      <c r="DP430" s="33"/>
      <c r="DQ430" s="33"/>
      <c r="DR430" s="33"/>
      <c r="DS430" s="33"/>
      <c r="DT430" s="33" t="s">
        <v>227</v>
      </c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8"/>
    </row>
    <row r="431" spans="2:137" ht="13.2">
      <c r="B431" s="30" t="str">
        <f t="shared" si="14"/>
        <v>2024/6</v>
      </c>
      <c r="C431" s="31">
        <f t="shared" si="15"/>
        <v>1280</v>
      </c>
      <c r="D431" s="32">
        <v>45449</v>
      </c>
      <c r="E431" s="33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3"/>
      <c r="R431" s="33"/>
      <c r="S431" s="33"/>
      <c r="T431" s="33"/>
      <c r="U431" s="35"/>
      <c r="V431" s="36"/>
      <c r="W431" s="37"/>
      <c r="X431" s="34"/>
      <c r="Y431" s="33"/>
      <c r="Z431" s="33"/>
      <c r="AA431" s="33"/>
      <c r="AB431" s="35"/>
      <c r="AC431" s="34"/>
      <c r="AD431" s="34"/>
      <c r="AE431" s="34"/>
      <c r="AF431" s="34"/>
      <c r="AG431" s="34"/>
      <c r="AH431" s="33"/>
      <c r="AI431" s="33"/>
      <c r="AJ431" s="34"/>
      <c r="AK431" s="33"/>
      <c r="AL431" s="33"/>
      <c r="AM431" s="33"/>
      <c r="AN431" s="34"/>
      <c r="AO431" s="34"/>
      <c r="AP431" s="33"/>
      <c r="AQ431" s="34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4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5"/>
      <c r="CC431" s="33"/>
      <c r="CD431" s="33"/>
      <c r="CE431" s="33"/>
      <c r="CF431" s="34">
        <v>460</v>
      </c>
      <c r="CG431" s="33"/>
      <c r="CH431" s="33">
        <v>280</v>
      </c>
      <c r="CI431" s="33"/>
      <c r="CJ431" s="33"/>
      <c r="CK431" s="33"/>
      <c r="CL431" s="33"/>
      <c r="CM431" s="33"/>
      <c r="CN431" s="33">
        <v>280</v>
      </c>
      <c r="CO431" s="33"/>
      <c r="CP431" s="33"/>
      <c r="CQ431" s="33"/>
      <c r="CR431" s="33"/>
      <c r="CS431" s="33"/>
      <c r="CT431" s="33"/>
      <c r="CU431" s="33"/>
      <c r="CV431" s="33"/>
      <c r="CW431" s="33"/>
      <c r="CX431" s="33" t="s">
        <v>244</v>
      </c>
      <c r="CY431" s="33"/>
      <c r="CZ431" s="34"/>
      <c r="DA431" s="33"/>
      <c r="DB431" s="33" t="s">
        <v>227</v>
      </c>
      <c r="DC431" s="33"/>
      <c r="DD431" s="33"/>
      <c r="DE431" s="33"/>
      <c r="DF431" s="33"/>
      <c r="DG431" s="33"/>
      <c r="DH431" s="33">
        <v>260</v>
      </c>
      <c r="DI431" s="33"/>
      <c r="DJ431" s="33"/>
      <c r="DK431" s="33"/>
      <c r="DL431" s="33"/>
      <c r="DM431" s="34"/>
      <c r="DN431" s="34" t="s">
        <v>226</v>
      </c>
      <c r="DO431" s="33"/>
      <c r="DP431" s="33" t="s">
        <v>210</v>
      </c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8"/>
    </row>
    <row r="432" spans="2:137" ht="13.2">
      <c r="B432" s="30" t="str">
        <f t="shared" si="14"/>
        <v>2024/6</v>
      </c>
      <c r="C432" s="31">
        <f t="shared" si="15"/>
        <v>1060</v>
      </c>
      <c r="D432" s="32">
        <v>45450</v>
      </c>
      <c r="E432" s="33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3"/>
      <c r="R432" s="33"/>
      <c r="S432" s="33"/>
      <c r="T432" s="33"/>
      <c r="U432" s="35"/>
      <c r="V432" s="36"/>
      <c r="W432" s="37"/>
      <c r="X432" s="34"/>
      <c r="Y432" s="33"/>
      <c r="Z432" s="33"/>
      <c r="AA432" s="33"/>
      <c r="AB432" s="35"/>
      <c r="AC432" s="34"/>
      <c r="AD432" s="34"/>
      <c r="AE432" s="34"/>
      <c r="AF432" s="34"/>
      <c r="AG432" s="34"/>
      <c r="AH432" s="33"/>
      <c r="AI432" s="33"/>
      <c r="AJ432" s="34"/>
      <c r="AK432" s="33"/>
      <c r="AL432" s="33"/>
      <c r="AM432" s="33"/>
      <c r="AN432" s="34"/>
      <c r="AO432" s="34"/>
      <c r="AP432" s="33"/>
      <c r="AQ432" s="34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4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5"/>
      <c r="CC432" s="33"/>
      <c r="CD432" s="33"/>
      <c r="CE432" s="33"/>
      <c r="CF432" s="34"/>
      <c r="CG432" s="33"/>
      <c r="CH432" s="33"/>
      <c r="CI432" s="33">
        <v>280</v>
      </c>
      <c r="CJ432" s="33"/>
      <c r="CK432" s="33"/>
      <c r="CL432" s="33"/>
      <c r="CM432" s="33"/>
      <c r="CN432" s="33"/>
      <c r="CO432" s="33"/>
      <c r="CP432" s="33"/>
      <c r="CQ432" s="33"/>
      <c r="CR432" s="33" t="s">
        <v>224</v>
      </c>
      <c r="CS432" s="33"/>
      <c r="CT432" s="33"/>
      <c r="CU432" s="33"/>
      <c r="CV432" s="33"/>
      <c r="CW432" s="33"/>
      <c r="CX432" s="33"/>
      <c r="CY432" s="33"/>
      <c r="CZ432" s="34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4"/>
      <c r="DN432" s="34"/>
      <c r="DO432" s="33"/>
      <c r="DP432" s="33"/>
      <c r="DQ432" s="33"/>
      <c r="DR432" s="33"/>
      <c r="DS432" s="33"/>
      <c r="DT432" s="33">
        <v>780</v>
      </c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8"/>
    </row>
    <row r="433" spans="2:137" ht="13.2">
      <c r="B433" s="30" t="str">
        <f t="shared" si="14"/>
        <v>2024/6</v>
      </c>
      <c r="C433" s="31">
        <f t="shared" si="15"/>
        <v>4690</v>
      </c>
      <c r="D433" s="32">
        <v>45454</v>
      </c>
      <c r="E433" s="33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3"/>
      <c r="R433" s="33"/>
      <c r="S433" s="33"/>
      <c r="T433" s="33"/>
      <c r="U433" s="35"/>
      <c r="V433" s="36"/>
      <c r="W433" s="37"/>
      <c r="X433" s="34"/>
      <c r="Y433" s="33"/>
      <c r="Z433" s="33"/>
      <c r="AA433" s="33"/>
      <c r="AB433" s="35"/>
      <c r="AC433" s="34"/>
      <c r="AD433" s="34"/>
      <c r="AE433" s="34"/>
      <c r="AF433" s="34"/>
      <c r="AG433" s="34"/>
      <c r="AH433" s="33"/>
      <c r="AI433" s="33"/>
      <c r="AJ433" s="34"/>
      <c r="AK433" s="33"/>
      <c r="AL433" s="33"/>
      <c r="AM433" s="33"/>
      <c r="AN433" s="34"/>
      <c r="AO433" s="34"/>
      <c r="AP433" s="33"/>
      <c r="AQ433" s="34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4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5"/>
      <c r="CC433" s="33"/>
      <c r="CD433" s="33"/>
      <c r="CE433" s="33">
        <v>1120</v>
      </c>
      <c r="CF433" s="34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>
        <v>250</v>
      </c>
      <c r="CW433" s="33"/>
      <c r="CX433" s="33" t="s">
        <v>245</v>
      </c>
      <c r="CY433" s="33">
        <v>280</v>
      </c>
      <c r="CZ433" s="34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4"/>
      <c r="DN433" s="34"/>
      <c r="DO433" s="33">
        <v>200</v>
      </c>
      <c r="DP433" s="33">
        <v>980</v>
      </c>
      <c r="DQ433" s="33"/>
      <c r="DR433" s="33"/>
      <c r="DS433" s="33">
        <v>260</v>
      </c>
      <c r="DT433" s="33" t="s">
        <v>227</v>
      </c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>
        <v>1600</v>
      </c>
      <c r="EF433" s="33"/>
      <c r="EG433" s="38"/>
    </row>
    <row r="434" spans="2:137" ht="13.2">
      <c r="B434" s="30" t="str">
        <f t="shared" si="14"/>
        <v>2024/6</v>
      </c>
      <c r="C434" s="31">
        <f t="shared" si="15"/>
        <v>1050</v>
      </c>
      <c r="D434" s="32">
        <v>45455</v>
      </c>
      <c r="E434" s="33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3"/>
      <c r="R434" s="33"/>
      <c r="S434" s="33"/>
      <c r="T434" s="33"/>
      <c r="U434" s="35"/>
      <c r="V434" s="36"/>
      <c r="W434" s="37"/>
      <c r="X434" s="34"/>
      <c r="Y434" s="33"/>
      <c r="Z434" s="33"/>
      <c r="AA434" s="33"/>
      <c r="AB434" s="35"/>
      <c r="AC434" s="34"/>
      <c r="AD434" s="34"/>
      <c r="AE434" s="34"/>
      <c r="AF434" s="34"/>
      <c r="AG434" s="34"/>
      <c r="AH434" s="33"/>
      <c r="AI434" s="33"/>
      <c r="AJ434" s="34"/>
      <c r="AK434" s="33"/>
      <c r="AL434" s="33"/>
      <c r="AM434" s="33"/>
      <c r="AN434" s="34"/>
      <c r="AO434" s="34"/>
      <c r="AP434" s="33"/>
      <c r="AQ434" s="34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4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5"/>
      <c r="CC434" s="33"/>
      <c r="CD434" s="33"/>
      <c r="CE434" s="33" t="s">
        <v>227</v>
      </c>
      <c r="CF434" s="34"/>
      <c r="CG434" s="33"/>
      <c r="CH434" s="33"/>
      <c r="CI434" s="33"/>
      <c r="CJ434" s="33"/>
      <c r="CK434" s="33">
        <v>275</v>
      </c>
      <c r="CL434" s="33">
        <v>275</v>
      </c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4"/>
      <c r="DA434" s="33"/>
      <c r="DB434" s="33"/>
      <c r="DC434" s="33"/>
      <c r="DD434" s="33"/>
      <c r="DE434" s="33"/>
      <c r="DF434" s="33"/>
      <c r="DG434" s="33"/>
      <c r="DH434" s="33">
        <v>260</v>
      </c>
      <c r="DI434" s="33"/>
      <c r="DJ434" s="33"/>
      <c r="DK434" s="33"/>
      <c r="DL434" s="33"/>
      <c r="DM434" s="34">
        <v>240</v>
      </c>
      <c r="DN434" s="34"/>
      <c r="DO434" s="33"/>
      <c r="DP434" s="33"/>
      <c r="DQ434" s="33" t="s">
        <v>209</v>
      </c>
      <c r="DR434" s="33" t="s">
        <v>246</v>
      </c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8"/>
    </row>
    <row r="435" spans="2:137" ht="13.2">
      <c r="B435" s="30" t="str">
        <f t="shared" si="14"/>
        <v>2024/6</v>
      </c>
      <c r="C435" s="31">
        <f t="shared" si="15"/>
        <v>2780</v>
      </c>
      <c r="D435" s="32">
        <v>45456</v>
      </c>
      <c r="E435" s="33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3"/>
      <c r="R435" s="33"/>
      <c r="S435" s="33"/>
      <c r="T435" s="33"/>
      <c r="U435" s="35"/>
      <c r="V435" s="36"/>
      <c r="W435" s="37"/>
      <c r="X435" s="34"/>
      <c r="Y435" s="33"/>
      <c r="Z435" s="33"/>
      <c r="AA435" s="33"/>
      <c r="AB435" s="35"/>
      <c r="AC435" s="34"/>
      <c r="AD435" s="34"/>
      <c r="AE435" s="34"/>
      <c r="AF435" s="34"/>
      <c r="AG435" s="34"/>
      <c r="AH435" s="33"/>
      <c r="AI435" s="33"/>
      <c r="AJ435" s="34"/>
      <c r="AK435" s="33"/>
      <c r="AL435" s="33"/>
      <c r="AM435" s="33"/>
      <c r="AN435" s="34"/>
      <c r="AO435" s="34"/>
      <c r="AP435" s="33"/>
      <c r="AQ435" s="34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4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5"/>
      <c r="CC435" s="33"/>
      <c r="CD435" s="33"/>
      <c r="CE435" s="33"/>
      <c r="CF435" s="34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 t="s">
        <v>235</v>
      </c>
      <c r="CY435" s="33"/>
      <c r="CZ435" s="34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4">
        <v>2000</v>
      </c>
      <c r="DN435" s="34" t="s">
        <v>214</v>
      </c>
      <c r="DO435" s="33"/>
      <c r="DP435" s="33" t="s">
        <v>206</v>
      </c>
      <c r="DQ435" s="33"/>
      <c r="DR435" s="33"/>
      <c r="DS435" s="33"/>
      <c r="DT435" s="33">
        <v>780</v>
      </c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8"/>
    </row>
    <row r="436" spans="2:137" ht="13.2">
      <c r="B436" s="30" t="str">
        <f t="shared" si="14"/>
        <v>2024/6</v>
      </c>
      <c r="C436" s="31">
        <f t="shared" si="15"/>
        <v>1350</v>
      </c>
      <c r="D436" s="32">
        <v>45457</v>
      </c>
      <c r="E436" s="33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3"/>
      <c r="R436" s="33"/>
      <c r="S436" s="33"/>
      <c r="T436" s="33"/>
      <c r="U436" s="35"/>
      <c r="V436" s="36"/>
      <c r="W436" s="37"/>
      <c r="X436" s="34"/>
      <c r="Y436" s="33"/>
      <c r="Z436" s="33"/>
      <c r="AA436" s="33"/>
      <c r="AB436" s="35"/>
      <c r="AC436" s="34"/>
      <c r="AD436" s="34"/>
      <c r="AE436" s="34"/>
      <c r="AF436" s="34"/>
      <c r="AG436" s="34"/>
      <c r="AH436" s="33"/>
      <c r="AI436" s="33"/>
      <c r="AJ436" s="34"/>
      <c r="AK436" s="33"/>
      <c r="AL436" s="33"/>
      <c r="AM436" s="33"/>
      <c r="AN436" s="34"/>
      <c r="AO436" s="34"/>
      <c r="AP436" s="33"/>
      <c r="AQ436" s="34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4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5"/>
      <c r="CC436" s="33"/>
      <c r="CD436" s="33"/>
      <c r="CE436" s="33"/>
      <c r="CF436" s="34"/>
      <c r="CG436" s="33">
        <v>260</v>
      </c>
      <c r="CH436" s="33">
        <v>280</v>
      </c>
      <c r="CI436" s="33">
        <v>280</v>
      </c>
      <c r="CJ436" s="33"/>
      <c r="CK436" s="33"/>
      <c r="CL436" s="33"/>
      <c r="CM436" s="33"/>
      <c r="CN436" s="33">
        <v>280</v>
      </c>
      <c r="CO436" s="33"/>
      <c r="CP436" s="33"/>
      <c r="CQ436" s="33"/>
      <c r="CR436" s="33" t="s">
        <v>210</v>
      </c>
      <c r="CS436" s="33"/>
      <c r="CT436" s="33"/>
      <c r="CU436" s="33"/>
      <c r="CV436" s="33">
        <v>250</v>
      </c>
      <c r="CW436" s="33"/>
      <c r="CX436" s="33"/>
      <c r="CY436" s="33"/>
      <c r="CZ436" s="34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4"/>
      <c r="DN436" s="34"/>
      <c r="DO436" s="33"/>
      <c r="DP436" s="33"/>
      <c r="DQ436" s="33"/>
      <c r="DR436" s="33"/>
      <c r="DS436" s="33"/>
      <c r="DT436" s="33" t="s">
        <v>227</v>
      </c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8"/>
    </row>
    <row r="437" spans="2:137" ht="13.2">
      <c r="B437" s="30" t="str">
        <f t="shared" si="14"/>
        <v>2024/6</v>
      </c>
      <c r="C437" s="31">
        <f t="shared" si="15"/>
        <v>2030</v>
      </c>
      <c r="D437" s="32">
        <v>45461</v>
      </c>
      <c r="E437" s="33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3"/>
      <c r="R437" s="33"/>
      <c r="S437" s="33"/>
      <c r="T437" s="33"/>
      <c r="U437" s="35"/>
      <c r="V437" s="36"/>
      <c r="W437" s="37"/>
      <c r="X437" s="34"/>
      <c r="Y437" s="33"/>
      <c r="Z437" s="33"/>
      <c r="AA437" s="33"/>
      <c r="AB437" s="35"/>
      <c r="AC437" s="34"/>
      <c r="AD437" s="34"/>
      <c r="AE437" s="34"/>
      <c r="AF437" s="34"/>
      <c r="AG437" s="34"/>
      <c r="AH437" s="33"/>
      <c r="AI437" s="33"/>
      <c r="AJ437" s="34"/>
      <c r="AK437" s="33"/>
      <c r="AL437" s="33"/>
      <c r="AM437" s="33"/>
      <c r="AN437" s="34"/>
      <c r="AO437" s="34"/>
      <c r="AP437" s="33"/>
      <c r="AQ437" s="34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4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5"/>
      <c r="CC437" s="33"/>
      <c r="CD437" s="33"/>
      <c r="CE437" s="33"/>
      <c r="CF437" s="34"/>
      <c r="CG437" s="33"/>
      <c r="CH437" s="33"/>
      <c r="CI437" s="33"/>
      <c r="CJ437" s="33">
        <v>300</v>
      </c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 t="s">
        <v>210</v>
      </c>
      <c r="CY437" s="33">
        <v>280</v>
      </c>
      <c r="CZ437" s="34"/>
      <c r="DA437" s="33"/>
      <c r="DB437" s="33">
        <v>150</v>
      </c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4"/>
      <c r="DN437" s="34"/>
      <c r="DO437" s="33" t="s">
        <v>227</v>
      </c>
      <c r="DP437" s="33"/>
      <c r="DQ437" s="33"/>
      <c r="DR437" s="33">
        <v>1040</v>
      </c>
      <c r="DS437" s="33">
        <v>260</v>
      </c>
      <c r="DT437" s="33" t="s">
        <v>227</v>
      </c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8"/>
    </row>
    <row r="438" spans="2:137" ht="13.2">
      <c r="B438" s="30" t="str">
        <f t="shared" si="14"/>
        <v>2024/6</v>
      </c>
      <c r="C438" s="31">
        <f t="shared" si="15"/>
        <v>1260</v>
      </c>
      <c r="D438" s="32">
        <v>45462</v>
      </c>
      <c r="E438" s="33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3"/>
      <c r="R438" s="33"/>
      <c r="S438" s="33"/>
      <c r="T438" s="33"/>
      <c r="U438" s="35"/>
      <c r="V438" s="36"/>
      <c r="W438" s="37"/>
      <c r="X438" s="34"/>
      <c r="Y438" s="33"/>
      <c r="Z438" s="33"/>
      <c r="AA438" s="33"/>
      <c r="AB438" s="35"/>
      <c r="AC438" s="34"/>
      <c r="AD438" s="34"/>
      <c r="AE438" s="34"/>
      <c r="AF438" s="34"/>
      <c r="AG438" s="34"/>
      <c r="AH438" s="33"/>
      <c r="AI438" s="33"/>
      <c r="AJ438" s="34"/>
      <c r="AK438" s="33"/>
      <c r="AL438" s="33"/>
      <c r="AM438" s="33"/>
      <c r="AN438" s="34"/>
      <c r="AO438" s="34"/>
      <c r="AP438" s="33"/>
      <c r="AQ438" s="34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4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5"/>
      <c r="CC438" s="33"/>
      <c r="CD438" s="33"/>
      <c r="CE438" s="33"/>
      <c r="CF438" s="34"/>
      <c r="CG438" s="33"/>
      <c r="CH438" s="33">
        <v>280</v>
      </c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>
        <v>520</v>
      </c>
      <c r="CV438" s="33"/>
      <c r="CW438" s="33"/>
      <c r="CX438" s="33"/>
      <c r="CY438" s="33"/>
      <c r="CZ438" s="34">
        <v>220</v>
      </c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4">
        <v>240</v>
      </c>
      <c r="DN438" s="34" t="s">
        <v>224</v>
      </c>
      <c r="DO438" s="33"/>
      <c r="DP438" s="33"/>
      <c r="DQ438" s="33" t="s">
        <v>206</v>
      </c>
      <c r="DR438" s="33" t="s">
        <v>206</v>
      </c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8"/>
    </row>
    <row r="439" spans="2:137" ht="13.2">
      <c r="B439" s="30" t="str">
        <f t="shared" si="14"/>
        <v>2024/6</v>
      </c>
      <c r="C439" s="31">
        <f t="shared" si="15"/>
        <v>2760</v>
      </c>
      <c r="D439" s="32">
        <v>45463</v>
      </c>
      <c r="E439" s="33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3"/>
      <c r="R439" s="33"/>
      <c r="S439" s="33"/>
      <c r="T439" s="33"/>
      <c r="U439" s="35"/>
      <c r="V439" s="36"/>
      <c r="W439" s="37"/>
      <c r="X439" s="34"/>
      <c r="Y439" s="33"/>
      <c r="Z439" s="33"/>
      <c r="AA439" s="33"/>
      <c r="AB439" s="35"/>
      <c r="AC439" s="34"/>
      <c r="AD439" s="34"/>
      <c r="AE439" s="34"/>
      <c r="AF439" s="34"/>
      <c r="AG439" s="34"/>
      <c r="AH439" s="33"/>
      <c r="AI439" s="33"/>
      <c r="AJ439" s="34"/>
      <c r="AK439" s="33"/>
      <c r="AL439" s="33"/>
      <c r="AM439" s="33"/>
      <c r="AN439" s="34"/>
      <c r="AO439" s="34"/>
      <c r="AP439" s="33"/>
      <c r="AQ439" s="34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4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5"/>
      <c r="CC439" s="33"/>
      <c r="CD439" s="33"/>
      <c r="CE439" s="33"/>
      <c r="CF439" s="34" t="s">
        <v>227</v>
      </c>
      <c r="CG439" s="33"/>
      <c r="CH439" s="33"/>
      <c r="CI439" s="33"/>
      <c r="CJ439" s="33"/>
      <c r="CK439" s="33">
        <v>275</v>
      </c>
      <c r="CL439" s="33">
        <v>275</v>
      </c>
      <c r="CM439" s="33"/>
      <c r="CN439" s="33">
        <v>280</v>
      </c>
      <c r="CO439" s="33"/>
      <c r="CP439" s="33"/>
      <c r="CQ439" s="33"/>
      <c r="CR439" s="33">
        <v>880</v>
      </c>
      <c r="CS439" s="33"/>
      <c r="CT439" s="33"/>
      <c r="CU439" s="33"/>
      <c r="CV439" s="33">
        <v>250</v>
      </c>
      <c r="CW439" s="33"/>
      <c r="CX439" s="33" t="s">
        <v>212</v>
      </c>
      <c r="CY439" s="33"/>
      <c r="CZ439" s="34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4"/>
      <c r="DN439" s="34">
        <v>800</v>
      </c>
      <c r="DO439" s="33"/>
      <c r="DP439" s="33" t="s">
        <v>207</v>
      </c>
      <c r="DQ439" s="33"/>
      <c r="DR439" s="33"/>
      <c r="DS439" s="33"/>
      <c r="DT439" s="33" t="s">
        <v>227</v>
      </c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8"/>
    </row>
    <row r="440" spans="2:137" ht="13.2">
      <c r="B440" s="30" t="str">
        <f t="shared" si="14"/>
        <v>2024/6</v>
      </c>
      <c r="C440" s="31">
        <f t="shared" si="15"/>
        <v>3760</v>
      </c>
      <c r="D440" s="32">
        <v>45464</v>
      </c>
      <c r="E440" s="33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3"/>
      <c r="R440" s="33"/>
      <c r="S440" s="33"/>
      <c r="T440" s="33"/>
      <c r="U440" s="35"/>
      <c r="V440" s="36"/>
      <c r="W440" s="37"/>
      <c r="X440" s="34"/>
      <c r="Y440" s="33"/>
      <c r="Z440" s="33"/>
      <c r="AA440" s="33"/>
      <c r="AB440" s="35"/>
      <c r="AC440" s="34"/>
      <c r="AD440" s="34"/>
      <c r="AE440" s="34"/>
      <c r="AF440" s="34"/>
      <c r="AG440" s="34"/>
      <c r="AH440" s="33"/>
      <c r="AI440" s="33"/>
      <c r="AJ440" s="34"/>
      <c r="AK440" s="33"/>
      <c r="AL440" s="33"/>
      <c r="AM440" s="33"/>
      <c r="AN440" s="34"/>
      <c r="AO440" s="34"/>
      <c r="AP440" s="33"/>
      <c r="AQ440" s="34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4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5"/>
      <c r="CC440" s="33"/>
      <c r="CD440" s="33"/>
      <c r="CE440" s="33"/>
      <c r="CF440" s="34"/>
      <c r="CG440" s="33">
        <v>260</v>
      </c>
      <c r="CH440" s="33">
        <v>280</v>
      </c>
      <c r="CI440" s="33">
        <v>280</v>
      </c>
      <c r="CJ440" s="33"/>
      <c r="CK440" s="33"/>
      <c r="CL440" s="33"/>
      <c r="CM440" s="33"/>
      <c r="CN440" s="33"/>
      <c r="CO440" s="33"/>
      <c r="CP440" s="33"/>
      <c r="CQ440" s="33"/>
      <c r="CR440" s="33" t="s">
        <v>212</v>
      </c>
      <c r="CS440" s="33"/>
      <c r="CT440" s="33"/>
      <c r="CU440" s="33"/>
      <c r="CV440" s="33"/>
      <c r="CW440" s="33"/>
      <c r="CX440" s="33">
        <v>2160</v>
      </c>
      <c r="CY440" s="33"/>
      <c r="CZ440" s="34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4"/>
      <c r="DN440" s="34"/>
      <c r="DO440" s="33"/>
      <c r="DP440" s="33"/>
      <c r="DQ440" s="33" t="s">
        <v>207</v>
      </c>
      <c r="DR440" s="33"/>
      <c r="DS440" s="33"/>
      <c r="DT440" s="33">
        <v>780</v>
      </c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8"/>
    </row>
    <row r="441" spans="2:137" ht="13.2">
      <c r="B441" s="30" t="str">
        <f t="shared" si="14"/>
        <v>2024/6</v>
      </c>
      <c r="C441" s="31" t="str">
        <f t="shared" si="15"/>
        <v/>
      </c>
      <c r="D441" s="32">
        <v>45467</v>
      </c>
      <c r="E441" s="33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3"/>
      <c r="R441" s="33"/>
      <c r="S441" s="33"/>
      <c r="T441" s="33"/>
      <c r="U441" s="35"/>
      <c r="V441" s="36"/>
      <c r="W441" s="37"/>
      <c r="X441" s="34"/>
      <c r="Y441" s="33"/>
      <c r="Z441" s="33"/>
      <c r="AA441" s="33"/>
      <c r="AB441" s="35"/>
      <c r="AC441" s="34"/>
      <c r="AD441" s="34"/>
      <c r="AE441" s="34"/>
      <c r="AF441" s="34"/>
      <c r="AG441" s="34"/>
      <c r="AH441" s="33"/>
      <c r="AI441" s="33"/>
      <c r="AJ441" s="34"/>
      <c r="AK441" s="33"/>
      <c r="AL441" s="33"/>
      <c r="AM441" s="33"/>
      <c r="AN441" s="34"/>
      <c r="AO441" s="34"/>
      <c r="AP441" s="33"/>
      <c r="AQ441" s="34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4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5"/>
      <c r="CC441" s="33"/>
      <c r="CD441" s="33"/>
      <c r="CE441" s="33"/>
      <c r="CF441" s="34"/>
      <c r="CG441" s="33"/>
      <c r="CH441" s="33"/>
      <c r="CI441" s="33"/>
      <c r="CJ441" s="33"/>
      <c r="CK441" s="33"/>
      <c r="CL441" s="33"/>
      <c r="CM441" s="33"/>
      <c r="CN441" s="33" t="s">
        <v>227</v>
      </c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4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4"/>
      <c r="DN441" s="34"/>
      <c r="DO441" s="33"/>
      <c r="DP441" s="33"/>
      <c r="DQ441" s="33"/>
      <c r="DR441" s="33"/>
      <c r="DS441" s="33"/>
      <c r="DT441" s="33" t="s">
        <v>227</v>
      </c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8"/>
    </row>
    <row r="442" spans="2:137" ht="13.2">
      <c r="B442" s="30" t="str">
        <f t="shared" si="14"/>
        <v>2024/6</v>
      </c>
      <c r="C442" s="31">
        <f t="shared" si="15"/>
        <v>1540</v>
      </c>
      <c r="D442" s="32">
        <v>45468</v>
      </c>
      <c r="E442" s="33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3"/>
      <c r="R442" s="33"/>
      <c r="S442" s="33"/>
      <c r="T442" s="33"/>
      <c r="U442" s="35"/>
      <c r="V442" s="36"/>
      <c r="W442" s="37"/>
      <c r="X442" s="34"/>
      <c r="Y442" s="33"/>
      <c r="Z442" s="33"/>
      <c r="AA442" s="33"/>
      <c r="AB442" s="35"/>
      <c r="AC442" s="34"/>
      <c r="AD442" s="34"/>
      <c r="AE442" s="34"/>
      <c r="AF442" s="34"/>
      <c r="AG442" s="34"/>
      <c r="AH442" s="33"/>
      <c r="AI442" s="33"/>
      <c r="AJ442" s="34"/>
      <c r="AK442" s="33"/>
      <c r="AL442" s="33"/>
      <c r="AM442" s="33"/>
      <c r="AN442" s="34"/>
      <c r="AO442" s="34"/>
      <c r="AP442" s="33"/>
      <c r="AQ442" s="34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4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5"/>
      <c r="CC442" s="33"/>
      <c r="CD442" s="33"/>
      <c r="CE442" s="33"/>
      <c r="CF442" s="34"/>
      <c r="CG442" s="33"/>
      <c r="CH442" s="33"/>
      <c r="CI442" s="33"/>
      <c r="CJ442" s="33">
        <v>300</v>
      </c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 t="s">
        <v>227</v>
      </c>
      <c r="CV442" s="33"/>
      <c r="CW442" s="33"/>
      <c r="CX442" s="33" t="s">
        <v>229</v>
      </c>
      <c r="CY442" s="33"/>
      <c r="CZ442" s="34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4"/>
      <c r="DN442" s="34"/>
      <c r="DO442" s="33"/>
      <c r="DP442" s="33">
        <v>980</v>
      </c>
      <c r="DQ442" s="33"/>
      <c r="DR442" s="33"/>
      <c r="DS442" s="33">
        <v>260</v>
      </c>
      <c r="DT442" s="33" t="s">
        <v>227</v>
      </c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8"/>
    </row>
    <row r="443" spans="2:137" ht="13.2">
      <c r="B443" s="30" t="str">
        <f t="shared" si="14"/>
        <v>2024/6</v>
      </c>
      <c r="C443" s="31">
        <f t="shared" si="15"/>
        <v>3285</v>
      </c>
      <c r="D443" s="32">
        <v>45469</v>
      </c>
      <c r="E443" s="33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3"/>
      <c r="R443" s="33"/>
      <c r="S443" s="33"/>
      <c r="T443" s="33"/>
      <c r="U443" s="35"/>
      <c r="V443" s="36"/>
      <c r="W443" s="37"/>
      <c r="X443" s="34"/>
      <c r="Y443" s="33"/>
      <c r="Z443" s="33"/>
      <c r="AA443" s="33"/>
      <c r="AB443" s="35"/>
      <c r="AC443" s="34"/>
      <c r="AD443" s="34"/>
      <c r="AE443" s="34"/>
      <c r="AF443" s="34"/>
      <c r="AG443" s="34"/>
      <c r="AH443" s="33"/>
      <c r="AI443" s="33"/>
      <c r="AJ443" s="34"/>
      <c r="AK443" s="33"/>
      <c r="AL443" s="33"/>
      <c r="AM443" s="33"/>
      <c r="AN443" s="34"/>
      <c r="AO443" s="34"/>
      <c r="AP443" s="33"/>
      <c r="AQ443" s="34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4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5"/>
      <c r="CC443" s="33"/>
      <c r="CD443" s="33">
        <v>245</v>
      </c>
      <c r="CE443" s="33"/>
      <c r="CF443" s="34"/>
      <c r="CG443" s="33"/>
      <c r="CH443" s="33">
        <v>280</v>
      </c>
      <c r="CI443" s="33">
        <v>280</v>
      </c>
      <c r="CJ443" s="33"/>
      <c r="CK443" s="33">
        <v>275</v>
      </c>
      <c r="CL443" s="33">
        <v>275</v>
      </c>
      <c r="CM443" s="33"/>
      <c r="CN443" s="33"/>
      <c r="CO443" s="33"/>
      <c r="CP443" s="33"/>
      <c r="CQ443" s="33"/>
      <c r="CR443" s="33"/>
      <c r="CS443" s="33"/>
      <c r="CT443" s="33"/>
      <c r="CU443" s="33"/>
      <c r="CV443" s="33">
        <v>250</v>
      </c>
      <c r="CW443" s="33"/>
      <c r="CX443" s="33"/>
      <c r="CY443" s="33">
        <v>280</v>
      </c>
      <c r="CZ443" s="34"/>
      <c r="DA443" s="33"/>
      <c r="DB443" s="33">
        <v>260</v>
      </c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4">
        <v>240</v>
      </c>
      <c r="DN443" s="34"/>
      <c r="DO443" s="33"/>
      <c r="DP443" s="33" t="s">
        <v>208</v>
      </c>
      <c r="DQ443" s="33"/>
      <c r="DR443" s="33" t="s">
        <v>207</v>
      </c>
      <c r="DS443" s="33"/>
      <c r="DT443" s="33">
        <v>900</v>
      </c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8"/>
    </row>
    <row r="444" spans="2:137" ht="13.2">
      <c r="B444" s="30" t="str">
        <f t="shared" si="14"/>
        <v>2024/7</v>
      </c>
      <c r="C444" s="31">
        <f t="shared" si="15"/>
        <v>1580</v>
      </c>
      <c r="D444" s="32">
        <v>45475</v>
      </c>
      <c r="E444" s="33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3"/>
      <c r="R444" s="33"/>
      <c r="S444" s="33"/>
      <c r="T444" s="33"/>
      <c r="U444" s="35"/>
      <c r="V444" s="36"/>
      <c r="W444" s="37"/>
      <c r="X444" s="34"/>
      <c r="Y444" s="33"/>
      <c r="Z444" s="33"/>
      <c r="AA444" s="33"/>
      <c r="AB444" s="35"/>
      <c r="AC444" s="34"/>
      <c r="AD444" s="34"/>
      <c r="AE444" s="34"/>
      <c r="AF444" s="34"/>
      <c r="AG444" s="34"/>
      <c r="AH444" s="33"/>
      <c r="AI444" s="33"/>
      <c r="AJ444" s="34"/>
      <c r="AK444" s="33"/>
      <c r="AL444" s="33"/>
      <c r="AM444" s="33"/>
      <c r="AN444" s="34"/>
      <c r="AO444" s="34"/>
      <c r="AP444" s="33"/>
      <c r="AQ444" s="34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4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5"/>
      <c r="CC444" s="33"/>
      <c r="CD444" s="33"/>
      <c r="CE444" s="33"/>
      <c r="CF444" s="34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 t="s">
        <v>208</v>
      </c>
      <c r="CY444" s="33"/>
      <c r="CZ444" s="34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4"/>
      <c r="DN444" s="34"/>
      <c r="DO444" s="33">
        <v>200</v>
      </c>
      <c r="DP444" s="33"/>
      <c r="DQ444" s="33">
        <v>1120</v>
      </c>
      <c r="DR444" s="33"/>
      <c r="DS444" s="33">
        <v>260</v>
      </c>
      <c r="DT444" s="33" t="s">
        <v>227</v>
      </c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8"/>
    </row>
    <row r="445" spans="2:137" ht="13.2">
      <c r="B445" s="30" t="str">
        <f t="shared" si="14"/>
        <v>2024/7</v>
      </c>
      <c r="C445" s="31">
        <f t="shared" si="15"/>
        <v>1810</v>
      </c>
      <c r="D445" s="32">
        <v>45476</v>
      </c>
      <c r="E445" s="33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3"/>
      <c r="R445" s="33"/>
      <c r="S445" s="33"/>
      <c r="T445" s="33"/>
      <c r="U445" s="35"/>
      <c r="V445" s="36"/>
      <c r="W445" s="37"/>
      <c r="X445" s="34"/>
      <c r="Y445" s="33"/>
      <c r="Z445" s="33"/>
      <c r="AA445" s="33"/>
      <c r="AB445" s="35"/>
      <c r="AC445" s="34"/>
      <c r="AD445" s="34"/>
      <c r="AE445" s="34"/>
      <c r="AF445" s="34"/>
      <c r="AG445" s="34"/>
      <c r="AH445" s="33"/>
      <c r="AI445" s="33"/>
      <c r="AJ445" s="34"/>
      <c r="AK445" s="33"/>
      <c r="AL445" s="33"/>
      <c r="AM445" s="33"/>
      <c r="AN445" s="34"/>
      <c r="AO445" s="34"/>
      <c r="AP445" s="33"/>
      <c r="AQ445" s="34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4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5"/>
      <c r="CC445" s="33"/>
      <c r="CD445" s="33"/>
      <c r="CE445" s="33"/>
      <c r="CF445" s="34"/>
      <c r="CG445" s="33"/>
      <c r="CH445" s="33"/>
      <c r="CI445" s="33"/>
      <c r="CJ445" s="33">
        <v>300</v>
      </c>
      <c r="CK445" s="33">
        <v>275</v>
      </c>
      <c r="CL445" s="33">
        <v>275</v>
      </c>
      <c r="CM445" s="33"/>
      <c r="CN445" s="33"/>
      <c r="CO445" s="33"/>
      <c r="CP445" s="33"/>
      <c r="CQ445" s="33"/>
      <c r="CR445" s="33"/>
      <c r="CS445" s="33"/>
      <c r="CT445" s="33"/>
      <c r="CU445" s="33">
        <v>520</v>
      </c>
      <c r="CV445" s="33"/>
      <c r="CW445" s="33"/>
      <c r="CX445" s="33"/>
      <c r="CY445" s="33"/>
      <c r="CZ445" s="34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4">
        <v>240</v>
      </c>
      <c r="DN445" s="34"/>
      <c r="DO445" s="33">
        <v>200</v>
      </c>
      <c r="DP445" s="33"/>
      <c r="DQ445" s="33" t="s">
        <v>208</v>
      </c>
      <c r="DR445" s="33" t="s">
        <v>208</v>
      </c>
      <c r="DS445" s="33"/>
      <c r="DT445" s="33" t="s">
        <v>227</v>
      </c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8"/>
    </row>
    <row r="446" spans="2:137" ht="13.2">
      <c r="B446" s="30" t="str">
        <f t="shared" si="14"/>
        <v>2024/7</v>
      </c>
      <c r="C446" s="31">
        <f t="shared" si="15"/>
        <v>1170</v>
      </c>
      <c r="D446" s="32">
        <v>45477</v>
      </c>
      <c r="E446" s="33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3"/>
      <c r="R446" s="33"/>
      <c r="S446" s="33"/>
      <c r="T446" s="33"/>
      <c r="U446" s="35"/>
      <c r="V446" s="36"/>
      <c r="W446" s="37"/>
      <c r="X446" s="34"/>
      <c r="Y446" s="33"/>
      <c r="Z446" s="33"/>
      <c r="AA446" s="33"/>
      <c r="AB446" s="35"/>
      <c r="AC446" s="34"/>
      <c r="AD446" s="34"/>
      <c r="AE446" s="34"/>
      <c r="AF446" s="34"/>
      <c r="AG446" s="34"/>
      <c r="AH446" s="33"/>
      <c r="AI446" s="33"/>
      <c r="AJ446" s="34"/>
      <c r="AK446" s="33"/>
      <c r="AL446" s="33"/>
      <c r="AM446" s="33"/>
      <c r="AN446" s="34"/>
      <c r="AO446" s="34"/>
      <c r="AP446" s="33"/>
      <c r="AQ446" s="34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4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5"/>
      <c r="CC446" s="33"/>
      <c r="CD446" s="33"/>
      <c r="CE446" s="33"/>
      <c r="CF446" s="34">
        <v>460</v>
      </c>
      <c r="CG446" s="33"/>
      <c r="CH446" s="33">
        <v>280</v>
      </c>
      <c r="CI446" s="33"/>
      <c r="CJ446" s="33"/>
      <c r="CK446" s="33"/>
      <c r="CL446" s="33"/>
      <c r="CM446" s="33"/>
      <c r="CN446" s="33">
        <v>280</v>
      </c>
      <c r="CO446" s="33"/>
      <c r="CP446" s="33"/>
      <c r="CQ446" s="33"/>
      <c r="CR446" s="33"/>
      <c r="CS446" s="33"/>
      <c r="CT446" s="33"/>
      <c r="CU446" s="33"/>
      <c r="CV446" s="33"/>
      <c r="CW446" s="33"/>
      <c r="CX446" s="33" t="s">
        <v>231</v>
      </c>
      <c r="CY446" s="33"/>
      <c r="CZ446" s="34"/>
      <c r="DA446" s="33"/>
      <c r="DB446" s="33">
        <v>150</v>
      </c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45"/>
      <c r="DN446" s="34"/>
      <c r="DO446" s="33"/>
      <c r="DP446" s="33" t="s">
        <v>210</v>
      </c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8"/>
    </row>
    <row r="447" spans="2:137" ht="13.2">
      <c r="B447" s="30" t="str">
        <f t="shared" si="14"/>
        <v>2024/7</v>
      </c>
      <c r="C447" s="31">
        <f t="shared" si="15"/>
        <v>2010</v>
      </c>
      <c r="D447" s="32">
        <v>45478</v>
      </c>
      <c r="E447" s="33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3"/>
      <c r="R447" s="33"/>
      <c r="S447" s="33"/>
      <c r="T447" s="33"/>
      <c r="U447" s="35"/>
      <c r="V447" s="36"/>
      <c r="W447" s="37"/>
      <c r="X447" s="34"/>
      <c r="Y447" s="33"/>
      <c r="Z447" s="33"/>
      <c r="AA447" s="33"/>
      <c r="AB447" s="35"/>
      <c r="AC447" s="34"/>
      <c r="AD447" s="34"/>
      <c r="AE447" s="34"/>
      <c r="AF447" s="34"/>
      <c r="AG447" s="34"/>
      <c r="AH447" s="33"/>
      <c r="AI447" s="33"/>
      <c r="AJ447" s="34"/>
      <c r="AK447" s="33"/>
      <c r="AL447" s="33"/>
      <c r="AM447" s="33"/>
      <c r="AN447" s="34"/>
      <c r="AO447" s="34"/>
      <c r="AP447" s="33"/>
      <c r="AQ447" s="34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4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5"/>
      <c r="CC447" s="33"/>
      <c r="CD447" s="33"/>
      <c r="CE447" s="33"/>
      <c r="CF447" s="34"/>
      <c r="CG447" s="33">
        <v>300</v>
      </c>
      <c r="CH447" s="33"/>
      <c r="CI447" s="33"/>
      <c r="CJ447" s="33">
        <v>300</v>
      </c>
      <c r="CK447" s="33"/>
      <c r="CL447" s="33"/>
      <c r="CM447" s="33"/>
      <c r="CN447" s="33"/>
      <c r="CO447" s="33"/>
      <c r="CP447" s="33"/>
      <c r="CQ447" s="33"/>
      <c r="CR447" s="33" t="s">
        <v>207</v>
      </c>
      <c r="CS447" s="33"/>
      <c r="CT447" s="33"/>
      <c r="CU447" s="33"/>
      <c r="CV447" s="33">
        <v>250</v>
      </c>
      <c r="CW447" s="33"/>
      <c r="CX447" s="33"/>
      <c r="CY447" s="33"/>
      <c r="CZ447" s="34"/>
      <c r="DA447" s="33"/>
      <c r="DB447" s="33"/>
      <c r="DC447" s="33"/>
      <c r="DD447" s="33"/>
      <c r="DE447" s="33"/>
      <c r="DF447" s="33"/>
      <c r="DG447" s="33"/>
      <c r="DH447" s="33">
        <v>260</v>
      </c>
      <c r="DI447" s="33"/>
      <c r="DJ447" s="33"/>
      <c r="DK447" s="33"/>
      <c r="DL447" s="33"/>
      <c r="DM447" s="34"/>
      <c r="DN447" s="34"/>
      <c r="DO447" s="33"/>
      <c r="DP447" s="33"/>
      <c r="DQ447" s="33"/>
      <c r="DR447" s="33"/>
      <c r="DS447" s="33"/>
      <c r="DT447" s="33">
        <v>900</v>
      </c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8"/>
    </row>
    <row r="448" spans="2:137" ht="13.2">
      <c r="B448" s="30" t="str">
        <f t="shared" si="14"/>
        <v>2024/7</v>
      </c>
      <c r="C448" s="31">
        <f t="shared" si="15"/>
        <v>1260</v>
      </c>
      <c r="D448" s="32">
        <v>45482</v>
      </c>
      <c r="E448" s="33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3"/>
      <c r="R448" s="33"/>
      <c r="S448" s="33"/>
      <c r="T448" s="33"/>
      <c r="U448" s="35"/>
      <c r="V448" s="36"/>
      <c r="W448" s="37"/>
      <c r="X448" s="34"/>
      <c r="Y448" s="33"/>
      <c r="Z448" s="33"/>
      <c r="AA448" s="33"/>
      <c r="AB448" s="35"/>
      <c r="AC448" s="34"/>
      <c r="AD448" s="34"/>
      <c r="AE448" s="34"/>
      <c r="AF448" s="34"/>
      <c r="AG448" s="34"/>
      <c r="AH448" s="33"/>
      <c r="AI448" s="33"/>
      <c r="AJ448" s="34"/>
      <c r="AK448" s="33"/>
      <c r="AL448" s="33"/>
      <c r="AM448" s="33"/>
      <c r="AN448" s="34"/>
      <c r="AO448" s="34"/>
      <c r="AP448" s="33"/>
      <c r="AQ448" s="34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4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5"/>
      <c r="CC448" s="33"/>
      <c r="CD448" s="33"/>
      <c r="CE448" s="33"/>
      <c r="CF448" s="34"/>
      <c r="CG448" s="33"/>
      <c r="CH448" s="33"/>
      <c r="CI448" s="33"/>
      <c r="CJ448" s="33">
        <v>300</v>
      </c>
      <c r="CK448" s="33">
        <v>275</v>
      </c>
      <c r="CL448" s="33">
        <v>275</v>
      </c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 t="s">
        <v>232</v>
      </c>
      <c r="CY448" s="33"/>
      <c r="CZ448" s="34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4"/>
      <c r="DN448" s="34"/>
      <c r="DO448" s="33">
        <v>150</v>
      </c>
      <c r="DP448" s="33"/>
      <c r="DQ448" s="33"/>
      <c r="DR448" s="33"/>
      <c r="DS448" s="33">
        <v>260</v>
      </c>
      <c r="DT448" s="33" t="s">
        <v>227</v>
      </c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8"/>
    </row>
    <row r="449" spans="2:137" ht="13.2">
      <c r="B449" s="30" t="str">
        <f t="shared" si="14"/>
        <v>2024/7</v>
      </c>
      <c r="C449" s="31">
        <f t="shared" si="15"/>
        <v>2660</v>
      </c>
      <c r="D449" s="32">
        <v>45483</v>
      </c>
      <c r="E449" s="33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3"/>
      <c r="R449" s="33"/>
      <c r="S449" s="33"/>
      <c r="T449" s="33"/>
      <c r="U449" s="35"/>
      <c r="V449" s="36"/>
      <c r="W449" s="37"/>
      <c r="X449" s="34"/>
      <c r="Y449" s="33"/>
      <c r="Z449" s="33"/>
      <c r="AA449" s="33"/>
      <c r="AB449" s="35"/>
      <c r="AC449" s="34"/>
      <c r="AD449" s="34"/>
      <c r="AE449" s="34"/>
      <c r="AF449" s="34"/>
      <c r="AG449" s="34"/>
      <c r="AH449" s="33"/>
      <c r="AI449" s="33"/>
      <c r="AJ449" s="34"/>
      <c r="AK449" s="33"/>
      <c r="AL449" s="33"/>
      <c r="AM449" s="33"/>
      <c r="AN449" s="34"/>
      <c r="AO449" s="34"/>
      <c r="AP449" s="33"/>
      <c r="AQ449" s="34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4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5"/>
      <c r="CC449" s="33"/>
      <c r="CD449" s="33"/>
      <c r="CE449" s="33"/>
      <c r="CF449" s="34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>
        <v>260</v>
      </c>
      <c r="CV449" s="33"/>
      <c r="CW449" s="33"/>
      <c r="CX449" s="33"/>
      <c r="CY449" s="33">
        <v>280</v>
      </c>
      <c r="CZ449" s="34"/>
      <c r="DA449" s="33"/>
      <c r="DB449" s="33">
        <v>260</v>
      </c>
      <c r="DC449" s="33"/>
      <c r="DD449" s="33"/>
      <c r="DE449" s="33"/>
      <c r="DF449" s="33"/>
      <c r="DG449" s="33"/>
      <c r="DH449" s="33">
        <v>260</v>
      </c>
      <c r="DI449" s="33"/>
      <c r="DJ449" s="33"/>
      <c r="DK449" s="33"/>
      <c r="DL449" s="33"/>
      <c r="DM449" s="34"/>
      <c r="DN449" s="34"/>
      <c r="DO449" s="33"/>
      <c r="DP449" s="33"/>
      <c r="DQ449" s="33"/>
      <c r="DR449" s="33"/>
      <c r="DS449" s="33"/>
      <c r="DT449" s="33" t="s">
        <v>227</v>
      </c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>
        <v>1600</v>
      </c>
      <c r="EF449" s="33"/>
      <c r="EG449" s="38"/>
    </row>
    <row r="450" spans="2:137" ht="13.2">
      <c r="B450" s="30" t="str">
        <f t="shared" si="14"/>
        <v>2024/7</v>
      </c>
      <c r="C450" s="31">
        <f t="shared" si="15"/>
        <v>220</v>
      </c>
      <c r="D450" s="32">
        <v>45484</v>
      </c>
      <c r="E450" s="33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3"/>
      <c r="R450" s="33"/>
      <c r="S450" s="33"/>
      <c r="T450" s="33"/>
      <c r="U450" s="35"/>
      <c r="V450" s="36"/>
      <c r="W450" s="37"/>
      <c r="X450" s="34"/>
      <c r="Y450" s="33"/>
      <c r="Z450" s="33"/>
      <c r="AA450" s="33"/>
      <c r="AB450" s="35"/>
      <c r="AC450" s="34"/>
      <c r="AD450" s="34"/>
      <c r="AE450" s="34"/>
      <c r="AF450" s="34"/>
      <c r="AG450" s="34"/>
      <c r="AH450" s="33"/>
      <c r="AI450" s="33"/>
      <c r="AJ450" s="34"/>
      <c r="AK450" s="33"/>
      <c r="AL450" s="33"/>
      <c r="AM450" s="33"/>
      <c r="AN450" s="34"/>
      <c r="AO450" s="34"/>
      <c r="AP450" s="33"/>
      <c r="AQ450" s="34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4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5"/>
      <c r="CC450" s="33"/>
      <c r="CD450" s="33"/>
      <c r="CE450" s="33"/>
      <c r="CF450" s="34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 t="s">
        <v>233</v>
      </c>
      <c r="CY450" s="33"/>
      <c r="CZ450" s="34">
        <v>220</v>
      </c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4"/>
      <c r="DN450" s="34" t="s">
        <v>210</v>
      </c>
      <c r="DO450" s="33"/>
      <c r="DP450" s="33" t="s">
        <v>247</v>
      </c>
      <c r="DQ450" s="33"/>
      <c r="DR450" s="33" t="s">
        <v>210</v>
      </c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8"/>
    </row>
    <row r="451" spans="2:137" ht="13.2">
      <c r="B451" s="30" t="str">
        <f t="shared" si="14"/>
        <v>2024/7</v>
      </c>
      <c r="C451" s="31">
        <f t="shared" si="15"/>
        <v>2010</v>
      </c>
      <c r="D451" s="32">
        <v>45485</v>
      </c>
      <c r="E451" s="33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3"/>
      <c r="R451" s="33"/>
      <c r="S451" s="33"/>
      <c r="T451" s="33"/>
      <c r="U451" s="35"/>
      <c r="V451" s="36"/>
      <c r="W451" s="37"/>
      <c r="X451" s="34"/>
      <c r="Y451" s="33"/>
      <c r="Z451" s="33"/>
      <c r="AA451" s="33"/>
      <c r="AB451" s="35"/>
      <c r="AC451" s="34"/>
      <c r="AD451" s="34"/>
      <c r="AE451" s="34"/>
      <c r="AF451" s="34"/>
      <c r="AG451" s="34"/>
      <c r="AH451" s="33"/>
      <c r="AI451" s="33"/>
      <c r="AJ451" s="34"/>
      <c r="AK451" s="33"/>
      <c r="AL451" s="33"/>
      <c r="AM451" s="33"/>
      <c r="AN451" s="34"/>
      <c r="AO451" s="34"/>
      <c r="AP451" s="33"/>
      <c r="AQ451" s="34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4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5"/>
      <c r="CC451" s="33"/>
      <c r="CD451" s="33"/>
      <c r="CE451" s="33"/>
      <c r="CF451" s="34"/>
      <c r="CG451" s="33"/>
      <c r="CH451" s="33">
        <v>280</v>
      </c>
      <c r="CI451" s="33"/>
      <c r="CJ451" s="33">
        <v>300</v>
      </c>
      <c r="CK451" s="33"/>
      <c r="CL451" s="33"/>
      <c r="CM451" s="33"/>
      <c r="CN451" s="33">
        <v>280</v>
      </c>
      <c r="CO451" s="33"/>
      <c r="CP451" s="33"/>
      <c r="CQ451" s="33"/>
      <c r="CR451" s="33" t="s">
        <v>224</v>
      </c>
      <c r="CS451" s="33"/>
      <c r="CT451" s="33"/>
      <c r="CU451" s="33"/>
      <c r="CV451" s="33">
        <v>250</v>
      </c>
      <c r="CW451" s="33"/>
      <c r="CX451" s="33"/>
      <c r="CY451" s="33"/>
      <c r="CZ451" s="34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4"/>
      <c r="DN451" s="34"/>
      <c r="DO451" s="33"/>
      <c r="DP451" s="33"/>
      <c r="DQ451" s="33" t="s">
        <v>209</v>
      </c>
      <c r="DR451" s="33"/>
      <c r="DS451" s="33"/>
      <c r="DT451" s="33">
        <v>900</v>
      </c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8"/>
    </row>
    <row r="452" spans="2:137" ht="13.2">
      <c r="B452" s="30" t="str">
        <f t="shared" ref="B452:B515" si="16">IF(D452&gt;0, CONCATENATE(YEAR(D452),"/",MONTH(D452)),"")</f>
        <v>2024/7</v>
      </c>
      <c r="C452" s="31">
        <f t="shared" ref="C452:C515" si="17">IF(SUM(E452:EG452)=0,"",SUM(E452:EG452))</f>
        <v>3970</v>
      </c>
      <c r="D452" s="32">
        <v>45489</v>
      </c>
      <c r="E452" s="33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3"/>
      <c r="R452" s="33"/>
      <c r="S452" s="33"/>
      <c r="T452" s="33"/>
      <c r="U452" s="35"/>
      <c r="V452" s="36"/>
      <c r="W452" s="37"/>
      <c r="X452" s="34"/>
      <c r="Y452" s="33"/>
      <c r="Z452" s="33"/>
      <c r="AA452" s="33"/>
      <c r="AB452" s="35"/>
      <c r="AC452" s="34"/>
      <c r="AD452" s="34"/>
      <c r="AE452" s="34"/>
      <c r="AF452" s="34"/>
      <c r="AG452" s="34"/>
      <c r="AH452" s="33"/>
      <c r="AI452" s="33"/>
      <c r="AJ452" s="34"/>
      <c r="AK452" s="33"/>
      <c r="AL452" s="33"/>
      <c r="AM452" s="33"/>
      <c r="AN452" s="34"/>
      <c r="AO452" s="34"/>
      <c r="AP452" s="33"/>
      <c r="AQ452" s="34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4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5"/>
      <c r="CC452" s="33"/>
      <c r="CD452" s="33"/>
      <c r="CE452" s="33">
        <v>280</v>
      </c>
      <c r="CF452" s="34"/>
      <c r="CG452" s="33">
        <v>300</v>
      </c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>
        <v>1890</v>
      </c>
      <c r="CY452" s="33"/>
      <c r="CZ452" s="34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4"/>
      <c r="DN452" s="34"/>
      <c r="DO452" s="33">
        <v>200</v>
      </c>
      <c r="DP452" s="33"/>
      <c r="DQ452" s="33"/>
      <c r="DR452" s="33">
        <v>1040</v>
      </c>
      <c r="DS452" s="33">
        <v>260</v>
      </c>
      <c r="DT452" s="33" t="s">
        <v>227</v>
      </c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8"/>
    </row>
    <row r="453" spans="2:137" ht="13.2">
      <c r="B453" s="30" t="str">
        <f t="shared" si="16"/>
        <v>2024/7</v>
      </c>
      <c r="C453" s="31">
        <f t="shared" si="17"/>
        <v>280</v>
      </c>
      <c r="D453" s="32">
        <v>45490</v>
      </c>
      <c r="E453" s="33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3"/>
      <c r="R453" s="33"/>
      <c r="S453" s="33"/>
      <c r="T453" s="33"/>
      <c r="U453" s="35"/>
      <c r="V453" s="36"/>
      <c r="W453" s="37"/>
      <c r="X453" s="34"/>
      <c r="Y453" s="33"/>
      <c r="Z453" s="33"/>
      <c r="AA453" s="33"/>
      <c r="AB453" s="35"/>
      <c r="AC453" s="34"/>
      <c r="AD453" s="34"/>
      <c r="AE453" s="34"/>
      <c r="AF453" s="34"/>
      <c r="AG453" s="34"/>
      <c r="AH453" s="33"/>
      <c r="AI453" s="33"/>
      <c r="AJ453" s="34"/>
      <c r="AK453" s="33"/>
      <c r="AL453" s="33"/>
      <c r="AM453" s="33"/>
      <c r="AN453" s="34"/>
      <c r="AO453" s="34"/>
      <c r="AP453" s="33"/>
      <c r="AQ453" s="34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4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5"/>
      <c r="CC453" s="33"/>
      <c r="CD453" s="33"/>
      <c r="CE453" s="33"/>
      <c r="CF453" s="34"/>
      <c r="CG453" s="33"/>
      <c r="CH453" s="33">
        <v>280</v>
      </c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4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4"/>
      <c r="DN453" s="34" t="s">
        <v>212</v>
      </c>
      <c r="DO453" s="33"/>
      <c r="DP453" s="33"/>
      <c r="DQ453" s="33" t="s">
        <v>206</v>
      </c>
      <c r="DR453" s="33" t="s">
        <v>206</v>
      </c>
      <c r="DS453" s="33"/>
      <c r="DT453" s="33" t="s">
        <v>227</v>
      </c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8"/>
    </row>
    <row r="454" spans="2:137" ht="13.2">
      <c r="B454" s="30" t="str">
        <f t="shared" si="16"/>
        <v>2024/7</v>
      </c>
      <c r="C454" s="31">
        <f t="shared" si="17"/>
        <v>660</v>
      </c>
      <c r="D454" s="32">
        <v>45491</v>
      </c>
      <c r="E454" s="33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3"/>
      <c r="R454" s="33"/>
      <c r="S454" s="33"/>
      <c r="T454" s="33"/>
      <c r="U454" s="35"/>
      <c r="V454" s="36"/>
      <c r="W454" s="37"/>
      <c r="X454" s="34"/>
      <c r="Y454" s="33"/>
      <c r="Z454" s="33"/>
      <c r="AA454" s="33"/>
      <c r="AB454" s="35"/>
      <c r="AC454" s="34"/>
      <c r="AD454" s="34"/>
      <c r="AE454" s="34"/>
      <c r="AF454" s="34"/>
      <c r="AG454" s="34"/>
      <c r="AH454" s="33"/>
      <c r="AI454" s="33"/>
      <c r="AJ454" s="34"/>
      <c r="AK454" s="33"/>
      <c r="AL454" s="33"/>
      <c r="AM454" s="33"/>
      <c r="AN454" s="34"/>
      <c r="AO454" s="34"/>
      <c r="AP454" s="33"/>
      <c r="AQ454" s="34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4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5"/>
      <c r="CC454" s="33"/>
      <c r="CD454" s="33"/>
      <c r="CE454" s="33"/>
      <c r="CF454" s="34"/>
      <c r="CG454" s="33"/>
      <c r="CH454" s="33"/>
      <c r="CI454" s="33"/>
      <c r="CJ454" s="33" t="s">
        <v>227</v>
      </c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 t="s">
        <v>227</v>
      </c>
      <c r="CV454" s="33"/>
      <c r="CW454" s="33"/>
      <c r="CX454" s="33"/>
      <c r="CY454" s="33"/>
      <c r="CZ454" s="34">
        <v>220</v>
      </c>
      <c r="DA454" s="33"/>
      <c r="DB454" s="33">
        <v>180</v>
      </c>
      <c r="DC454" s="33"/>
      <c r="DD454" s="33"/>
      <c r="DE454" s="33"/>
      <c r="DF454" s="33"/>
      <c r="DG454" s="33"/>
      <c r="DH454" s="33">
        <v>260</v>
      </c>
      <c r="DI454" s="33"/>
      <c r="DJ454" s="33"/>
      <c r="DK454" s="33"/>
      <c r="DL454" s="33"/>
      <c r="DM454" s="34"/>
      <c r="DN454" s="34"/>
      <c r="DO454" s="33"/>
      <c r="DP454" s="33" t="s">
        <v>207</v>
      </c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8"/>
    </row>
    <row r="455" spans="2:137" ht="13.2">
      <c r="B455" s="30" t="str">
        <f t="shared" si="16"/>
        <v>2024/7</v>
      </c>
      <c r="C455" s="31">
        <f t="shared" si="17"/>
        <v>2580</v>
      </c>
      <c r="D455" s="32">
        <v>45492</v>
      </c>
      <c r="E455" s="33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3"/>
      <c r="R455" s="33"/>
      <c r="S455" s="33"/>
      <c r="T455" s="33"/>
      <c r="U455" s="35"/>
      <c r="V455" s="36"/>
      <c r="W455" s="37"/>
      <c r="X455" s="34"/>
      <c r="Y455" s="33"/>
      <c r="Z455" s="33"/>
      <c r="AA455" s="33"/>
      <c r="AB455" s="35"/>
      <c r="AC455" s="34"/>
      <c r="AD455" s="34"/>
      <c r="AE455" s="34"/>
      <c r="AF455" s="34"/>
      <c r="AG455" s="34"/>
      <c r="AH455" s="33"/>
      <c r="AI455" s="33"/>
      <c r="AJ455" s="34"/>
      <c r="AK455" s="33"/>
      <c r="AL455" s="33"/>
      <c r="AM455" s="33"/>
      <c r="AN455" s="34"/>
      <c r="AO455" s="34"/>
      <c r="AP455" s="33"/>
      <c r="AQ455" s="34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4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5"/>
      <c r="CC455" s="33"/>
      <c r="CD455" s="33"/>
      <c r="CE455" s="33"/>
      <c r="CF455" s="34"/>
      <c r="CG455" s="33"/>
      <c r="CH455" s="33"/>
      <c r="CI455" s="33"/>
      <c r="CJ455" s="33">
        <v>600</v>
      </c>
      <c r="CK455" s="33">
        <v>275</v>
      </c>
      <c r="CL455" s="33">
        <v>275</v>
      </c>
      <c r="CM455" s="33"/>
      <c r="CN455" s="33"/>
      <c r="CO455" s="33"/>
      <c r="CP455" s="33"/>
      <c r="CQ455" s="33"/>
      <c r="CR455" s="33" t="s">
        <v>210</v>
      </c>
      <c r="CS455" s="33"/>
      <c r="CT455" s="33"/>
      <c r="CU455" s="33"/>
      <c r="CV455" s="33">
        <v>250</v>
      </c>
      <c r="CW455" s="33"/>
      <c r="CX455" s="33"/>
      <c r="CY455" s="33">
        <v>280</v>
      </c>
      <c r="CZ455" s="34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4"/>
      <c r="DN455" s="34"/>
      <c r="DO455" s="33"/>
      <c r="DP455" s="33"/>
      <c r="DQ455" s="33"/>
      <c r="DR455" s="33"/>
      <c r="DS455" s="33"/>
      <c r="DT455" s="33">
        <v>900</v>
      </c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8"/>
    </row>
    <row r="456" spans="2:137" ht="13.2">
      <c r="B456" s="30" t="str">
        <f t="shared" si="16"/>
        <v>2024/7</v>
      </c>
      <c r="C456" s="31">
        <f t="shared" si="17"/>
        <v>650</v>
      </c>
      <c r="D456" s="32">
        <v>45496</v>
      </c>
      <c r="E456" s="33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3"/>
      <c r="R456" s="33"/>
      <c r="S456" s="33"/>
      <c r="T456" s="33"/>
      <c r="U456" s="35"/>
      <c r="V456" s="36"/>
      <c r="W456" s="37"/>
      <c r="X456" s="34"/>
      <c r="Y456" s="33"/>
      <c r="Z456" s="33"/>
      <c r="AA456" s="33"/>
      <c r="AB456" s="35"/>
      <c r="AC456" s="34"/>
      <c r="AD456" s="34"/>
      <c r="AE456" s="34"/>
      <c r="AF456" s="34"/>
      <c r="AG456" s="34"/>
      <c r="AH456" s="33"/>
      <c r="AI456" s="33"/>
      <c r="AJ456" s="34"/>
      <c r="AK456" s="33"/>
      <c r="AL456" s="33"/>
      <c r="AM456" s="33"/>
      <c r="AN456" s="34"/>
      <c r="AO456" s="34"/>
      <c r="AP456" s="33"/>
      <c r="AQ456" s="34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4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5"/>
      <c r="CC456" s="33"/>
      <c r="CD456" s="33"/>
      <c r="CE456" s="33"/>
      <c r="CF456" s="34"/>
      <c r="CG456" s="33"/>
      <c r="CH456" s="33">
        <v>280</v>
      </c>
      <c r="CI456" s="33"/>
      <c r="CJ456" s="33"/>
      <c r="CK456" s="33"/>
      <c r="CL456" s="33"/>
      <c r="CM456" s="33"/>
      <c r="CN456" s="33">
        <v>280</v>
      </c>
      <c r="CO456" s="33"/>
      <c r="CP456" s="33"/>
      <c r="CQ456" s="33"/>
      <c r="CR456" s="33"/>
      <c r="CS456" s="33"/>
      <c r="CT456" s="33"/>
      <c r="CU456" s="33"/>
      <c r="CV456" s="33"/>
      <c r="CW456" s="33"/>
      <c r="CX456" s="33" t="s">
        <v>210</v>
      </c>
      <c r="CY456" s="33"/>
      <c r="CZ456" s="34"/>
      <c r="DA456" s="33"/>
      <c r="DB456" s="33"/>
      <c r="DC456" s="33"/>
      <c r="DD456" s="33"/>
      <c r="DE456" s="33"/>
      <c r="DF456" s="33"/>
      <c r="DG456" s="33"/>
      <c r="DH456" s="33">
        <v>90</v>
      </c>
      <c r="DI456" s="33"/>
      <c r="DJ456" s="33"/>
      <c r="DK456" s="33"/>
      <c r="DL456" s="33"/>
      <c r="DM456" s="34"/>
      <c r="DN456" s="34"/>
      <c r="DO456" s="33"/>
      <c r="DP456" s="33"/>
      <c r="DQ456" s="33"/>
      <c r="DR456" s="33" t="s">
        <v>207</v>
      </c>
      <c r="DS456" s="33"/>
      <c r="DT456" s="33" t="s">
        <v>227</v>
      </c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8"/>
    </row>
    <row r="457" spans="2:137" ht="13.2">
      <c r="B457" s="30" t="str">
        <f t="shared" si="16"/>
        <v>2024/7</v>
      </c>
      <c r="C457" s="31">
        <f t="shared" si="17"/>
        <v>835</v>
      </c>
      <c r="D457" s="32">
        <v>45497</v>
      </c>
      <c r="E457" s="33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3"/>
      <c r="R457" s="33"/>
      <c r="S457" s="33"/>
      <c r="T457" s="33"/>
      <c r="U457" s="35"/>
      <c r="V457" s="36"/>
      <c r="W457" s="37"/>
      <c r="X457" s="34"/>
      <c r="Y457" s="33"/>
      <c r="Z457" s="33"/>
      <c r="AA457" s="33"/>
      <c r="AB457" s="35"/>
      <c r="AC457" s="34"/>
      <c r="AD457" s="34"/>
      <c r="AE457" s="34"/>
      <c r="AF457" s="34"/>
      <c r="AG457" s="34"/>
      <c r="AH457" s="33"/>
      <c r="AI457" s="33"/>
      <c r="AJ457" s="34"/>
      <c r="AK457" s="33"/>
      <c r="AL457" s="33"/>
      <c r="AM457" s="33"/>
      <c r="AN457" s="34"/>
      <c r="AO457" s="34"/>
      <c r="AP457" s="33"/>
      <c r="AQ457" s="34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4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5"/>
      <c r="CC457" s="33"/>
      <c r="CD457" s="33"/>
      <c r="CE457" s="33"/>
      <c r="CF457" s="34"/>
      <c r="CG457" s="33"/>
      <c r="CH457" s="33"/>
      <c r="CI457" s="33"/>
      <c r="CJ457" s="33">
        <v>300</v>
      </c>
      <c r="CK457" s="33">
        <v>275</v>
      </c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4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4"/>
      <c r="DN457" s="34"/>
      <c r="DO457" s="33"/>
      <c r="DP457" s="33"/>
      <c r="DQ457" s="33" t="s">
        <v>207</v>
      </c>
      <c r="DR457" s="33"/>
      <c r="DS457" s="33">
        <v>260</v>
      </c>
      <c r="DT457" s="33" t="s">
        <v>227</v>
      </c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8"/>
    </row>
    <row r="458" spans="2:137" ht="13.2">
      <c r="B458" s="30" t="str">
        <f t="shared" si="16"/>
        <v>2024/7</v>
      </c>
      <c r="C458" s="31">
        <f t="shared" si="17"/>
        <v>1975</v>
      </c>
      <c r="D458" s="32">
        <v>45498</v>
      </c>
      <c r="E458" s="33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3"/>
      <c r="R458" s="33"/>
      <c r="S458" s="33"/>
      <c r="T458" s="33"/>
      <c r="U458" s="35"/>
      <c r="V458" s="36"/>
      <c r="W458" s="37"/>
      <c r="X458" s="34"/>
      <c r="Y458" s="33"/>
      <c r="Z458" s="33"/>
      <c r="AA458" s="33"/>
      <c r="AB458" s="35"/>
      <c r="AC458" s="34"/>
      <c r="AD458" s="34"/>
      <c r="AE458" s="34"/>
      <c r="AF458" s="34"/>
      <c r="AG458" s="34"/>
      <c r="AH458" s="33"/>
      <c r="AI458" s="33"/>
      <c r="AJ458" s="34"/>
      <c r="AK458" s="33"/>
      <c r="AL458" s="33"/>
      <c r="AM458" s="33"/>
      <c r="AN458" s="34"/>
      <c r="AO458" s="34"/>
      <c r="AP458" s="33"/>
      <c r="AQ458" s="34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4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5"/>
      <c r="CC458" s="33"/>
      <c r="CD458" s="33"/>
      <c r="CE458" s="33"/>
      <c r="CF458" s="34"/>
      <c r="CG458" s="33">
        <v>300</v>
      </c>
      <c r="CH458" s="33"/>
      <c r="CI458" s="33"/>
      <c r="CJ458" s="33"/>
      <c r="CK458" s="33"/>
      <c r="CL458" s="33">
        <v>275</v>
      </c>
      <c r="CM458" s="33"/>
      <c r="CN458" s="33"/>
      <c r="CO458" s="33"/>
      <c r="CP458" s="33"/>
      <c r="CQ458" s="33"/>
      <c r="CR458" s="33">
        <v>880</v>
      </c>
      <c r="CS458" s="33"/>
      <c r="CT458" s="33"/>
      <c r="CU458" s="33" t="s">
        <v>227</v>
      </c>
      <c r="CV458" s="33"/>
      <c r="CW458" s="33"/>
      <c r="CX458" s="33" t="s">
        <v>212</v>
      </c>
      <c r="CY458" s="33"/>
      <c r="CZ458" s="34"/>
      <c r="DA458" s="33"/>
      <c r="DB458" s="33">
        <v>260</v>
      </c>
      <c r="DC458" s="33"/>
      <c r="DD458" s="33"/>
      <c r="DE458" s="33"/>
      <c r="DF458" s="33"/>
      <c r="DG458" s="33"/>
      <c r="DH458" s="33">
        <v>260</v>
      </c>
      <c r="DI458" s="33"/>
      <c r="DJ458" s="33"/>
      <c r="DK458" s="33"/>
      <c r="DL458" s="33"/>
      <c r="DM458" s="34"/>
      <c r="DN458" s="34"/>
      <c r="DO458" s="33"/>
      <c r="DP458" s="33" t="s">
        <v>208</v>
      </c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8"/>
    </row>
    <row r="459" spans="2:137" ht="13.2">
      <c r="B459" s="30" t="str">
        <f t="shared" si="16"/>
        <v>2024/7</v>
      </c>
      <c r="C459" s="31">
        <f t="shared" si="17"/>
        <v>2030</v>
      </c>
      <c r="D459" s="32">
        <v>45499</v>
      </c>
      <c r="E459" s="33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3"/>
      <c r="R459" s="33"/>
      <c r="S459" s="33"/>
      <c r="T459" s="33"/>
      <c r="U459" s="35"/>
      <c r="V459" s="36"/>
      <c r="W459" s="37"/>
      <c r="X459" s="34"/>
      <c r="Y459" s="33"/>
      <c r="Z459" s="33"/>
      <c r="AA459" s="33"/>
      <c r="AB459" s="35"/>
      <c r="AC459" s="34"/>
      <c r="AD459" s="34"/>
      <c r="AE459" s="34"/>
      <c r="AF459" s="34"/>
      <c r="AG459" s="34"/>
      <c r="AH459" s="33"/>
      <c r="AI459" s="33"/>
      <c r="AJ459" s="34"/>
      <c r="AK459" s="33"/>
      <c r="AL459" s="33"/>
      <c r="AM459" s="33"/>
      <c r="AN459" s="34"/>
      <c r="AO459" s="34"/>
      <c r="AP459" s="33"/>
      <c r="AQ459" s="34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4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5"/>
      <c r="CC459" s="33"/>
      <c r="CD459" s="33"/>
      <c r="CE459" s="33"/>
      <c r="CF459" s="34"/>
      <c r="CG459" s="33">
        <v>300</v>
      </c>
      <c r="CH459" s="33"/>
      <c r="CI459" s="33"/>
      <c r="CJ459" s="33">
        <v>300</v>
      </c>
      <c r="CK459" s="33"/>
      <c r="CL459" s="33"/>
      <c r="CM459" s="33"/>
      <c r="CN459" s="33"/>
      <c r="CO459" s="33"/>
      <c r="CP459" s="33"/>
      <c r="CQ459" s="33"/>
      <c r="CR459" s="33" t="s">
        <v>212</v>
      </c>
      <c r="CS459" s="33"/>
      <c r="CT459" s="33"/>
      <c r="CU459" s="33"/>
      <c r="CV459" s="33">
        <v>250</v>
      </c>
      <c r="CW459" s="33"/>
      <c r="CX459" s="33"/>
      <c r="CY459" s="33">
        <v>280</v>
      </c>
      <c r="CZ459" s="34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4"/>
      <c r="DN459" s="34" t="s">
        <v>214</v>
      </c>
      <c r="DO459" s="33"/>
      <c r="DP459" s="33"/>
      <c r="DQ459" s="33"/>
      <c r="DR459" s="33"/>
      <c r="DS459" s="33"/>
      <c r="DT459" s="33">
        <v>900</v>
      </c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8"/>
    </row>
    <row r="460" spans="2:137" ht="13.2">
      <c r="B460" s="30" t="str">
        <f t="shared" si="16"/>
        <v>2024/7</v>
      </c>
      <c r="C460" s="31">
        <f t="shared" si="17"/>
        <v>790</v>
      </c>
      <c r="D460" s="32">
        <v>45503</v>
      </c>
      <c r="E460" s="33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3"/>
      <c r="R460" s="33"/>
      <c r="S460" s="33"/>
      <c r="T460" s="33"/>
      <c r="U460" s="35"/>
      <c r="V460" s="36"/>
      <c r="W460" s="37"/>
      <c r="X460" s="34"/>
      <c r="Y460" s="33"/>
      <c r="Z460" s="33"/>
      <c r="AA460" s="33"/>
      <c r="AB460" s="35"/>
      <c r="AC460" s="34"/>
      <c r="AD460" s="34"/>
      <c r="AE460" s="34"/>
      <c r="AF460" s="34"/>
      <c r="AG460" s="34"/>
      <c r="AH460" s="33"/>
      <c r="AI460" s="33"/>
      <c r="AJ460" s="34"/>
      <c r="AK460" s="33"/>
      <c r="AL460" s="33"/>
      <c r="AM460" s="33"/>
      <c r="AN460" s="34"/>
      <c r="AO460" s="34"/>
      <c r="AP460" s="33"/>
      <c r="AQ460" s="34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4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5"/>
      <c r="CC460" s="33"/>
      <c r="CD460" s="33"/>
      <c r="CE460" s="33"/>
      <c r="CF460" s="34">
        <v>230</v>
      </c>
      <c r="CG460" s="33"/>
      <c r="CH460" s="33"/>
      <c r="CI460" s="33"/>
      <c r="CJ460" s="33"/>
      <c r="CK460" s="33"/>
      <c r="CL460" s="33"/>
      <c r="CM460" s="33"/>
      <c r="CN460" s="33">
        <v>280</v>
      </c>
      <c r="CO460" s="33"/>
      <c r="CP460" s="33"/>
      <c r="CQ460" s="33"/>
      <c r="CR460" s="33"/>
      <c r="CS460" s="33"/>
      <c r="CT460" s="33"/>
      <c r="CU460" s="33"/>
      <c r="CV460" s="33"/>
      <c r="CW460" s="33"/>
      <c r="CX460" s="33" t="s">
        <v>214</v>
      </c>
      <c r="CY460" s="33">
        <v>280</v>
      </c>
      <c r="CZ460" s="34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4"/>
      <c r="DN460" s="34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8"/>
    </row>
    <row r="461" spans="2:137" ht="13.2">
      <c r="B461" s="30" t="str">
        <f t="shared" si="16"/>
        <v>2024/7</v>
      </c>
      <c r="C461" s="31">
        <f t="shared" si="17"/>
        <v>1020</v>
      </c>
      <c r="D461" s="32">
        <v>45504</v>
      </c>
      <c r="E461" s="33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3"/>
      <c r="R461" s="33"/>
      <c r="S461" s="33"/>
      <c r="T461" s="33"/>
      <c r="U461" s="35"/>
      <c r="V461" s="36"/>
      <c r="W461" s="37"/>
      <c r="X461" s="34"/>
      <c r="Y461" s="33"/>
      <c r="Z461" s="33"/>
      <c r="AA461" s="33"/>
      <c r="AB461" s="35"/>
      <c r="AC461" s="34"/>
      <c r="AD461" s="34"/>
      <c r="AE461" s="34"/>
      <c r="AF461" s="34"/>
      <c r="AG461" s="34"/>
      <c r="AH461" s="33"/>
      <c r="AI461" s="33"/>
      <c r="AJ461" s="34"/>
      <c r="AK461" s="33"/>
      <c r="AL461" s="33"/>
      <c r="AM461" s="33"/>
      <c r="AN461" s="34"/>
      <c r="AO461" s="34"/>
      <c r="AP461" s="33"/>
      <c r="AQ461" s="34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4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5"/>
      <c r="CC461" s="33"/>
      <c r="CD461" s="33"/>
      <c r="CE461" s="33"/>
      <c r="CF461" s="34"/>
      <c r="CG461" s="33"/>
      <c r="CH461" s="33"/>
      <c r="CI461" s="33"/>
      <c r="CJ461" s="33">
        <v>300</v>
      </c>
      <c r="CK461" s="33">
        <v>300</v>
      </c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4"/>
      <c r="DA461" s="33"/>
      <c r="DB461" s="33">
        <v>180</v>
      </c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4">
        <v>240</v>
      </c>
      <c r="DN461" s="34"/>
      <c r="DO461" s="33"/>
      <c r="DP461" s="33"/>
      <c r="DQ461" s="33" t="s">
        <v>208</v>
      </c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8"/>
    </row>
    <row r="462" spans="2:137" ht="13.2">
      <c r="B462" s="30" t="str">
        <f t="shared" si="16"/>
        <v>2024/8</v>
      </c>
      <c r="C462" s="31">
        <f t="shared" si="17"/>
        <v>2020</v>
      </c>
      <c r="D462" s="32">
        <v>45505</v>
      </c>
      <c r="E462" s="33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3"/>
      <c r="R462" s="33"/>
      <c r="S462" s="33"/>
      <c r="T462" s="33"/>
      <c r="U462" s="35"/>
      <c r="V462" s="36"/>
      <c r="W462" s="37"/>
      <c r="X462" s="34"/>
      <c r="Y462" s="33"/>
      <c r="Z462" s="33"/>
      <c r="AA462" s="33"/>
      <c r="AB462" s="35"/>
      <c r="AC462" s="34"/>
      <c r="AD462" s="34"/>
      <c r="AE462" s="34"/>
      <c r="AF462" s="34"/>
      <c r="AG462" s="34"/>
      <c r="AH462" s="33"/>
      <c r="AI462" s="33"/>
      <c r="AJ462" s="34"/>
      <c r="AK462" s="33"/>
      <c r="AL462" s="33"/>
      <c r="AM462" s="33"/>
      <c r="AN462" s="34"/>
      <c r="AO462" s="34"/>
      <c r="AP462" s="33"/>
      <c r="AQ462" s="34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4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5"/>
      <c r="CC462" s="33"/>
      <c r="CD462" s="33"/>
      <c r="CE462" s="33"/>
      <c r="CF462" s="34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>
        <v>780</v>
      </c>
      <c r="CV462" s="33"/>
      <c r="CW462" s="33"/>
      <c r="CX462" s="33" t="s">
        <v>224</v>
      </c>
      <c r="CY462" s="33"/>
      <c r="CZ462" s="34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4"/>
      <c r="DN462" s="34"/>
      <c r="DO462" s="33"/>
      <c r="DP462" s="33">
        <v>980</v>
      </c>
      <c r="DQ462" s="33"/>
      <c r="DR462" s="33"/>
      <c r="DS462" s="33">
        <v>260</v>
      </c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8"/>
    </row>
    <row r="463" spans="2:137" ht="13.2">
      <c r="B463" s="30" t="str">
        <f t="shared" si="16"/>
        <v>2024/8</v>
      </c>
      <c r="C463" s="31">
        <f t="shared" si="17"/>
        <v>2180</v>
      </c>
      <c r="D463" s="32">
        <v>45506</v>
      </c>
      <c r="E463" s="33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3"/>
      <c r="R463" s="33"/>
      <c r="S463" s="33"/>
      <c r="T463" s="33"/>
      <c r="U463" s="35"/>
      <c r="V463" s="36"/>
      <c r="W463" s="37"/>
      <c r="X463" s="34"/>
      <c r="Y463" s="33"/>
      <c r="Z463" s="33"/>
      <c r="AA463" s="33"/>
      <c r="AB463" s="35"/>
      <c r="AC463" s="34"/>
      <c r="AD463" s="34"/>
      <c r="AE463" s="34"/>
      <c r="AF463" s="34"/>
      <c r="AG463" s="34"/>
      <c r="AH463" s="33"/>
      <c r="AI463" s="33"/>
      <c r="AJ463" s="34"/>
      <c r="AK463" s="33"/>
      <c r="AL463" s="33"/>
      <c r="AM463" s="33"/>
      <c r="AN463" s="34"/>
      <c r="AO463" s="34"/>
      <c r="AP463" s="33"/>
      <c r="AQ463" s="34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4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5"/>
      <c r="CC463" s="33"/>
      <c r="CD463" s="33"/>
      <c r="CE463" s="33"/>
      <c r="CF463" s="34"/>
      <c r="CG463" s="33"/>
      <c r="CH463" s="33">
        <v>480</v>
      </c>
      <c r="CI463" s="33">
        <v>280</v>
      </c>
      <c r="CJ463" s="33"/>
      <c r="CK463" s="33"/>
      <c r="CL463" s="33"/>
      <c r="CM463" s="33"/>
      <c r="CN463" s="33"/>
      <c r="CO463" s="33"/>
      <c r="CP463" s="33"/>
      <c r="CQ463" s="33"/>
      <c r="CR463" s="33" t="s">
        <v>214</v>
      </c>
      <c r="CS463" s="33"/>
      <c r="CT463" s="33"/>
      <c r="CU463" s="33"/>
      <c r="CV463" s="33">
        <v>250</v>
      </c>
      <c r="CW463" s="33"/>
      <c r="CX463" s="33"/>
      <c r="CY463" s="33"/>
      <c r="CZ463" s="34">
        <v>220</v>
      </c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4"/>
      <c r="DN463" s="34" t="s">
        <v>224</v>
      </c>
      <c r="DO463" s="33">
        <v>350</v>
      </c>
      <c r="DP463" s="33" t="s">
        <v>209</v>
      </c>
      <c r="DQ463" s="33"/>
      <c r="DR463" s="33" t="s">
        <v>208</v>
      </c>
      <c r="DS463" s="33"/>
      <c r="DT463" s="33">
        <v>600</v>
      </c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8"/>
    </row>
    <row r="464" spans="2:137" ht="13.2">
      <c r="B464" s="30" t="str">
        <f t="shared" si="16"/>
        <v>2024/8</v>
      </c>
      <c r="C464" s="31">
        <f t="shared" si="17"/>
        <v>1860</v>
      </c>
      <c r="D464" s="32">
        <v>45510</v>
      </c>
      <c r="E464" s="33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3"/>
      <c r="R464" s="33"/>
      <c r="S464" s="33"/>
      <c r="T464" s="33"/>
      <c r="U464" s="35"/>
      <c r="V464" s="36"/>
      <c r="W464" s="37"/>
      <c r="X464" s="34"/>
      <c r="Y464" s="33"/>
      <c r="Z464" s="33"/>
      <c r="AA464" s="33"/>
      <c r="AB464" s="35"/>
      <c r="AC464" s="34"/>
      <c r="AD464" s="34"/>
      <c r="AE464" s="34"/>
      <c r="AF464" s="34"/>
      <c r="AG464" s="34"/>
      <c r="AH464" s="33"/>
      <c r="AI464" s="33"/>
      <c r="AJ464" s="34"/>
      <c r="AK464" s="33"/>
      <c r="AL464" s="33"/>
      <c r="AM464" s="33"/>
      <c r="AN464" s="34"/>
      <c r="AO464" s="34"/>
      <c r="AP464" s="33"/>
      <c r="AQ464" s="34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4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5"/>
      <c r="CC464" s="33"/>
      <c r="CD464" s="33"/>
      <c r="CE464" s="33"/>
      <c r="CF464" s="34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 t="s">
        <v>248</v>
      </c>
      <c r="CY464" s="33">
        <v>280</v>
      </c>
      <c r="CZ464" s="34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4"/>
      <c r="DN464" s="34"/>
      <c r="DO464" s="33">
        <v>200</v>
      </c>
      <c r="DP464" s="33"/>
      <c r="DQ464" s="33">
        <v>1120</v>
      </c>
      <c r="DR464" s="33"/>
      <c r="DS464" s="33">
        <v>260</v>
      </c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8"/>
    </row>
    <row r="465" spans="2:137" ht="13.2">
      <c r="B465" s="30" t="str">
        <f t="shared" si="16"/>
        <v>2024/8</v>
      </c>
      <c r="C465" s="31">
        <f t="shared" si="17"/>
        <v>540</v>
      </c>
      <c r="D465" s="32">
        <v>45511</v>
      </c>
      <c r="E465" s="33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3"/>
      <c r="R465" s="33"/>
      <c r="S465" s="33"/>
      <c r="T465" s="33"/>
      <c r="U465" s="35"/>
      <c r="V465" s="36"/>
      <c r="W465" s="37"/>
      <c r="X465" s="34"/>
      <c r="Y465" s="33"/>
      <c r="Z465" s="33"/>
      <c r="AA465" s="33"/>
      <c r="AB465" s="35"/>
      <c r="AC465" s="34"/>
      <c r="AD465" s="34"/>
      <c r="AE465" s="34"/>
      <c r="AF465" s="34"/>
      <c r="AG465" s="34"/>
      <c r="AH465" s="33"/>
      <c r="AI465" s="33"/>
      <c r="AJ465" s="34"/>
      <c r="AK465" s="33"/>
      <c r="AL465" s="33"/>
      <c r="AM465" s="33"/>
      <c r="AN465" s="34"/>
      <c r="AO465" s="34"/>
      <c r="AP465" s="33"/>
      <c r="AQ465" s="34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4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5"/>
      <c r="CC465" s="33"/>
      <c r="CD465" s="33"/>
      <c r="CE465" s="33"/>
      <c r="CF465" s="34"/>
      <c r="CG465" s="33"/>
      <c r="CH465" s="33"/>
      <c r="CI465" s="33"/>
      <c r="CJ465" s="33"/>
      <c r="CK465" s="33"/>
      <c r="CL465" s="33" t="s">
        <v>227</v>
      </c>
      <c r="CM465" s="33"/>
      <c r="CN465" s="33">
        <v>280</v>
      </c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4"/>
      <c r="DA465" s="33"/>
      <c r="DB465" s="33"/>
      <c r="DC465" s="33"/>
      <c r="DD465" s="33"/>
      <c r="DE465" s="33"/>
      <c r="DF465" s="33"/>
      <c r="DG465" s="33"/>
      <c r="DH465" s="33">
        <v>260</v>
      </c>
      <c r="DI465" s="33"/>
      <c r="DJ465" s="33"/>
      <c r="DK465" s="33"/>
      <c r="DL465" s="33"/>
      <c r="DM465" s="34"/>
      <c r="DN465" s="34" t="s">
        <v>248</v>
      </c>
      <c r="DO465" s="33"/>
      <c r="DP465" s="33"/>
      <c r="DQ465" s="33" t="s">
        <v>209</v>
      </c>
      <c r="DR465" s="33" t="s">
        <v>210</v>
      </c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8"/>
    </row>
    <row r="466" spans="2:137" ht="13.2">
      <c r="B466" s="30" t="str">
        <f t="shared" si="16"/>
        <v>2024/8</v>
      </c>
      <c r="C466" s="31">
        <f t="shared" si="17"/>
        <v>80</v>
      </c>
      <c r="D466" s="32">
        <v>45512</v>
      </c>
      <c r="E466" s="33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3"/>
      <c r="R466" s="33"/>
      <c r="S466" s="33"/>
      <c r="T466" s="33"/>
      <c r="U466" s="35"/>
      <c r="V466" s="36"/>
      <c r="W466" s="37"/>
      <c r="X466" s="34"/>
      <c r="Y466" s="33"/>
      <c r="Z466" s="33"/>
      <c r="AA466" s="33"/>
      <c r="AB466" s="35"/>
      <c r="AC466" s="34"/>
      <c r="AD466" s="34"/>
      <c r="AE466" s="34"/>
      <c r="AF466" s="34"/>
      <c r="AG466" s="34"/>
      <c r="AH466" s="33"/>
      <c r="AI466" s="33"/>
      <c r="AJ466" s="34"/>
      <c r="AK466" s="33"/>
      <c r="AL466" s="33"/>
      <c r="AM466" s="33"/>
      <c r="AN466" s="34"/>
      <c r="AO466" s="34"/>
      <c r="AP466" s="33"/>
      <c r="AQ466" s="34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4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5"/>
      <c r="CC466" s="33"/>
      <c r="CD466" s="33"/>
      <c r="CE466" s="33"/>
      <c r="CF466" s="34"/>
      <c r="CG466" s="33"/>
      <c r="CH466" s="33">
        <v>80</v>
      </c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 t="s">
        <v>227</v>
      </c>
      <c r="CV466" s="33"/>
      <c r="CW466" s="33"/>
      <c r="CX466" s="33" t="s">
        <v>240</v>
      </c>
      <c r="CY466" s="33"/>
      <c r="CZ466" s="34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4"/>
      <c r="DN466" s="34"/>
      <c r="DO466" s="33"/>
      <c r="DP466" s="33" t="s">
        <v>206</v>
      </c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8"/>
    </row>
    <row r="467" spans="2:137" ht="13.2">
      <c r="B467" s="30" t="str">
        <f t="shared" si="16"/>
        <v>2024/8</v>
      </c>
      <c r="C467" s="31">
        <f t="shared" si="17"/>
        <v>2230</v>
      </c>
      <c r="D467" s="32">
        <v>45513</v>
      </c>
      <c r="E467" s="33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3"/>
      <c r="R467" s="33"/>
      <c r="S467" s="33"/>
      <c r="T467" s="33"/>
      <c r="U467" s="35"/>
      <c r="V467" s="36"/>
      <c r="W467" s="37"/>
      <c r="X467" s="34"/>
      <c r="Y467" s="33"/>
      <c r="Z467" s="33"/>
      <c r="AA467" s="33"/>
      <c r="AB467" s="35"/>
      <c r="AC467" s="34"/>
      <c r="AD467" s="34"/>
      <c r="AE467" s="34"/>
      <c r="AF467" s="34"/>
      <c r="AG467" s="34"/>
      <c r="AH467" s="33"/>
      <c r="AI467" s="33"/>
      <c r="AJ467" s="34"/>
      <c r="AK467" s="33"/>
      <c r="AL467" s="33"/>
      <c r="AM467" s="33"/>
      <c r="AN467" s="34"/>
      <c r="AO467" s="34"/>
      <c r="AP467" s="33"/>
      <c r="AQ467" s="34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4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5"/>
      <c r="CC467" s="33"/>
      <c r="CD467" s="33"/>
      <c r="CE467" s="33"/>
      <c r="CF467" s="34"/>
      <c r="CG467" s="33"/>
      <c r="CH467" s="33"/>
      <c r="CI467" s="33"/>
      <c r="CJ467" s="33"/>
      <c r="CK467" s="33"/>
      <c r="CL467" s="33"/>
      <c r="CM467" s="33"/>
      <c r="CN467" s="33">
        <v>280</v>
      </c>
      <c r="CO467" s="33"/>
      <c r="CP467" s="33"/>
      <c r="CQ467" s="33"/>
      <c r="CR467" s="33" t="s">
        <v>208</v>
      </c>
      <c r="CS467" s="33"/>
      <c r="CT467" s="33"/>
      <c r="CU467" s="33"/>
      <c r="CV467" s="33">
        <v>250</v>
      </c>
      <c r="CW467" s="33"/>
      <c r="CX467" s="33" t="s">
        <v>245</v>
      </c>
      <c r="CY467" s="33"/>
      <c r="CZ467" s="34"/>
      <c r="DA467" s="33"/>
      <c r="DB467" s="33">
        <v>260</v>
      </c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4">
        <v>240</v>
      </c>
      <c r="DN467" s="34"/>
      <c r="DO467" s="33"/>
      <c r="DP467" s="33"/>
      <c r="DQ467" s="33"/>
      <c r="DR467" s="33"/>
      <c r="DS467" s="33"/>
      <c r="DT467" s="33">
        <v>1200</v>
      </c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8"/>
    </row>
    <row r="468" spans="2:137" ht="13.2">
      <c r="B468" s="30" t="str">
        <f t="shared" si="16"/>
        <v>2024/8</v>
      </c>
      <c r="C468" s="31">
        <f t="shared" si="17"/>
        <v>2900</v>
      </c>
      <c r="D468" s="32">
        <v>45517</v>
      </c>
      <c r="E468" s="33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3"/>
      <c r="R468" s="33"/>
      <c r="S468" s="33"/>
      <c r="T468" s="33"/>
      <c r="U468" s="35"/>
      <c r="V468" s="36"/>
      <c r="W468" s="37"/>
      <c r="X468" s="34"/>
      <c r="Y468" s="33"/>
      <c r="Z468" s="33"/>
      <c r="AA468" s="33"/>
      <c r="AB468" s="35"/>
      <c r="AC468" s="34"/>
      <c r="AD468" s="34"/>
      <c r="AE468" s="34"/>
      <c r="AF468" s="34"/>
      <c r="AG468" s="34"/>
      <c r="AH468" s="33"/>
      <c r="AI468" s="33"/>
      <c r="AJ468" s="34"/>
      <c r="AK468" s="33"/>
      <c r="AL468" s="33"/>
      <c r="AM468" s="33"/>
      <c r="AN468" s="34"/>
      <c r="AO468" s="34"/>
      <c r="AP468" s="33"/>
      <c r="AQ468" s="34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4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5"/>
      <c r="CC468" s="33"/>
      <c r="CD468" s="33"/>
      <c r="CE468" s="33"/>
      <c r="CF468" s="34"/>
      <c r="CG468" s="33"/>
      <c r="CH468" s="33"/>
      <c r="CI468" s="33"/>
      <c r="CJ468" s="33"/>
      <c r="CK468" s="33"/>
      <c r="CL468" s="33" t="s">
        <v>227</v>
      </c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 t="s">
        <v>249</v>
      </c>
      <c r="CY468" s="33"/>
      <c r="CZ468" s="34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4"/>
      <c r="DN468" s="34"/>
      <c r="DO468" s="33"/>
      <c r="DP468" s="33"/>
      <c r="DQ468" s="33"/>
      <c r="DR468" s="33">
        <v>1040</v>
      </c>
      <c r="DS468" s="33">
        <v>260</v>
      </c>
      <c r="DT468" s="33" t="s">
        <v>227</v>
      </c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>
        <v>1600</v>
      </c>
      <c r="EF468" s="33"/>
      <c r="EG468" s="38"/>
    </row>
    <row r="469" spans="2:137" ht="13.2">
      <c r="B469" s="30" t="str">
        <f t="shared" si="16"/>
        <v>2024/8</v>
      </c>
      <c r="C469" s="31">
        <f t="shared" si="17"/>
        <v>460</v>
      </c>
      <c r="D469" s="32">
        <v>45518</v>
      </c>
      <c r="E469" s="33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3"/>
      <c r="R469" s="33"/>
      <c r="S469" s="33"/>
      <c r="T469" s="33"/>
      <c r="U469" s="35"/>
      <c r="V469" s="36"/>
      <c r="W469" s="37"/>
      <c r="X469" s="34"/>
      <c r="Y469" s="33"/>
      <c r="Z469" s="33"/>
      <c r="AA469" s="33"/>
      <c r="AB469" s="35"/>
      <c r="AC469" s="34"/>
      <c r="AD469" s="34"/>
      <c r="AE469" s="34"/>
      <c r="AF469" s="34"/>
      <c r="AG469" s="34"/>
      <c r="AH469" s="33"/>
      <c r="AI469" s="33"/>
      <c r="AJ469" s="34"/>
      <c r="AK469" s="33"/>
      <c r="AL469" s="33"/>
      <c r="AM469" s="33"/>
      <c r="AN469" s="34"/>
      <c r="AO469" s="34"/>
      <c r="AP469" s="33"/>
      <c r="AQ469" s="34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4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5"/>
      <c r="CC469" s="33"/>
      <c r="CD469" s="33"/>
      <c r="CE469" s="33"/>
      <c r="CF469" s="34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4">
        <v>220</v>
      </c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4">
        <v>240</v>
      </c>
      <c r="DN469" s="34" t="s">
        <v>232</v>
      </c>
      <c r="DO469" s="33"/>
      <c r="DP469" s="33"/>
      <c r="DQ469" s="33"/>
      <c r="DR469" s="33" t="s">
        <v>206</v>
      </c>
      <c r="DS469" s="33"/>
      <c r="DT469" s="33" t="s">
        <v>227</v>
      </c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8"/>
    </row>
    <row r="470" spans="2:137" ht="13.2">
      <c r="B470" s="30" t="str">
        <f t="shared" si="16"/>
        <v>2024/8</v>
      </c>
      <c r="C470" s="31">
        <f t="shared" si="17"/>
        <v>6155</v>
      </c>
      <c r="D470" s="32">
        <v>45519</v>
      </c>
      <c r="E470" s="33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3"/>
      <c r="R470" s="33"/>
      <c r="S470" s="33"/>
      <c r="T470" s="33"/>
      <c r="U470" s="35"/>
      <c r="V470" s="36"/>
      <c r="W470" s="37"/>
      <c r="X470" s="34"/>
      <c r="Y470" s="33"/>
      <c r="Z470" s="33"/>
      <c r="AA470" s="33"/>
      <c r="AB470" s="35"/>
      <c r="AC470" s="34"/>
      <c r="AD470" s="34"/>
      <c r="AE470" s="34"/>
      <c r="AF470" s="34"/>
      <c r="AG470" s="34"/>
      <c r="AH470" s="33"/>
      <c r="AI470" s="33"/>
      <c r="AJ470" s="34"/>
      <c r="AK470" s="33"/>
      <c r="AL470" s="33"/>
      <c r="AM470" s="33"/>
      <c r="AN470" s="34"/>
      <c r="AO470" s="34"/>
      <c r="AP470" s="33"/>
      <c r="AQ470" s="34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4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5"/>
      <c r="CC470" s="33"/>
      <c r="CD470" s="33"/>
      <c r="CE470" s="33">
        <v>280</v>
      </c>
      <c r="CF470" s="34"/>
      <c r="CG470" s="33"/>
      <c r="CH470" s="33"/>
      <c r="CI470" s="33"/>
      <c r="CJ470" s="33"/>
      <c r="CK470" s="33">
        <v>250</v>
      </c>
      <c r="CL470" s="33">
        <v>825</v>
      </c>
      <c r="CM470" s="33"/>
      <c r="CN470" s="33"/>
      <c r="CO470" s="33"/>
      <c r="CP470" s="33"/>
      <c r="CQ470" s="33"/>
      <c r="CR470" s="33"/>
      <c r="CS470" s="33"/>
      <c r="CT470" s="33"/>
      <c r="CU470" s="33">
        <v>520</v>
      </c>
      <c r="CV470" s="33"/>
      <c r="CW470" s="33"/>
      <c r="CX470" s="33">
        <v>2160</v>
      </c>
      <c r="CY470" s="33">
        <v>280</v>
      </c>
      <c r="CZ470" s="34"/>
      <c r="DA470" s="33"/>
      <c r="DB470" s="33">
        <v>180</v>
      </c>
      <c r="DC470" s="33"/>
      <c r="DD470" s="33"/>
      <c r="DE470" s="33"/>
      <c r="DF470" s="33"/>
      <c r="DG470" s="33"/>
      <c r="DH470" s="33">
        <v>260</v>
      </c>
      <c r="DI470" s="33"/>
      <c r="DJ470" s="33"/>
      <c r="DK470" s="33"/>
      <c r="DL470" s="33"/>
      <c r="DM470" s="34"/>
      <c r="DN470" s="34">
        <v>1200</v>
      </c>
      <c r="DO470" s="33">
        <v>200</v>
      </c>
      <c r="DP470" s="33" t="s">
        <v>207</v>
      </c>
      <c r="DQ470" s="33" t="s">
        <v>206</v>
      </c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8"/>
    </row>
    <row r="471" spans="2:137" ht="13.2">
      <c r="B471" s="30" t="str">
        <f t="shared" si="16"/>
        <v>2024/8</v>
      </c>
      <c r="C471" s="31">
        <f t="shared" si="17"/>
        <v>1455</v>
      </c>
      <c r="D471" s="32">
        <v>45520</v>
      </c>
      <c r="E471" s="33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3"/>
      <c r="R471" s="33"/>
      <c r="S471" s="33"/>
      <c r="T471" s="33"/>
      <c r="U471" s="35"/>
      <c r="V471" s="36"/>
      <c r="W471" s="37"/>
      <c r="X471" s="34"/>
      <c r="Y471" s="33"/>
      <c r="Z471" s="33"/>
      <c r="AA471" s="33"/>
      <c r="AB471" s="35"/>
      <c r="AC471" s="34"/>
      <c r="AD471" s="34"/>
      <c r="AE471" s="34"/>
      <c r="AF471" s="34"/>
      <c r="AG471" s="34"/>
      <c r="AH471" s="33"/>
      <c r="AI471" s="33"/>
      <c r="AJ471" s="34"/>
      <c r="AK471" s="33"/>
      <c r="AL471" s="33"/>
      <c r="AM471" s="33"/>
      <c r="AN471" s="34"/>
      <c r="AO471" s="34"/>
      <c r="AP471" s="33"/>
      <c r="AQ471" s="34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4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5"/>
      <c r="CC471" s="33"/>
      <c r="CD471" s="33"/>
      <c r="CE471" s="33"/>
      <c r="CF471" s="34"/>
      <c r="CG471" s="33"/>
      <c r="CH471" s="33"/>
      <c r="CI471" s="33"/>
      <c r="CJ471" s="33"/>
      <c r="CK471" s="33"/>
      <c r="CL471" s="33"/>
      <c r="CM471" s="33"/>
      <c r="CN471" s="33">
        <v>280</v>
      </c>
      <c r="CO471" s="33"/>
      <c r="CP471" s="33"/>
      <c r="CQ471" s="33"/>
      <c r="CR471" s="33"/>
      <c r="CS471" s="33"/>
      <c r="CT471" s="33"/>
      <c r="CU471" s="33"/>
      <c r="CV471" s="33">
        <v>275</v>
      </c>
      <c r="CW471" s="33"/>
      <c r="CX471" s="33" t="s">
        <v>246</v>
      </c>
      <c r="CY471" s="33"/>
      <c r="CZ471" s="34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4"/>
      <c r="DN471" s="34"/>
      <c r="DO471" s="33"/>
      <c r="DP471" s="33"/>
      <c r="DQ471" s="33"/>
      <c r="DR471" s="33"/>
      <c r="DS471" s="33"/>
      <c r="DT471" s="33">
        <v>900</v>
      </c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8"/>
    </row>
    <row r="472" spans="2:137" ht="13.2">
      <c r="B472" s="30" t="str">
        <f t="shared" si="16"/>
        <v>2024/8</v>
      </c>
      <c r="C472" s="31">
        <f t="shared" si="17"/>
        <v>540</v>
      </c>
      <c r="D472" s="32">
        <v>45524</v>
      </c>
      <c r="E472" s="33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3"/>
      <c r="R472" s="33"/>
      <c r="S472" s="33"/>
      <c r="T472" s="33"/>
      <c r="U472" s="35"/>
      <c r="V472" s="36"/>
      <c r="W472" s="37"/>
      <c r="X472" s="34"/>
      <c r="Y472" s="33"/>
      <c r="Z472" s="33"/>
      <c r="AA472" s="33"/>
      <c r="AB472" s="35"/>
      <c r="AC472" s="34"/>
      <c r="AD472" s="34"/>
      <c r="AE472" s="34"/>
      <c r="AF472" s="34"/>
      <c r="AG472" s="34"/>
      <c r="AH472" s="33"/>
      <c r="AI472" s="33"/>
      <c r="AJ472" s="34"/>
      <c r="AK472" s="33"/>
      <c r="AL472" s="33"/>
      <c r="AM472" s="33"/>
      <c r="AN472" s="34"/>
      <c r="AO472" s="34"/>
      <c r="AP472" s="33"/>
      <c r="AQ472" s="34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4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5"/>
      <c r="CC472" s="33"/>
      <c r="CD472" s="33"/>
      <c r="CE472" s="33"/>
      <c r="CF472" s="34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 t="s">
        <v>206</v>
      </c>
      <c r="CY472" s="33">
        <v>280</v>
      </c>
      <c r="CZ472" s="34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4"/>
      <c r="DN472" s="34"/>
      <c r="DO472" s="33"/>
      <c r="DP472" s="33"/>
      <c r="DQ472" s="33"/>
      <c r="DR472" s="33"/>
      <c r="DS472" s="33">
        <v>260</v>
      </c>
      <c r="DT472" s="33" t="s">
        <v>227</v>
      </c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8"/>
    </row>
    <row r="473" spans="2:137" ht="13.2">
      <c r="B473" s="30" t="str">
        <f t="shared" si="16"/>
        <v>2024/8</v>
      </c>
      <c r="C473" s="31">
        <f t="shared" si="17"/>
        <v>450</v>
      </c>
      <c r="D473" s="32">
        <v>45525</v>
      </c>
      <c r="E473" s="33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3"/>
      <c r="R473" s="33"/>
      <c r="S473" s="33"/>
      <c r="T473" s="33"/>
      <c r="U473" s="35"/>
      <c r="V473" s="36"/>
      <c r="W473" s="37"/>
      <c r="X473" s="34"/>
      <c r="Y473" s="33"/>
      <c r="Z473" s="33"/>
      <c r="AA473" s="33"/>
      <c r="AB473" s="35"/>
      <c r="AC473" s="34"/>
      <c r="AD473" s="34"/>
      <c r="AE473" s="34"/>
      <c r="AF473" s="34"/>
      <c r="AG473" s="34"/>
      <c r="AH473" s="33"/>
      <c r="AI473" s="33"/>
      <c r="AJ473" s="34"/>
      <c r="AK473" s="33"/>
      <c r="AL473" s="33"/>
      <c r="AM473" s="33"/>
      <c r="AN473" s="34"/>
      <c r="AO473" s="34"/>
      <c r="AP473" s="33"/>
      <c r="AQ473" s="34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4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5"/>
      <c r="CC473" s="33"/>
      <c r="CD473" s="33"/>
      <c r="CE473" s="33"/>
      <c r="CF473" s="34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4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4">
        <v>250</v>
      </c>
      <c r="DN473" s="34"/>
      <c r="DO473" s="33">
        <v>200</v>
      </c>
      <c r="DP473" s="33"/>
      <c r="DQ473" s="33" t="s">
        <v>207</v>
      </c>
      <c r="DR473" s="33" t="s">
        <v>207</v>
      </c>
      <c r="DS473" s="33"/>
      <c r="DT473" s="33" t="s">
        <v>227</v>
      </c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8"/>
    </row>
    <row r="474" spans="2:137" ht="13.2">
      <c r="B474" s="30" t="str">
        <f t="shared" si="16"/>
        <v>2024/8</v>
      </c>
      <c r="C474" s="31">
        <f t="shared" si="17"/>
        <v>1425</v>
      </c>
      <c r="D474" s="32">
        <v>45526</v>
      </c>
      <c r="E474" s="33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3"/>
      <c r="R474" s="33"/>
      <c r="S474" s="33"/>
      <c r="T474" s="33"/>
      <c r="U474" s="35"/>
      <c r="V474" s="36"/>
      <c r="W474" s="37"/>
      <c r="X474" s="34"/>
      <c r="Y474" s="33"/>
      <c r="Z474" s="33"/>
      <c r="AA474" s="33"/>
      <c r="AB474" s="35"/>
      <c r="AC474" s="34"/>
      <c r="AD474" s="34"/>
      <c r="AE474" s="34"/>
      <c r="AF474" s="34"/>
      <c r="AG474" s="34"/>
      <c r="AH474" s="33"/>
      <c r="AI474" s="33"/>
      <c r="AJ474" s="34"/>
      <c r="AK474" s="33"/>
      <c r="AL474" s="33"/>
      <c r="AM474" s="33"/>
      <c r="AN474" s="34"/>
      <c r="AO474" s="34"/>
      <c r="AP474" s="33"/>
      <c r="AQ474" s="34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4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5"/>
      <c r="CC474" s="33"/>
      <c r="CD474" s="33"/>
      <c r="CE474" s="33"/>
      <c r="CF474" s="34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>
        <v>880</v>
      </c>
      <c r="CS474" s="33"/>
      <c r="CT474" s="33"/>
      <c r="CU474" s="33">
        <v>270</v>
      </c>
      <c r="CV474" s="33">
        <v>275</v>
      </c>
      <c r="CW474" s="33"/>
      <c r="CX474" s="33" t="s">
        <v>214</v>
      </c>
      <c r="CY474" s="33"/>
      <c r="CZ474" s="34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4"/>
      <c r="DN474" s="34" t="s">
        <v>210</v>
      </c>
      <c r="DO474" s="33"/>
      <c r="DP474" s="33" t="s">
        <v>208</v>
      </c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8"/>
    </row>
    <row r="475" spans="2:137" ht="13.2">
      <c r="B475" s="30" t="str">
        <f t="shared" si="16"/>
        <v>2024/8</v>
      </c>
      <c r="C475" s="31">
        <f t="shared" si="17"/>
        <v>1430</v>
      </c>
      <c r="D475" s="32">
        <v>45527</v>
      </c>
      <c r="E475" s="33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3"/>
      <c r="R475" s="33"/>
      <c r="S475" s="33"/>
      <c r="T475" s="33"/>
      <c r="U475" s="35"/>
      <c r="V475" s="36"/>
      <c r="W475" s="37"/>
      <c r="X475" s="34"/>
      <c r="Y475" s="33"/>
      <c r="Z475" s="33"/>
      <c r="AA475" s="33"/>
      <c r="AB475" s="35"/>
      <c r="AC475" s="34"/>
      <c r="AD475" s="34"/>
      <c r="AE475" s="34"/>
      <c r="AF475" s="34"/>
      <c r="AG475" s="34"/>
      <c r="AH475" s="33"/>
      <c r="AI475" s="33"/>
      <c r="AJ475" s="34"/>
      <c r="AK475" s="33"/>
      <c r="AL475" s="33"/>
      <c r="AM475" s="33"/>
      <c r="AN475" s="34"/>
      <c r="AO475" s="34"/>
      <c r="AP475" s="33"/>
      <c r="AQ475" s="34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4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5"/>
      <c r="CC475" s="33"/>
      <c r="CD475" s="33"/>
      <c r="CE475" s="33"/>
      <c r="CF475" s="34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 t="s">
        <v>210</v>
      </c>
      <c r="CS475" s="33"/>
      <c r="CT475" s="33"/>
      <c r="CU475" s="33"/>
      <c r="CV475" s="33"/>
      <c r="CW475" s="33"/>
      <c r="CX475" s="33"/>
      <c r="CY475" s="33"/>
      <c r="CZ475" s="34"/>
      <c r="DA475" s="33"/>
      <c r="DB475" s="33">
        <v>260</v>
      </c>
      <c r="DC475" s="33"/>
      <c r="DD475" s="33"/>
      <c r="DE475" s="33"/>
      <c r="DF475" s="33"/>
      <c r="DG475" s="33"/>
      <c r="DH475" s="33">
        <v>270</v>
      </c>
      <c r="DI475" s="33"/>
      <c r="DJ475" s="33"/>
      <c r="DK475" s="33"/>
      <c r="DL475" s="33"/>
      <c r="DM475" s="34"/>
      <c r="DN475" s="34"/>
      <c r="DO475" s="33"/>
      <c r="DP475" s="33"/>
      <c r="DQ475" s="33"/>
      <c r="DR475" s="33"/>
      <c r="DS475" s="33"/>
      <c r="DT475" s="33">
        <v>900</v>
      </c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8"/>
    </row>
    <row r="476" spans="2:137" ht="13.2">
      <c r="B476" s="30" t="str">
        <f t="shared" si="16"/>
        <v>2024/8</v>
      </c>
      <c r="C476" s="31">
        <f t="shared" si="17"/>
        <v>275</v>
      </c>
      <c r="D476" s="32">
        <v>45531</v>
      </c>
      <c r="E476" s="33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3"/>
      <c r="R476" s="33"/>
      <c r="S476" s="33"/>
      <c r="T476" s="33"/>
      <c r="U476" s="35"/>
      <c r="V476" s="36"/>
      <c r="W476" s="37"/>
      <c r="X476" s="34"/>
      <c r="Y476" s="33"/>
      <c r="Z476" s="33"/>
      <c r="AA476" s="33"/>
      <c r="AB476" s="35"/>
      <c r="AC476" s="34"/>
      <c r="AD476" s="34"/>
      <c r="AE476" s="34"/>
      <c r="AF476" s="34"/>
      <c r="AG476" s="34"/>
      <c r="AH476" s="33"/>
      <c r="AI476" s="33"/>
      <c r="AJ476" s="34"/>
      <c r="AK476" s="33"/>
      <c r="AL476" s="33"/>
      <c r="AM476" s="33"/>
      <c r="AN476" s="34"/>
      <c r="AO476" s="34"/>
      <c r="AP476" s="33"/>
      <c r="AQ476" s="34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4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5"/>
      <c r="CC476" s="33"/>
      <c r="CD476" s="33"/>
      <c r="CE476" s="33"/>
      <c r="CF476" s="34"/>
      <c r="CG476" s="33"/>
      <c r="CH476" s="33"/>
      <c r="CI476" s="33"/>
      <c r="CJ476" s="33"/>
      <c r="CK476" s="33">
        <v>275</v>
      </c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 t="s">
        <v>208</v>
      </c>
      <c r="CY476" s="33"/>
      <c r="CZ476" s="34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4"/>
      <c r="DN476" s="34"/>
      <c r="DO476" s="33" t="s">
        <v>227</v>
      </c>
      <c r="DP476" s="33"/>
      <c r="DQ476" s="33"/>
      <c r="DR476" s="33"/>
      <c r="DS476" s="33"/>
      <c r="DT476" s="33" t="s">
        <v>227</v>
      </c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8"/>
    </row>
    <row r="477" spans="2:137" ht="13.2">
      <c r="B477" s="30" t="str">
        <f t="shared" si="16"/>
        <v>2024/8</v>
      </c>
      <c r="C477" s="31">
        <f t="shared" si="17"/>
        <v>1065</v>
      </c>
      <c r="D477" s="32">
        <v>45532</v>
      </c>
      <c r="E477" s="33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3"/>
      <c r="R477" s="33"/>
      <c r="S477" s="33"/>
      <c r="T477" s="33"/>
      <c r="U477" s="35"/>
      <c r="V477" s="36"/>
      <c r="W477" s="37"/>
      <c r="X477" s="34"/>
      <c r="Y477" s="33"/>
      <c r="Z477" s="33"/>
      <c r="AA477" s="33"/>
      <c r="AB477" s="35"/>
      <c r="AC477" s="34"/>
      <c r="AD477" s="34"/>
      <c r="AE477" s="34"/>
      <c r="AF477" s="34"/>
      <c r="AG477" s="34"/>
      <c r="AH477" s="33"/>
      <c r="AI477" s="33"/>
      <c r="AJ477" s="34"/>
      <c r="AK477" s="33"/>
      <c r="AL477" s="33"/>
      <c r="AM477" s="33"/>
      <c r="AN477" s="34"/>
      <c r="AO477" s="34"/>
      <c r="AP477" s="33"/>
      <c r="AQ477" s="34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4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5"/>
      <c r="CC477" s="33"/>
      <c r="CD477" s="33"/>
      <c r="CE477" s="33"/>
      <c r="CF477" s="34"/>
      <c r="CG477" s="33"/>
      <c r="CH477" s="33"/>
      <c r="CI477" s="33"/>
      <c r="CJ477" s="33"/>
      <c r="CK477" s="33">
        <v>275</v>
      </c>
      <c r="CL477" s="33"/>
      <c r="CM477" s="33"/>
      <c r="CN477" s="33">
        <v>280</v>
      </c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4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4">
        <v>250</v>
      </c>
      <c r="DN477" s="34" t="s">
        <v>212</v>
      </c>
      <c r="DO477" s="33"/>
      <c r="DP477" s="33"/>
      <c r="DQ477" s="33"/>
      <c r="DR477" s="33" t="s">
        <v>208</v>
      </c>
      <c r="DS477" s="33">
        <v>260</v>
      </c>
      <c r="DT477" s="33" t="s">
        <v>227</v>
      </c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8"/>
    </row>
    <row r="478" spans="2:137" ht="13.2">
      <c r="B478" s="30" t="str">
        <f t="shared" si="16"/>
        <v>2024/8</v>
      </c>
      <c r="C478" s="31">
        <f t="shared" si="17"/>
        <v>745</v>
      </c>
      <c r="D478" s="32">
        <v>45533</v>
      </c>
      <c r="E478" s="33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3"/>
      <c r="R478" s="33"/>
      <c r="S478" s="33"/>
      <c r="T478" s="33"/>
      <c r="U478" s="35"/>
      <c r="V478" s="36"/>
      <c r="W478" s="37"/>
      <c r="X478" s="34"/>
      <c r="Y478" s="33"/>
      <c r="Z478" s="33"/>
      <c r="AA478" s="33"/>
      <c r="AB478" s="35"/>
      <c r="AC478" s="34"/>
      <c r="AD478" s="34"/>
      <c r="AE478" s="34"/>
      <c r="AF478" s="34"/>
      <c r="AG478" s="34"/>
      <c r="AH478" s="33"/>
      <c r="AI478" s="33"/>
      <c r="AJ478" s="34"/>
      <c r="AK478" s="33"/>
      <c r="AL478" s="33"/>
      <c r="AM478" s="33"/>
      <c r="AN478" s="34"/>
      <c r="AO478" s="34"/>
      <c r="AP478" s="33"/>
      <c r="AQ478" s="34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4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5"/>
      <c r="CC478" s="33"/>
      <c r="CD478" s="33"/>
      <c r="CE478" s="33"/>
      <c r="CF478" s="34"/>
      <c r="CG478" s="33"/>
      <c r="CH478" s="33"/>
      <c r="CI478" s="33"/>
      <c r="CJ478" s="33"/>
      <c r="CK478" s="33"/>
      <c r="CL478" s="33">
        <v>275</v>
      </c>
      <c r="CM478" s="33"/>
      <c r="CN478" s="33"/>
      <c r="CO478" s="33"/>
      <c r="CP478" s="33"/>
      <c r="CQ478" s="33"/>
      <c r="CR478" s="33"/>
      <c r="CS478" s="33"/>
      <c r="CT478" s="33"/>
      <c r="CU478" s="33">
        <v>270</v>
      </c>
      <c r="CV478" s="33"/>
      <c r="CW478" s="33"/>
      <c r="CX478" s="33" t="s">
        <v>231</v>
      </c>
      <c r="CY478" s="33"/>
      <c r="CZ478" s="34"/>
      <c r="DA478" s="33"/>
      <c r="DB478" s="33">
        <v>200</v>
      </c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4"/>
      <c r="DN478" s="34"/>
      <c r="DO478" s="33"/>
      <c r="DP478" s="33" t="s">
        <v>209</v>
      </c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8"/>
    </row>
    <row r="479" spans="2:137" ht="13.2">
      <c r="B479" s="30" t="str">
        <f t="shared" si="16"/>
        <v>2024/8</v>
      </c>
      <c r="C479" s="31">
        <f t="shared" si="17"/>
        <v>2255</v>
      </c>
      <c r="D479" s="32">
        <v>45534</v>
      </c>
      <c r="E479" s="33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3"/>
      <c r="R479" s="33"/>
      <c r="S479" s="33"/>
      <c r="T479" s="33"/>
      <c r="U479" s="35"/>
      <c r="V479" s="36"/>
      <c r="W479" s="37"/>
      <c r="X479" s="34"/>
      <c r="Y479" s="33"/>
      <c r="Z479" s="33"/>
      <c r="AA479" s="33"/>
      <c r="AB479" s="35"/>
      <c r="AC479" s="34"/>
      <c r="AD479" s="34"/>
      <c r="AE479" s="34"/>
      <c r="AF479" s="34"/>
      <c r="AG479" s="34"/>
      <c r="AH479" s="33"/>
      <c r="AI479" s="33"/>
      <c r="AJ479" s="34"/>
      <c r="AK479" s="33"/>
      <c r="AL479" s="33"/>
      <c r="AM479" s="33"/>
      <c r="AN479" s="34"/>
      <c r="AO479" s="34"/>
      <c r="AP479" s="33"/>
      <c r="AQ479" s="34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4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5"/>
      <c r="CC479" s="33"/>
      <c r="CD479" s="33"/>
      <c r="CE479" s="33"/>
      <c r="CF479" s="34"/>
      <c r="CG479" s="33"/>
      <c r="CH479" s="33"/>
      <c r="CI479" s="33"/>
      <c r="CJ479" s="33"/>
      <c r="CK479" s="33"/>
      <c r="CL479" s="33"/>
      <c r="CM479" s="33"/>
      <c r="CN479" s="33">
        <v>280</v>
      </c>
      <c r="CO479" s="33"/>
      <c r="CP479" s="33"/>
      <c r="CQ479" s="33"/>
      <c r="CR479" s="33" t="s">
        <v>212</v>
      </c>
      <c r="CS479" s="33"/>
      <c r="CT479" s="33"/>
      <c r="CU479" s="33"/>
      <c r="CV479" s="33">
        <v>275</v>
      </c>
      <c r="CW479" s="33"/>
      <c r="CX479" s="33"/>
      <c r="CY479" s="33">
        <v>280</v>
      </c>
      <c r="CZ479" s="34">
        <v>250</v>
      </c>
      <c r="DA479" s="33"/>
      <c r="DB479" s="33"/>
      <c r="DC479" s="33"/>
      <c r="DD479" s="33"/>
      <c r="DE479" s="33"/>
      <c r="DF479" s="33"/>
      <c r="DG479" s="33"/>
      <c r="DH479" s="33">
        <v>270</v>
      </c>
      <c r="DI479" s="33"/>
      <c r="DJ479" s="33"/>
      <c r="DK479" s="33"/>
      <c r="DL479" s="33"/>
      <c r="DM479" s="34"/>
      <c r="DN479" s="34"/>
      <c r="DO479" s="33"/>
      <c r="DP479" s="33"/>
      <c r="DQ479" s="33"/>
      <c r="DR479" s="33"/>
      <c r="DS479" s="33"/>
      <c r="DT479" s="33">
        <v>900</v>
      </c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8"/>
    </row>
    <row r="480" spans="2:137" ht="13.2">
      <c r="B480" s="30" t="str">
        <f t="shared" si="16"/>
        <v>2024/9</v>
      </c>
      <c r="C480" s="31">
        <f t="shared" si="17"/>
        <v>5035</v>
      </c>
      <c r="D480" s="32">
        <v>45538</v>
      </c>
      <c r="E480" s="33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3"/>
      <c r="R480" s="33"/>
      <c r="S480" s="33"/>
      <c r="T480" s="33"/>
      <c r="U480" s="35"/>
      <c r="V480" s="36"/>
      <c r="W480" s="37"/>
      <c r="X480" s="34"/>
      <c r="Y480" s="33"/>
      <c r="Z480" s="33"/>
      <c r="AA480" s="33"/>
      <c r="AB480" s="35"/>
      <c r="AC480" s="34"/>
      <c r="AD480" s="34"/>
      <c r="AE480" s="34"/>
      <c r="AF480" s="34"/>
      <c r="AG480" s="34"/>
      <c r="AH480" s="33"/>
      <c r="AI480" s="33"/>
      <c r="AJ480" s="34"/>
      <c r="AK480" s="33"/>
      <c r="AL480" s="33"/>
      <c r="AM480" s="33"/>
      <c r="AN480" s="34"/>
      <c r="AO480" s="34"/>
      <c r="AP480" s="33"/>
      <c r="AQ480" s="34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4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5"/>
      <c r="CC480" s="33"/>
      <c r="CD480" s="33"/>
      <c r="CE480" s="33"/>
      <c r="CF480" s="34"/>
      <c r="CG480" s="33"/>
      <c r="CH480" s="33"/>
      <c r="CI480" s="33"/>
      <c r="CJ480" s="33"/>
      <c r="CK480" s="33"/>
      <c r="CL480" s="33">
        <v>275</v>
      </c>
      <c r="CM480" s="33"/>
      <c r="CN480" s="33"/>
      <c r="CO480" s="33"/>
      <c r="CP480" s="33">
        <v>300</v>
      </c>
      <c r="CQ480" s="33"/>
      <c r="CR480" s="33"/>
      <c r="CS480" s="33"/>
      <c r="CT480" s="33"/>
      <c r="CU480" s="33"/>
      <c r="CV480" s="33"/>
      <c r="CW480" s="33"/>
      <c r="CX480" s="33" t="s">
        <v>232</v>
      </c>
      <c r="CY480" s="33">
        <v>280</v>
      </c>
      <c r="CZ480" s="34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4"/>
      <c r="DN480" s="34"/>
      <c r="DO480" s="33">
        <v>400</v>
      </c>
      <c r="DP480" s="33">
        <v>1300</v>
      </c>
      <c r="DQ480" s="33">
        <v>1120</v>
      </c>
      <c r="DR480" s="33">
        <v>1100</v>
      </c>
      <c r="DS480" s="33">
        <v>260</v>
      </c>
      <c r="DT480" s="33" t="s">
        <v>227</v>
      </c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8"/>
    </row>
    <row r="481" spans="2:137" ht="13.2">
      <c r="B481" s="30" t="str">
        <f t="shared" si="16"/>
        <v>2024/9</v>
      </c>
      <c r="C481" s="31">
        <f t="shared" si="17"/>
        <v>250</v>
      </c>
      <c r="D481" s="32">
        <v>45539</v>
      </c>
      <c r="E481" s="33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3"/>
      <c r="R481" s="33"/>
      <c r="S481" s="33"/>
      <c r="T481" s="33"/>
      <c r="U481" s="35"/>
      <c r="V481" s="36"/>
      <c r="W481" s="37"/>
      <c r="X481" s="34"/>
      <c r="Y481" s="33"/>
      <c r="Z481" s="33"/>
      <c r="AA481" s="33"/>
      <c r="AB481" s="35"/>
      <c r="AC481" s="34"/>
      <c r="AD481" s="34"/>
      <c r="AE481" s="34"/>
      <c r="AF481" s="34"/>
      <c r="AG481" s="34"/>
      <c r="AH481" s="33"/>
      <c r="AI481" s="33"/>
      <c r="AJ481" s="34"/>
      <c r="AK481" s="33"/>
      <c r="AL481" s="33"/>
      <c r="AM481" s="33"/>
      <c r="AN481" s="34"/>
      <c r="AO481" s="34"/>
      <c r="AP481" s="33"/>
      <c r="AQ481" s="34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4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5"/>
      <c r="CC481" s="33"/>
      <c r="CD481" s="33"/>
      <c r="CE481" s="33"/>
      <c r="CF481" s="34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4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4">
        <v>250</v>
      </c>
      <c r="DN481" s="34" t="s">
        <v>214</v>
      </c>
      <c r="DO481" s="33"/>
      <c r="DP481" s="33"/>
      <c r="DQ481" s="33" t="s">
        <v>208</v>
      </c>
      <c r="DR481" s="33" t="s">
        <v>209</v>
      </c>
      <c r="DS481" s="33"/>
      <c r="DT481" s="33" t="s">
        <v>227</v>
      </c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8"/>
    </row>
    <row r="482" spans="2:137" ht="13.2">
      <c r="B482" s="30" t="str">
        <f t="shared" si="16"/>
        <v>2024/9</v>
      </c>
      <c r="C482" s="31">
        <f t="shared" si="17"/>
        <v>520</v>
      </c>
      <c r="D482" s="32">
        <v>45540</v>
      </c>
      <c r="E482" s="33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3"/>
      <c r="R482" s="33"/>
      <c r="S482" s="33"/>
      <c r="T482" s="33"/>
      <c r="U482" s="35"/>
      <c r="V482" s="36"/>
      <c r="W482" s="37"/>
      <c r="X482" s="34"/>
      <c r="Y482" s="33"/>
      <c r="Z482" s="33"/>
      <c r="AA482" s="33"/>
      <c r="AB482" s="35"/>
      <c r="AC482" s="34"/>
      <c r="AD482" s="34"/>
      <c r="AE482" s="34"/>
      <c r="AF482" s="34"/>
      <c r="AG482" s="34"/>
      <c r="AH482" s="33"/>
      <c r="AI482" s="33"/>
      <c r="AJ482" s="34"/>
      <c r="AK482" s="33"/>
      <c r="AL482" s="33"/>
      <c r="AM482" s="33"/>
      <c r="AN482" s="34"/>
      <c r="AO482" s="34"/>
      <c r="AP482" s="33"/>
      <c r="AQ482" s="34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4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5"/>
      <c r="CC482" s="33"/>
      <c r="CD482" s="33"/>
      <c r="CE482" s="33"/>
      <c r="CF482" s="34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>
        <v>270</v>
      </c>
      <c r="CV482" s="33"/>
      <c r="CW482" s="33"/>
      <c r="CX482" s="33" t="s">
        <v>250</v>
      </c>
      <c r="CY482" s="33"/>
      <c r="CZ482" s="34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4">
        <v>250</v>
      </c>
      <c r="DN482" s="34"/>
      <c r="DO482" s="33"/>
      <c r="DP482" s="33" t="s">
        <v>206</v>
      </c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8"/>
    </row>
    <row r="483" spans="2:137" ht="13.2">
      <c r="B483" s="30" t="str">
        <f t="shared" si="16"/>
        <v>2024/9</v>
      </c>
      <c r="C483" s="31">
        <f t="shared" si="17"/>
        <v>1275</v>
      </c>
      <c r="D483" s="32">
        <v>45541</v>
      </c>
      <c r="E483" s="33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3"/>
      <c r="R483" s="33"/>
      <c r="S483" s="33"/>
      <c r="T483" s="33"/>
      <c r="U483" s="35"/>
      <c r="V483" s="36"/>
      <c r="W483" s="37"/>
      <c r="X483" s="34"/>
      <c r="Y483" s="33"/>
      <c r="Z483" s="33"/>
      <c r="AA483" s="33"/>
      <c r="AB483" s="35"/>
      <c r="AC483" s="34"/>
      <c r="AD483" s="34"/>
      <c r="AE483" s="34"/>
      <c r="AF483" s="34"/>
      <c r="AG483" s="34"/>
      <c r="AH483" s="33"/>
      <c r="AI483" s="33"/>
      <c r="AJ483" s="34"/>
      <c r="AK483" s="33"/>
      <c r="AL483" s="33"/>
      <c r="AM483" s="33"/>
      <c r="AN483" s="34"/>
      <c r="AO483" s="34"/>
      <c r="AP483" s="33"/>
      <c r="AQ483" s="34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4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5"/>
      <c r="CC483" s="33"/>
      <c r="CD483" s="33"/>
      <c r="CE483" s="33"/>
      <c r="CF483" s="34"/>
      <c r="CG483" s="33"/>
      <c r="CH483" s="33"/>
      <c r="CI483" s="33"/>
      <c r="CJ483" s="33"/>
      <c r="CK483" s="33"/>
      <c r="CL483" s="33" t="s">
        <v>213</v>
      </c>
      <c r="CM483" s="33"/>
      <c r="CN483" s="33"/>
      <c r="CO483" s="33"/>
      <c r="CP483" s="33"/>
      <c r="CQ483" s="33"/>
      <c r="CR483" s="33" t="s">
        <v>214</v>
      </c>
      <c r="CS483" s="33"/>
      <c r="CT483" s="33"/>
      <c r="CU483" s="33"/>
      <c r="CV483" s="33">
        <v>275</v>
      </c>
      <c r="CW483" s="33"/>
      <c r="CX483" s="33"/>
      <c r="CY483" s="33"/>
      <c r="CZ483" s="34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4"/>
      <c r="DN483" s="34"/>
      <c r="DO483" s="33"/>
      <c r="DP483" s="33"/>
      <c r="DQ483" s="33"/>
      <c r="DR483" s="33" t="s">
        <v>206</v>
      </c>
      <c r="DS483" s="33"/>
      <c r="DT483" s="33">
        <v>1000</v>
      </c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8"/>
    </row>
    <row r="484" spans="2:137" ht="13.2">
      <c r="B484" s="30" t="str">
        <f t="shared" si="16"/>
        <v>2024/9</v>
      </c>
      <c r="C484" s="31">
        <f t="shared" si="17"/>
        <v>280</v>
      </c>
      <c r="D484" s="32">
        <v>45545</v>
      </c>
      <c r="E484" s="33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3"/>
      <c r="R484" s="33"/>
      <c r="S484" s="33"/>
      <c r="T484" s="33"/>
      <c r="U484" s="35"/>
      <c r="V484" s="36"/>
      <c r="W484" s="37"/>
      <c r="X484" s="34"/>
      <c r="Y484" s="33"/>
      <c r="Z484" s="33"/>
      <c r="AA484" s="33"/>
      <c r="AB484" s="35"/>
      <c r="AC484" s="34"/>
      <c r="AD484" s="34"/>
      <c r="AE484" s="34"/>
      <c r="AF484" s="34"/>
      <c r="AG484" s="34"/>
      <c r="AH484" s="33"/>
      <c r="AI484" s="33"/>
      <c r="AJ484" s="34"/>
      <c r="AK484" s="33"/>
      <c r="AL484" s="33"/>
      <c r="AM484" s="33"/>
      <c r="AN484" s="34"/>
      <c r="AO484" s="34"/>
      <c r="AP484" s="33"/>
      <c r="AQ484" s="34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4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5"/>
      <c r="CC484" s="33"/>
      <c r="CD484" s="33"/>
      <c r="CE484" s="33"/>
      <c r="CF484" s="34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 t="s">
        <v>235</v>
      </c>
      <c r="CY484" s="33">
        <v>280</v>
      </c>
      <c r="CZ484" s="34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4"/>
      <c r="DN484" s="34"/>
      <c r="DO484" s="33"/>
      <c r="DP484" s="33"/>
      <c r="DQ484" s="33"/>
      <c r="DR484" s="33"/>
      <c r="DS484" s="33"/>
      <c r="DT484" s="33" t="s">
        <v>227</v>
      </c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8"/>
    </row>
    <row r="485" spans="2:137" ht="13.2">
      <c r="B485" s="30" t="str">
        <f t="shared" si="16"/>
        <v>2024/9</v>
      </c>
      <c r="C485" s="31">
        <f t="shared" si="17"/>
        <v>2130</v>
      </c>
      <c r="D485" s="32">
        <v>45546</v>
      </c>
      <c r="E485" s="33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3"/>
      <c r="R485" s="33"/>
      <c r="S485" s="33"/>
      <c r="T485" s="33"/>
      <c r="U485" s="35"/>
      <c r="V485" s="36"/>
      <c r="W485" s="37"/>
      <c r="X485" s="34"/>
      <c r="Y485" s="33"/>
      <c r="Z485" s="33"/>
      <c r="AA485" s="33"/>
      <c r="AB485" s="35"/>
      <c r="AC485" s="34"/>
      <c r="AD485" s="34"/>
      <c r="AE485" s="34"/>
      <c r="AF485" s="34"/>
      <c r="AG485" s="34"/>
      <c r="AH485" s="33"/>
      <c r="AI485" s="33"/>
      <c r="AJ485" s="34"/>
      <c r="AK485" s="33"/>
      <c r="AL485" s="33"/>
      <c r="AM485" s="33"/>
      <c r="AN485" s="34"/>
      <c r="AO485" s="34"/>
      <c r="AP485" s="33"/>
      <c r="AQ485" s="34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4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5"/>
      <c r="CC485" s="33"/>
      <c r="CD485" s="33"/>
      <c r="CE485" s="33"/>
      <c r="CF485" s="34"/>
      <c r="CG485" s="33"/>
      <c r="CH485" s="33"/>
      <c r="CI485" s="33"/>
      <c r="CJ485" s="33"/>
      <c r="CK485" s="33"/>
      <c r="CL485" s="33"/>
      <c r="CM485" s="33"/>
      <c r="CN485" s="33">
        <v>280</v>
      </c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4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4">
        <v>250</v>
      </c>
      <c r="DN485" s="34" t="s">
        <v>224</v>
      </c>
      <c r="DO485" s="33"/>
      <c r="DP485" s="33"/>
      <c r="DQ485" s="33" t="s">
        <v>209</v>
      </c>
      <c r="DR485" s="33" t="s">
        <v>207</v>
      </c>
      <c r="DS485" s="33"/>
      <c r="DT485" s="33" t="s">
        <v>227</v>
      </c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>
        <v>1600</v>
      </c>
      <c r="EF485" s="33"/>
      <c r="EG485" s="38"/>
    </row>
    <row r="486" spans="2:137" ht="13.2">
      <c r="B486" s="30" t="str">
        <f t="shared" si="16"/>
        <v>2024/9</v>
      </c>
      <c r="C486" s="31">
        <f t="shared" si="17"/>
        <v>830</v>
      </c>
      <c r="D486" s="32">
        <v>45547</v>
      </c>
      <c r="E486" s="33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3"/>
      <c r="R486" s="33"/>
      <c r="S486" s="33"/>
      <c r="T486" s="33"/>
      <c r="U486" s="35"/>
      <c r="V486" s="36"/>
      <c r="W486" s="37"/>
      <c r="X486" s="34"/>
      <c r="Y486" s="33"/>
      <c r="Z486" s="33"/>
      <c r="AA486" s="33"/>
      <c r="AB486" s="35"/>
      <c r="AC486" s="34"/>
      <c r="AD486" s="34"/>
      <c r="AE486" s="34"/>
      <c r="AF486" s="34"/>
      <c r="AG486" s="34"/>
      <c r="AH486" s="33"/>
      <c r="AI486" s="33"/>
      <c r="AJ486" s="34"/>
      <c r="AK486" s="33"/>
      <c r="AL486" s="33"/>
      <c r="AM486" s="33"/>
      <c r="AN486" s="34"/>
      <c r="AO486" s="34"/>
      <c r="AP486" s="33"/>
      <c r="AQ486" s="34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4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5"/>
      <c r="CC486" s="33"/>
      <c r="CD486" s="33"/>
      <c r="CE486" s="33"/>
      <c r="CF486" s="34"/>
      <c r="CG486" s="33"/>
      <c r="CH486" s="33"/>
      <c r="CI486" s="33"/>
      <c r="CJ486" s="33"/>
      <c r="CK486" s="33"/>
      <c r="CL486" s="33"/>
      <c r="CM486" s="33"/>
      <c r="CN486" s="33" t="s">
        <v>227</v>
      </c>
      <c r="CO486" s="33"/>
      <c r="CP486" s="33">
        <v>300</v>
      </c>
      <c r="CQ486" s="33"/>
      <c r="CR486" s="33"/>
      <c r="CS486" s="33"/>
      <c r="CT486" s="33"/>
      <c r="CU486" s="33">
        <v>270</v>
      </c>
      <c r="CV486" s="33"/>
      <c r="CW486" s="33"/>
      <c r="CX486" s="33" t="s">
        <v>251</v>
      </c>
      <c r="CY486" s="33"/>
      <c r="CZ486" s="34"/>
      <c r="DA486" s="33"/>
      <c r="DB486" s="33">
        <v>260</v>
      </c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4"/>
      <c r="DN486" s="34"/>
      <c r="DO486" s="33"/>
      <c r="DP486" s="33" t="s">
        <v>207</v>
      </c>
      <c r="DQ486" s="33" t="s">
        <v>206</v>
      </c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8"/>
    </row>
    <row r="487" spans="2:137" ht="13.2">
      <c r="B487" s="30" t="str">
        <f t="shared" si="16"/>
        <v>2024/9</v>
      </c>
      <c r="C487" s="31">
        <f t="shared" si="17"/>
        <v>4205</v>
      </c>
      <c r="D487" s="32">
        <v>45548</v>
      </c>
      <c r="E487" s="33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3"/>
      <c r="R487" s="33"/>
      <c r="S487" s="33"/>
      <c r="T487" s="33"/>
      <c r="U487" s="35"/>
      <c r="V487" s="36"/>
      <c r="W487" s="37"/>
      <c r="X487" s="34"/>
      <c r="Y487" s="33"/>
      <c r="Z487" s="33"/>
      <c r="AA487" s="33"/>
      <c r="AB487" s="35"/>
      <c r="AC487" s="34"/>
      <c r="AD487" s="34"/>
      <c r="AE487" s="34"/>
      <c r="AF487" s="34"/>
      <c r="AG487" s="34"/>
      <c r="AH487" s="33"/>
      <c r="AI487" s="33"/>
      <c r="AJ487" s="34"/>
      <c r="AK487" s="33"/>
      <c r="AL487" s="33"/>
      <c r="AM487" s="33"/>
      <c r="AN487" s="34"/>
      <c r="AO487" s="34"/>
      <c r="AP487" s="33"/>
      <c r="AQ487" s="34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4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5"/>
      <c r="CC487" s="33"/>
      <c r="CD487" s="33"/>
      <c r="CE487" s="33"/>
      <c r="CF487" s="34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>
        <v>275</v>
      </c>
      <c r="CW487" s="33"/>
      <c r="CX487" s="33">
        <v>2520</v>
      </c>
      <c r="CY487" s="33"/>
      <c r="CZ487" s="34">
        <v>250</v>
      </c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4"/>
      <c r="DN487" s="34"/>
      <c r="DO487" s="33"/>
      <c r="DP487" s="33"/>
      <c r="DQ487" s="33"/>
      <c r="DR487" s="33"/>
      <c r="DS487" s="33">
        <v>260</v>
      </c>
      <c r="DT487" s="33">
        <v>900</v>
      </c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8"/>
    </row>
    <row r="488" spans="2:137" ht="13.2">
      <c r="B488" s="30" t="str">
        <f t="shared" si="16"/>
        <v>2024/9</v>
      </c>
      <c r="C488" s="31">
        <f t="shared" si="17"/>
        <v>1100</v>
      </c>
      <c r="D488" s="32">
        <v>45552</v>
      </c>
      <c r="E488" s="33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3"/>
      <c r="R488" s="33"/>
      <c r="S488" s="33"/>
      <c r="T488" s="33"/>
      <c r="U488" s="35"/>
      <c r="V488" s="36"/>
      <c r="W488" s="37"/>
      <c r="X488" s="34"/>
      <c r="Y488" s="33"/>
      <c r="Z488" s="33"/>
      <c r="AA488" s="33"/>
      <c r="AB488" s="35"/>
      <c r="AC488" s="34"/>
      <c r="AD488" s="34"/>
      <c r="AE488" s="34"/>
      <c r="AF488" s="34"/>
      <c r="AG488" s="34"/>
      <c r="AH488" s="33"/>
      <c r="AI488" s="33"/>
      <c r="AJ488" s="34"/>
      <c r="AK488" s="33"/>
      <c r="AL488" s="33"/>
      <c r="AM488" s="33"/>
      <c r="AN488" s="34"/>
      <c r="AO488" s="34"/>
      <c r="AP488" s="33"/>
      <c r="AQ488" s="34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4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5"/>
      <c r="CC488" s="33"/>
      <c r="CD488" s="33"/>
      <c r="CE488" s="33"/>
      <c r="CF488" s="34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 t="s">
        <v>209</v>
      </c>
      <c r="CY488" s="33"/>
      <c r="CZ488" s="34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4"/>
      <c r="DN488" s="34">
        <v>900</v>
      </c>
      <c r="DO488" s="33">
        <v>200</v>
      </c>
      <c r="DP488" s="33"/>
      <c r="DQ488" s="33"/>
      <c r="DR488" s="33"/>
      <c r="DS488" s="33"/>
      <c r="DT488" s="33" t="s">
        <v>227</v>
      </c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8"/>
    </row>
    <row r="489" spans="2:137" ht="13.2">
      <c r="B489" s="30" t="str">
        <f t="shared" si="16"/>
        <v>2024/9</v>
      </c>
      <c r="C489" s="31">
        <f t="shared" si="17"/>
        <v>510</v>
      </c>
      <c r="D489" s="32">
        <v>45553</v>
      </c>
      <c r="E489" s="33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3"/>
      <c r="R489" s="33"/>
      <c r="S489" s="33"/>
      <c r="T489" s="33"/>
      <c r="U489" s="35"/>
      <c r="V489" s="36"/>
      <c r="W489" s="37"/>
      <c r="X489" s="34"/>
      <c r="Y489" s="33"/>
      <c r="Z489" s="33"/>
      <c r="AA489" s="33"/>
      <c r="AB489" s="35"/>
      <c r="AC489" s="34"/>
      <c r="AD489" s="34"/>
      <c r="AE489" s="34"/>
      <c r="AF489" s="34"/>
      <c r="AG489" s="34"/>
      <c r="AH489" s="33"/>
      <c r="AI489" s="33"/>
      <c r="AJ489" s="34"/>
      <c r="AK489" s="33"/>
      <c r="AL489" s="33"/>
      <c r="AM489" s="33"/>
      <c r="AN489" s="34"/>
      <c r="AO489" s="34"/>
      <c r="AP489" s="33"/>
      <c r="AQ489" s="34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4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5"/>
      <c r="CC489" s="33"/>
      <c r="CD489" s="33"/>
      <c r="CE489" s="33"/>
      <c r="CF489" s="34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 t="s">
        <v>227</v>
      </c>
      <c r="CV489" s="33"/>
      <c r="CW489" s="33"/>
      <c r="CX489" s="33"/>
      <c r="CY489" s="33"/>
      <c r="CZ489" s="34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4">
        <v>250</v>
      </c>
      <c r="DN489" s="34" t="s">
        <v>209</v>
      </c>
      <c r="DO489" s="33"/>
      <c r="DP489" s="33"/>
      <c r="DQ489" s="33"/>
      <c r="DR489" s="33" t="s">
        <v>208</v>
      </c>
      <c r="DS489" s="33">
        <v>260</v>
      </c>
      <c r="DT489" s="33" t="s">
        <v>227</v>
      </c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8"/>
    </row>
    <row r="490" spans="2:137" ht="13.2">
      <c r="B490" s="30" t="str">
        <f t="shared" si="16"/>
        <v>2024/9</v>
      </c>
      <c r="C490" s="31">
        <f t="shared" si="17"/>
        <v>770</v>
      </c>
      <c r="D490" s="32">
        <v>45554</v>
      </c>
      <c r="E490" s="33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3"/>
      <c r="R490" s="33"/>
      <c r="S490" s="33"/>
      <c r="T490" s="33"/>
      <c r="U490" s="35"/>
      <c r="V490" s="36"/>
      <c r="W490" s="37"/>
      <c r="X490" s="34"/>
      <c r="Y490" s="33"/>
      <c r="Z490" s="33"/>
      <c r="AA490" s="33"/>
      <c r="AB490" s="35"/>
      <c r="AC490" s="34"/>
      <c r="AD490" s="34"/>
      <c r="AE490" s="34"/>
      <c r="AF490" s="34"/>
      <c r="AG490" s="34"/>
      <c r="AH490" s="33"/>
      <c r="AI490" s="33"/>
      <c r="AJ490" s="34"/>
      <c r="AK490" s="33"/>
      <c r="AL490" s="33"/>
      <c r="AM490" s="33"/>
      <c r="AN490" s="34"/>
      <c r="AO490" s="34"/>
      <c r="AP490" s="33"/>
      <c r="AQ490" s="34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4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5"/>
      <c r="CC490" s="33"/>
      <c r="CD490" s="33"/>
      <c r="CE490" s="33"/>
      <c r="CF490" s="34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>
        <v>300</v>
      </c>
      <c r="CQ490" s="33"/>
      <c r="CR490" s="33"/>
      <c r="CS490" s="33"/>
      <c r="CT490" s="33"/>
      <c r="CU490" s="33"/>
      <c r="CV490" s="33"/>
      <c r="CW490" s="33"/>
      <c r="CX490" s="33" t="s">
        <v>212</v>
      </c>
      <c r="CY490" s="33"/>
      <c r="CZ490" s="34"/>
      <c r="DA490" s="33"/>
      <c r="DB490" s="33">
        <v>200</v>
      </c>
      <c r="DC490" s="33"/>
      <c r="DD490" s="33"/>
      <c r="DE490" s="33"/>
      <c r="DF490" s="33"/>
      <c r="DG490" s="33"/>
      <c r="DH490" s="33">
        <v>270</v>
      </c>
      <c r="DI490" s="33"/>
      <c r="DJ490" s="33"/>
      <c r="DK490" s="33"/>
      <c r="DL490" s="33"/>
      <c r="DM490" s="34"/>
      <c r="DN490" s="34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8"/>
    </row>
    <row r="491" spans="2:137" ht="13.2">
      <c r="B491" s="30" t="str">
        <f t="shared" si="16"/>
        <v>2024/9</v>
      </c>
      <c r="C491" s="31">
        <f t="shared" si="17"/>
        <v>1725</v>
      </c>
      <c r="D491" s="32">
        <v>45555</v>
      </c>
      <c r="E491" s="33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3"/>
      <c r="R491" s="33"/>
      <c r="S491" s="33"/>
      <c r="T491" s="33"/>
      <c r="U491" s="35"/>
      <c r="V491" s="36"/>
      <c r="W491" s="37"/>
      <c r="X491" s="34"/>
      <c r="Y491" s="33"/>
      <c r="Z491" s="33"/>
      <c r="AA491" s="33"/>
      <c r="AB491" s="35"/>
      <c r="AC491" s="34"/>
      <c r="AD491" s="34"/>
      <c r="AE491" s="34"/>
      <c r="AF491" s="34"/>
      <c r="AG491" s="34"/>
      <c r="AH491" s="33"/>
      <c r="AI491" s="33"/>
      <c r="AJ491" s="34"/>
      <c r="AK491" s="33"/>
      <c r="AL491" s="33"/>
      <c r="AM491" s="33"/>
      <c r="AN491" s="34"/>
      <c r="AO491" s="34"/>
      <c r="AP491" s="33"/>
      <c r="AQ491" s="34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4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5"/>
      <c r="CC491" s="33"/>
      <c r="CD491" s="33"/>
      <c r="CE491" s="33"/>
      <c r="CF491" s="34"/>
      <c r="CG491" s="33"/>
      <c r="CH491" s="33"/>
      <c r="CI491" s="33"/>
      <c r="CJ491" s="33"/>
      <c r="CK491" s="33"/>
      <c r="CL491" s="33"/>
      <c r="CM491" s="33"/>
      <c r="CN491" s="33"/>
      <c r="CO491" s="33">
        <v>250</v>
      </c>
      <c r="CP491" s="33"/>
      <c r="CQ491" s="33">
        <v>300</v>
      </c>
      <c r="CR491" s="33" t="s">
        <v>224</v>
      </c>
      <c r="CS491" s="33"/>
      <c r="CT491" s="33"/>
      <c r="CU491" s="33"/>
      <c r="CV491" s="33">
        <v>275</v>
      </c>
      <c r="CW491" s="33"/>
      <c r="CX491" s="33"/>
      <c r="CY491" s="33"/>
      <c r="CZ491" s="34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4"/>
      <c r="DN491" s="34"/>
      <c r="DO491" s="33"/>
      <c r="DP491" s="33" t="s">
        <v>208</v>
      </c>
      <c r="DQ491" s="33" t="s">
        <v>207</v>
      </c>
      <c r="DR491" s="33"/>
      <c r="DS491" s="33"/>
      <c r="DT491" s="33">
        <v>900</v>
      </c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8"/>
    </row>
    <row r="492" spans="2:137" ht="13.2">
      <c r="B492" s="30" t="str">
        <f t="shared" si="16"/>
        <v>2024/9</v>
      </c>
      <c r="C492" s="31">
        <f t="shared" si="17"/>
        <v>1980</v>
      </c>
      <c r="D492" s="32">
        <v>45559</v>
      </c>
      <c r="E492" s="33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3"/>
      <c r="R492" s="33"/>
      <c r="S492" s="33"/>
      <c r="T492" s="33"/>
      <c r="U492" s="35"/>
      <c r="V492" s="36"/>
      <c r="W492" s="37"/>
      <c r="X492" s="34"/>
      <c r="Y492" s="33"/>
      <c r="Z492" s="33"/>
      <c r="AA492" s="33"/>
      <c r="AB492" s="35"/>
      <c r="AC492" s="34"/>
      <c r="AD492" s="34"/>
      <c r="AE492" s="34"/>
      <c r="AF492" s="34"/>
      <c r="AG492" s="34"/>
      <c r="AH492" s="33"/>
      <c r="AI492" s="33"/>
      <c r="AJ492" s="34"/>
      <c r="AK492" s="33"/>
      <c r="AL492" s="33"/>
      <c r="AM492" s="33"/>
      <c r="AN492" s="34"/>
      <c r="AO492" s="34"/>
      <c r="AP492" s="33"/>
      <c r="AQ492" s="34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4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5"/>
      <c r="CC492" s="33"/>
      <c r="CD492" s="33"/>
      <c r="CE492" s="33"/>
      <c r="CF492" s="34"/>
      <c r="CG492" s="33"/>
      <c r="CH492" s="33"/>
      <c r="CI492" s="33"/>
      <c r="CJ492" s="33"/>
      <c r="CK492" s="33"/>
      <c r="CL492" s="33"/>
      <c r="CM492" s="33"/>
      <c r="CN492" s="33">
        <v>560</v>
      </c>
      <c r="CO492" s="33" t="s">
        <v>227</v>
      </c>
      <c r="CP492" s="33"/>
      <c r="CQ492" s="33"/>
      <c r="CR492" s="33">
        <v>880</v>
      </c>
      <c r="CS492" s="33"/>
      <c r="CT492" s="33"/>
      <c r="CU492" s="33"/>
      <c r="CV492" s="33"/>
      <c r="CW492" s="33"/>
      <c r="CX492" s="33" t="s">
        <v>214</v>
      </c>
      <c r="CY492" s="33">
        <v>280</v>
      </c>
      <c r="CZ492" s="34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4"/>
      <c r="DN492" s="34"/>
      <c r="DO492" s="33" t="s">
        <v>227</v>
      </c>
      <c r="DP492" s="33"/>
      <c r="DQ492" s="33"/>
      <c r="DR492" s="33"/>
      <c r="DS492" s="33">
        <v>260</v>
      </c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8"/>
    </row>
    <row r="493" spans="2:137" ht="13.2">
      <c r="B493" s="30" t="str">
        <f t="shared" si="16"/>
        <v>2024/9</v>
      </c>
      <c r="C493" s="31">
        <f t="shared" si="17"/>
        <v>550</v>
      </c>
      <c r="D493" s="32">
        <v>45560</v>
      </c>
      <c r="E493" s="33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3"/>
      <c r="R493" s="33"/>
      <c r="S493" s="33"/>
      <c r="T493" s="33"/>
      <c r="U493" s="35"/>
      <c r="V493" s="36"/>
      <c r="W493" s="37"/>
      <c r="X493" s="34"/>
      <c r="Y493" s="33"/>
      <c r="Z493" s="33"/>
      <c r="AA493" s="33"/>
      <c r="AB493" s="35"/>
      <c r="AC493" s="34"/>
      <c r="AD493" s="34"/>
      <c r="AE493" s="34"/>
      <c r="AF493" s="34"/>
      <c r="AG493" s="34"/>
      <c r="AH493" s="33"/>
      <c r="AI493" s="33"/>
      <c r="AJ493" s="34"/>
      <c r="AK493" s="33"/>
      <c r="AL493" s="33"/>
      <c r="AM493" s="33"/>
      <c r="AN493" s="34"/>
      <c r="AO493" s="34"/>
      <c r="AP493" s="33"/>
      <c r="AQ493" s="34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4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5"/>
      <c r="CC493" s="33"/>
      <c r="CD493" s="33"/>
      <c r="CE493" s="33"/>
      <c r="CF493" s="34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>
        <v>300</v>
      </c>
      <c r="CR493" s="33"/>
      <c r="CS493" s="33"/>
      <c r="CT493" s="33"/>
      <c r="CU493" s="33"/>
      <c r="CV493" s="33"/>
      <c r="CW493" s="33"/>
      <c r="CX493" s="33"/>
      <c r="CY493" s="33"/>
      <c r="CZ493" s="34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4">
        <v>250</v>
      </c>
      <c r="DN493" s="34" t="s">
        <v>206</v>
      </c>
      <c r="DO493" s="33"/>
      <c r="DP493" s="33"/>
      <c r="DQ493" s="33"/>
      <c r="DR493" s="33" t="s">
        <v>210</v>
      </c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8"/>
    </row>
    <row r="494" spans="2:137" ht="13.2">
      <c r="B494" s="30" t="str">
        <f t="shared" si="16"/>
        <v>2024/9</v>
      </c>
      <c r="C494" s="31">
        <f t="shared" si="17"/>
        <v>1645</v>
      </c>
      <c r="D494" s="32">
        <v>45561</v>
      </c>
      <c r="E494" s="33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3"/>
      <c r="R494" s="33"/>
      <c r="S494" s="33"/>
      <c r="T494" s="33"/>
      <c r="U494" s="35"/>
      <c r="V494" s="36"/>
      <c r="W494" s="37"/>
      <c r="X494" s="34"/>
      <c r="Y494" s="33"/>
      <c r="Z494" s="33"/>
      <c r="AA494" s="33"/>
      <c r="AB494" s="35"/>
      <c r="AC494" s="34"/>
      <c r="AD494" s="34"/>
      <c r="AE494" s="34"/>
      <c r="AF494" s="34"/>
      <c r="AG494" s="34"/>
      <c r="AH494" s="33"/>
      <c r="AI494" s="33"/>
      <c r="AJ494" s="34"/>
      <c r="AK494" s="33"/>
      <c r="AL494" s="33"/>
      <c r="AM494" s="33"/>
      <c r="AN494" s="34"/>
      <c r="AO494" s="34"/>
      <c r="AP494" s="33"/>
      <c r="AQ494" s="34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4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5"/>
      <c r="CC494" s="33"/>
      <c r="CD494" s="33"/>
      <c r="CE494" s="33"/>
      <c r="CF494" s="34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>
        <v>300</v>
      </c>
      <c r="CQ494" s="33"/>
      <c r="CR494" s="33"/>
      <c r="CS494" s="33"/>
      <c r="CT494" s="33"/>
      <c r="CU494" s="33">
        <v>540</v>
      </c>
      <c r="CV494" s="33">
        <v>275</v>
      </c>
      <c r="CW494" s="33"/>
      <c r="CX494" s="33" t="s">
        <v>224</v>
      </c>
      <c r="CY494" s="33"/>
      <c r="CZ494" s="34"/>
      <c r="DA494" s="33"/>
      <c r="DB494" s="33">
        <v>260</v>
      </c>
      <c r="DC494" s="33"/>
      <c r="DD494" s="33"/>
      <c r="DE494" s="33"/>
      <c r="DF494" s="33"/>
      <c r="DG494" s="33"/>
      <c r="DH494" s="33">
        <v>270</v>
      </c>
      <c r="DI494" s="33"/>
      <c r="DJ494" s="33"/>
      <c r="DK494" s="33"/>
      <c r="DL494" s="33"/>
      <c r="DM494" s="34"/>
      <c r="DN494" s="34"/>
      <c r="DO494" s="33"/>
      <c r="DP494" s="33" t="s">
        <v>248</v>
      </c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8"/>
    </row>
    <row r="495" spans="2:137" ht="13.2">
      <c r="B495" s="30" t="str">
        <f t="shared" si="16"/>
        <v>2024/9</v>
      </c>
      <c r="C495" s="31">
        <f t="shared" si="17"/>
        <v>4090</v>
      </c>
      <c r="D495" s="32">
        <v>45562</v>
      </c>
      <c r="E495" s="33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3"/>
      <c r="R495" s="33"/>
      <c r="S495" s="33"/>
      <c r="T495" s="33"/>
      <c r="U495" s="35"/>
      <c r="V495" s="36"/>
      <c r="W495" s="37"/>
      <c r="X495" s="34"/>
      <c r="Y495" s="33"/>
      <c r="Z495" s="33"/>
      <c r="AA495" s="33"/>
      <c r="AB495" s="35"/>
      <c r="AC495" s="34"/>
      <c r="AD495" s="34"/>
      <c r="AE495" s="34"/>
      <c r="AF495" s="34"/>
      <c r="AG495" s="34"/>
      <c r="AH495" s="33"/>
      <c r="AI495" s="33"/>
      <c r="AJ495" s="34"/>
      <c r="AK495" s="33"/>
      <c r="AL495" s="33"/>
      <c r="AM495" s="33"/>
      <c r="AN495" s="34"/>
      <c r="AO495" s="34"/>
      <c r="AP495" s="33"/>
      <c r="AQ495" s="34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4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5"/>
      <c r="CC495" s="33"/>
      <c r="CD495" s="33"/>
      <c r="CE495" s="33"/>
      <c r="CF495" s="34"/>
      <c r="CG495" s="33"/>
      <c r="CH495" s="33"/>
      <c r="CI495" s="33"/>
      <c r="CJ495" s="33"/>
      <c r="CK495" s="33"/>
      <c r="CL495" s="33"/>
      <c r="CM495" s="33"/>
      <c r="CN495" s="33">
        <v>280</v>
      </c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4">
        <v>250</v>
      </c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4"/>
      <c r="DN495" s="34"/>
      <c r="DO495" s="33"/>
      <c r="DP495" s="33">
        <v>1040</v>
      </c>
      <c r="DQ495" s="33">
        <v>1120</v>
      </c>
      <c r="DR495" s="33">
        <v>1100</v>
      </c>
      <c r="DS495" s="33"/>
      <c r="DT495" s="33">
        <v>300</v>
      </c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8"/>
    </row>
    <row r="496" spans="2:137" ht="13.2">
      <c r="B496" s="30" t="str">
        <f t="shared" si="16"/>
        <v>2024/10</v>
      </c>
      <c r="C496" s="31">
        <f t="shared" si="17"/>
        <v>940</v>
      </c>
      <c r="D496" s="32">
        <v>45566</v>
      </c>
      <c r="E496" s="33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3"/>
      <c r="R496" s="33"/>
      <c r="S496" s="33"/>
      <c r="T496" s="33"/>
      <c r="U496" s="35"/>
      <c r="V496" s="36"/>
      <c r="W496" s="37"/>
      <c r="X496" s="34"/>
      <c r="Y496" s="33"/>
      <c r="Z496" s="33"/>
      <c r="AA496" s="33"/>
      <c r="AB496" s="35"/>
      <c r="AC496" s="34"/>
      <c r="AD496" s="34"/>
      <c r="AE496" s="34"/>
      <c r="AF496" s="34"/>
      <c r="AG496" s="34"/>
      <c r="AH496" s="33"/>
      <c r="AI496" s="33"/>
      <c r="AJ496" s="34"/>
      <c r="AK496" s="33"/>
      <c r="AL496" s="33"/>
      <c r="AM496" s="33"/>
      <c r="AN496" s="34"/>
      <c r="AO496" s="34"/>
      <c r="AP496" s="33"/>
      <c r="AQ496" s="34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4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5"/>
      <c r="CC496" s="33"/>
      <c r="CD496" s="33"/>
      <c r="CE496" s="33"/>
      <c r="CF496" s="34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 t="s">
        <v>243</v>
      </c>
      <c r="CY496" s="33">
        <v>280</v>
      </c>
      <c r="CZ496" s="34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4"/>
      <c r="DN496" s="34"/>
      <c r="DO496" s="33">
        <v>400</v>
      </c>
      <c r="DP496" s="33"/>
      <c r="DQ496" s="33"/>
      <c r="DR496" s="33"/>
      <c r="DS496" s="33">
        <v>260</v>
      </c>
      <c r="DT496" s="33" t="s">
        <v>227</v>
      </c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8"/>
    </row>
    <row r="497" spans="2:137" ht="13.2">
      <c r="B497" s="30" t="str">
        <f t="shared" si="16"/>
        <v>2024/10</v>
      </c>
      <c r="C497" s="31">
        <f t="shared" si="17"/>
        <v>550</v>
      </c>
      <c r="D497" s="32">
        <v>45567</v>
      </c>
      <c r="E497" s="33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3"/>
      <c r="R497" s="33"/>
      <c r="S497" s="33"/>
      <c r="T497" s="33"/>
      <c r="U497" s="35"/>
      <c r="V497" s="36"/>
      <c r="W497" s="37"/>
      <c r="X497" s="34"/>
      <c r="Y497" s="33"/>
      <c r="Z497" s="33"/>
      <c r="AA497" s="33"/>
      <c r="AB497" s="35"/>
      <c r="AC497" s="34"/>
      <c r="AD497" s="34"/>
      <c r="AE497" s="34"/>
      <c r="AF497" s="34"/>
      <c r="AG497" s="34"/>
      <c r="AH497" s="33"/>
      <c r="AI497" s="33"/>
      <c r="AJ497" s="34"/>
      <c r="AK497" s="33"/>
      <c r="AL497" s="33"/>
      <c r="AM497" s="33"/>
      <c r="AN497" s="34"/>
      <c r="AO497" s="34"/>
      <c r="AP497" s="33"/>
      <c r="AQ497" s="34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4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5"/>
      <c r="CC497" s="33"/>
      <c r="CD497" s="33"/>
      <c r="CE497" s="33"/>
      <c r="CF497" s="34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>
        <v>300</v>
      </c>
      <c r="CT497" s="33"/>
      <c r="CU497" s="33"/>
      <c r="CV497" s="33"/>
      <c r="CW497" s="33"/>
      <c r="CX497" s="33"/>
      <c r="CY497" s="33"/>
      <c r="CZ497" s="34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4">
        <v>250</v>
      </c>
      <c r="DN497" s="34" t="s">
        <v>207</v>
      </c>
      <c r="DO497" s="33"/>
      <c r="DP497" s="33"/>
      <c r="DQ497" s="33" t="s">
        <v>208</v>
      </c>
      <c r="DR497" s="33"/>
      <c r="DS497" s="33"/>
      <c r="DT497" s="33" t="s">
        <v>227</v>
      </c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8"/>
    </row>
    <row r="498" spans="2:137" ht="13.2">
      <c r="B498" s="30" t="str">
        <f t="shared" si="16"/>
        <v>2024/10</v>
      </c>
      <c r="C498" s="31">
        <f t="shared" si="17"/>
        <v>770</v>
      </c>
      <c r="D498" s="32">
        <v>45568</v>
      </c>
      <c r="E498" s="33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3"/>
      <c r="R498" s="33"/>
      <c r="S498" s="33"/>
      <c r="T498" s="33"/>
      <c r="U498" s="35"/>
      <c r="V498" s="36"/>
      <c r="W498" s="37"/>
      <c r="X498" s="34"/>
      <c r="Y498" s="33"/>
      <c r="Z498" s="33"/>
      <c r="AA498" s="33"/>
      <c r="AB498" s="35"/>
      <c r="AC498" s="34"/>
      <c r="AD498" s="34"/>
      <c r="AE498" s="34"/>
      <c r="AF498" s="34"/>
      <c r="AG498" s="34"/>
      <c r="AH498" s="33"/>
      <c r="AI498" s="33"/>
      <c r="AJ498" s="34"/>
      <c r="AK498" s="33"/>
      <c r="AL498" s="33"/>
      <c r="AM498" s="33"/>
      <c r="AN498" s="34"/>
      <c r="AO498" s="34"/>
      <c r="AP498" s="33"/>
      <c r="AQ498" s="34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4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5"/>
      <c r="CC498" s="33"/>
      <c r="CD498" s="33"/>
      <c r="CE498" s="33"/>
      <c r="CF498" s="34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>
        <v>270</v>
      </c>
      <c r="CV498" s="33"/>
      <c r="CW498" s="33"/>
      <c r="CX498" s="33" t="s">
        <v>232</v>
      </c>
      <c r="CY498" s="33"/>
      <c r="CZ498" s="34"/>
      <c r="DA498" s="33"/>
      <c r="DB498" s="33">
        <v>200</v>
      </c>
      <c r="DC498" s="33"/>
      <c r="DD498" s="33">
        <v>300</v>
      </c>
      <c r="DE498" s="33"/>
      <c r="DF498" s="33"/>
      <c r="DG498" s="33"/>
      <c r="DH498" s="33"/>
      <c r="DI498" s="33"/>
      <c r="DJ498" s="33"/>
      <c r="DK498" s="33"/>
      <c r="DL498" s="33"/>
      <c r="DM498" s="34"/>
      <c r="DN498" s="34"/>
      <c r="DO498" s="33"/>
      <c r="DP498" s="33"/>
      <c r="DQ498" s="33"/>
      <c r="DR498" s="33" t="s">
        <v>206</v>
      </c>
      <c r="DS498" s="33"/>
      <c r="DT498" s="33" t="s">
        <v>227</v>
      </c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8"/>
    </row>
    <row r="499" spans="2:137" ht="13.2">
      <c r="B499" s="30" t="str">
        <f t="shared" si="16"/>
        <v>2024/10</v>
      </c>
      <c r="C499" s="31">
        <f t="shared" si="17"/>
        <v>1745</v>
      </c>
      <c r="D499" s="32">
        <v>45569</v>
      </c>
      <c r="E499" s="33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3"/>
      <c r="R499" s="33"/>
      <c r="S499" s="33"/>
      <c r="T499" s="33"/>
      <c r="U499" s="35"/>
      <c r="V499" s="36"/>
      <c r="W499" s="37"/>
      <c r="X499" s="34"/>
      <c r="Y499" s="33"/>
      <c r="Z499" s="33"/>
      <c r="AA499" s="33"/>
      <c r="AB499" s="35"/>
      <c r="AC499" s="34"/>
      <c r="AD499" s="34"/>
      <c r="AE499" s="34"/>
      <c r="AF499" s="34"/>
      <c r="AG499" s="34"/>
      <c r="AH499" s="33"/>
      <c r="AI499" s="33"/>
      <c r="AJ499" s="34"/>
      <c r="AK499" s="33"/>
      <c r="AL499" s="33"/>
      <c r="AM499" s="33"/>
      <c r="AN499" s="34"/>
      <c r="AO499" s="34"/>
      <c r="AP499" s="33"/>
      <c r="AQ499" s="34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4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5"/>
      <c r="CC499" s="33"/>
      <c r="CD499" s="33"/>
      <c r="CE499" s="33"/>
      <c r="CF499" s="34"/>
      <c r="CG499" s="33"/>
      <c r="CH499" s="33"/>
      <c r="CI499" s="33"/>
      <c r="CJ499" s="33"/>
      <c r="CK499" s="33"/>
      <c r="CL499" s="33"/>
      <c r="CM499" s="33"/>
      <c r="CN499" s="33"/>
      <c r="CO499" s="33" t="s">
        <v>227</v>
      </c>
      <c r="CP499" s="33"/>
      <c r="CQ499" s="33"/>
      <c r="CR499" s="33" t="s">
        <v>210</v>
      </c>
      <c r="CS499" s="33"/>
      <c r="CT499" s="33"/>
      <c r="CU499" s="33"/>
      <c r="CV499" s="33">
        <v>275</v>
      </c>
      <c r="CW499" s="33"/>
      <c r="CX499" s="33"/>
      <c r="CY499" s="33"/>
      <c r="CZ499" s="34"/>
      <c r="DA499" s="33"/>
      <c r="DB499" s="33"/>
      <c r="DC499" s="33"/>
      <c r="DD499" s="33"/>
      <c r="DE499" s="33"/>
      <c r="DF499" s="33"/>
      <c r="DG499" s="33"/>
      <c r="DH499" s="33">
        <v>270</v>
      </c>
      <c r="DI499" s="33"/>
      <c r="DJ499" s="33"/>
      <c r="DK499" s="33"/>
      <c r="DL499" s="33"/>
      <c r="DM499" s="34"/>
      <c r="DN499" s="34"/>
      <c r="DO499" s="33"/>
      <c r="DP499" s="33" t="s">
        <v>209</v>
      </c>
      <c r="DQ499" s="33" t="s">
        <v>209</v>
      </c>
      <c r="DR499" s="33"/>
      <c r="DS499" s="33"/>
      <c r="DT499" s="33">
        <v>1200</v>
      </c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8"/>
    </row>
    <row r="500" spans="2:137" ht="13.2">
      <c r="B500" s="30" t="str">
        <f t="shared" si="16"/>
        <v>2024/10</v>
      </c>
      <c r="C500" s="31">
        <f t="shared" si="17"/>
        <v>3365</v>
      </c>
      <c r="D500" s="32">
        <v>45573</v>
      </c>
      <c r="E500" s="33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3"/>
      <c r="R500" s="33"/>
      <c r="S500" s="33"/>
      <c r="T500" s="33"/>
      <c r="U500" s="35"/>
      <c r="V500" s="36"/>
      <c r="W500" s="37"/>
      <c r="X500" s="34"/>
      <c r="Y500" s="33"/>
      <c r="Z500" s="33"/>
      <c r="AA500" s="33"/>
      <c r="AB500" s="35"/>
      <c r="AC500" s="34"/>
      <c r="AD500" s="34"/>
      <c r="AE500" s="34"/>
      <c r="AF500" s="34"/>
      <c r="AG500" s="34"/>
      <c r="AH500" s="33"/>
      <c r="AI500" s="33"/>
      <c r="AJ500" s="34"/>
      <c r="AK500" s="33"/>
      <c r="AL500" s="33"/>
      <c r="AM500" s="33"/>
      <c r="AN500" s="34"/>
      <c r="AO500" s="34"/>
      <c r="AP500" s="33"/>
      <c r="AQ500" s="34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4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5"/>
      <c r="CC500" s="33"/>
      <c r="CD500" s="33"/>
      <c r="CE500" s="33"/>
      <c r="CF500" s="34"/>
      <c r="CG500" s="33"/>
      <c r="CH500" s="33"/>
      <c r="CI500" s="33"/>
      <c r="CJ500" s="33"/>
      <c r="CK500" s="33"/>
      <c r="CL500" s="33"/>
      <c r="CM500" s="33"/>
      <c r="CN500" s="33"/>
      <c r="CO500" s="33">
        <v>750</v>
      </c>
      <c r="CP500" s="33"/>
      <c r="CQ500" s="33"/>
      <c r="CR500" s="33"/>
      <c r="CS500" s="33"/>
      <c r="CT500" s="33"/>
      <c r="CU500" s="33"/>
      <c r="CV500" s="33"/>
      <c r="CW500" s="33"/>
      <c r="CX500" s="33" t="s">
        <v>250</v>
      </c>
      <c r="CY500" s="33">
        <v>280</v>
      </c>
      <c r="CZ500" s="34"/>
      <c r="DA500" s="33"/>
      <c r="DB500" s="33">
        <v>260</v>
      </c>
      <c r="DC500" s="33"/>
      <c r="DD500" s="33">
        <v>275</v>
      </c>
      <c r="DE500" s="33"/>
      <c r="DF500" s="33"/>
      <c r="DG500" s="33"/>
      <c r="DH500" s="33"/>
      <c r="DI500" s="33"/>
      <c r="DJ500" s="33"/>
      <c r="DK500" s="33"/>
      <c r="DL500" s="33"/>
      <c r="DM500" s="34"/>
      <c r="DN500" s="34"/>
      <c r="DO500" s="33">
        <v>200</v>
      </c>
      <c r="DP500" s="33"/>
      <c r="DQ500" s="33"/>
      <c r="DR500" s="33"/>
      <c r="DS500" s="33"/>
      <c r="DT500" s="33" t="s">
        <v>227</v>
      </c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>
        <v>1600</v>
      </c>
      <c r="EF500" s="33"/>
      <c r="EG500" s="38"/>
    </row>
    <row r="501" spans="2:137" ht="13.2">
      <c r="B501" s="30" t="str">
        <f t="shared" si="16"/>
        <v>2024/10</v>
      </c>
      <c r="C501" s="31">
        <f t="shared" si="17"/>
        <v>790</v>
      </c>
      <c r="D501" s="32">
        <v>45574</v>
      </c>
      <c r="E501" s="33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3"/>
      <c r="R501" s="33"/>
      <c r="S501" s="33"/>
      <c r="T501" s="33"/>
      <c r="U501" s="35"/>
      <c r="V501" s="36"/>
      <c r="W501" s="37"/>
      <c r="X501" s="34"/>
      <c r="Y501" s="33"/>
      <c r="Z501" s="33"/>
      <c r="AA501" s="33"/>
      <c r="AB501" s="35"/>
      <c r="AC501" s="34"/>
      <c r="AD501" s="34"/>
      <c r="AE501" s="34"/>
      <c r="AF501" s="34"/>
      <c r="AG501" s="34"/>
      <c r="AH501" s="33"/>
      <c r="AI501" s="33"/>
      <c r="AJ501" s="34"/>
      <c r="AK501" s="33"/>
      <c r="AL501" s="33"/>
      <c r="AM501" s="33"/>
      <c r="AN501" s="34"/>
      <c r="AO501" s="34"/>
      <c r="AP501" s="33"/>
      <c r="AQ501" s="34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4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5"/>
      <c r="CC501" s="33"/>
      <c r="CD501" s="33"/>
      <c r="CE501" s="33"/>
      <c r="CF501" s="34"/>
      <c r="CG501" s="33"/>
      <c r="CH501" s="33"/>
      <c r="CI501" s="33"/>
      <c r="CJ501" s="33"/>
      <c r="CK501" s="33"/>
      <c r="CL501" s="33"/>
      <c r="CM501" s="33"/>
      <c r="CN501" s="33">
        <v>280</v>
      </c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4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4">
        <v>250</v>
      </c>
      <c r="DN501" s="34" t="s">
        <v>224</v>
      </c>
      <c r="DO501" s="33"/>
      <c r="DP501" s="33" t="s">
        <v>206</v>
      </c>
      <c r="DQ501" s="33" t="s">
        <v>206</v>
      </c>
      <c r="DR501" s="33" t="s">
        <v>207</v>
      </c>
      <c r="DS501" s="33">
        <v>260</v>
      </c>
      <c r="DT501" s="33" t="s">
        <v>227</v>
      </c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8"/>
    </row>
    <row r="502" spans="2:137" ht="13.2">
      <c r="B502" s="30" t="str">
        <f t="shared" si="16"/>
        <v>2024/10</v>
      </c>
      <c r="C502" s="31">
        <f t="shared" si="17"/>
        <v>850</v>
      </c>
      <c r="D502" s="32">
        <v>45575</v>
      </c>
      <c r="E502" s="33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3"/>
      <c r="R502" s="33"/>
      <c r="S502" s="33"/>
      <c r="T502" s="33"/>
      <c r="U502" s="35"/>
      <c r="V502" s="36"/>
      <c r="W502" s="37"/>
      <c r="X502" s="34"/>
      <c r="Y502" s="33"/>
      <c r="Z502" s="33"/>
      <c r="AA502" s="33"/>
      <c r="AB502" s="35"/>
      <c r="AC502" s="34"/>
      <c r="AD502" s="34"/>
      <c r="AE502" s="34"/>
      <c r="AF502" s="34"/>
      <c r="AG502" s="34"/>
      <c r="AH502" s="33"/>
      <c r="AI502" s="33"/>
      <c r="AJ502" s="34"/>
      <c r="AK502" s="33"/>
      <c r="AL502" s="33"/>
      <c r="AM502" s="33"/>
      <c r="AN502" s="34"/>
      <c r="AO502" s="34"/>
      <c r="AP502" s="33"/>
      <c r="AQ502" s="34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4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5"/>
      <c r="CC502" s="33"/>
      <c r="CD502" s="33"/>
      <c r="CE502" s="33"/>
      <c r="CF502" s="34"/>
      <c r="CG502" s="33"/>
      <c r="CH502" s="33"/>
      <c r="CI502" s="33"/>
      <c r="CJ502" s="33"/>
      <c r="CK502" s="33"/>
      <c r="CL502" s="33"/>
      <c r="CM502" s="33"/>
      <c r="CN502" s="33" t="s">
        <v>209</v>
      </c>
      <c r="CO502" s="33"/>
      <c r="CP502" s="33">
        <v>300</v>
      </c>
      <c r="CQ502" s="33"/>
      <c r="CR502" s="33"/>
      <c r="CS502" s="33"/>
      <c r="CT502" s="33"/>
      <c r="CU502" s="33" t="s">
        <v>227</v>
      </c>
      <c r="CV502" s="33">
        <v>275</v>
      </c>
      <c r="CW502" s="33"/>
      <c r="CX502" s="33" t="s">
        <v>252</v>
      </c>
      <c r="CY502" s="33"/>
      <c r="CZ502" s="34"/>
      <c r="DA502" s="33"/>
      <c r="DB502" s="33"/>
      <c r="DC502" s="33"/>
      <c r="DD502" s="33">
        <v>275</v>
      </c>
      <c r="DE502" s="33"/>
      <c r="DF502" s="33"/>
      <c r="DG502" s="33"/>
      <c r="DH502" s="33"/>
      <c r="DI502" s="33"/>
      <c r="DJ502" s="33"/>
      <c r="DK502" s="33"/>
      <c r="DL502" s="33"/>
      <c r="DM502" s="34"/>
      <c r="DN502" s="34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8"/>
    </row>
    <row r="503" spans="2:137" ht="13.2">
      <c r="B503" s="30" t="str">
        <f t="shared" si="16"/>
        <v>2024/10</v>
      </c>
      <c r="C503" s="31">
        <f t="shared" si="17"/>
        <v>3950</v>
      </c>
      <c r="D503" s="32">
        <v>45576</v>
      </c>
      <c r="E503" s="33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3"/>
      <c r="R503" s="33"/>
      <c r="S503" s="33"/>
      <c r="T503" s="33"/>
      <c r="U503" s="35"/>
      <c r="V503" s="36"/>
      <c r="W503" s="37"/>
      <c r="X503" s="34"/>
      <c r="Y503" s="33"/>
      <c r="Z503" s="33"/>
      <c r="AA503" s="33"/>
      <c r="AB503" s="35"/>
      <c r="AC503" s="34"/>
      <c r="AD503" s="34"/>
      <c r="AE503" s="34"/>
      <c r="AF503" s="34"/>
      <c r="AG503" s="34"/>
      <c r="AH503" s="33"/>
      <c r="AI503" s="33"/>
      <c r="AJ503" s="34"/>
      <c r="AK503" s="33"/>
      <c r="AL503" s="33"/>
      <c r="AM503" s="33"/>
      <c r="AN503" s="34"/>
      <c r="AO503" s="34"/>
      <c r="AP503" s="33"/>
      <c r="AQ503" s="34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4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5"/>
      <c r="CC503" s="33"/>
      <c r="CD503" s="33"/>
      <c r="CE503" s="33"/>
      <c r="CF503" s="34"/>
      <c r="CG503" s="33"/>
      <c r="CH503" s="33"/>
      <c r="CI503" s="33"/>
      <c r="CJ503" s="33"/>
      <c r="CK503" s="33"/>
      <c r="CL503" s="33"/>
      <c r="CM503" s="33"/>
      <c r="CN503" s="33"/>
      <c r="CO503" s="33" t="s">
        <v>227</v>
      </c>
      <c r="CP503" s="33"/>
      <c r="CQ503" s="33"/>
      <c r="CR503" s="33" t="s">
        <v>212</v>
      </c>
      <c r="CS503" s="33"/>
      <c r="CT503" s="33"/>
      <c r="CU503" s="33"/>
      <c r="CV503" s="33"/>
      <c r="CW503" s="33"/>
      <c r="CX503" s="33"/>
      <c r="CY503" s="33"/>
      <c r="CZ503" s="34">
        <v>250</v>
      </c>
      <c r="DA503" s="33">
        <v>3700</v>
      </c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4"/>
      <c r="DN503" s="34"/>
      <c r="DO503" s="33"/>
      <c r="DP503" s="33"/>
      <c r="DQ503" s="33"/>
      <c r="DR503" s="33"/>
      <c r="DS503" s="33"/>
      <c r="DT503" s="33" t="s">
        <v>227</v>
      </c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8"/>
    </row>
    <row r="504" spans="2:137" ht="13.2">
      <c r="B504" s="30" t="str">
        <f t="shared" si="16"/>
        <v>2024/10</v>
      </c>
      <c r="C504" s="31">
        <f t="shared" si="17"/>
        <v>1360</v>
      </c>
      <c r="D504" s="32">
        <v>45580</v>
      </c>
      <c r="E504" s="33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3"/>
      <c r="R504" s="33"/>
      <c r="S504" s="33"/>
      <c r="T504" s="33"/>
      <c r="U504" s="35"/>
      <c r="V504" s="36"/>
      <c r="W504" s="37"/>
      <c r="X504" s="34"/>
      <c r="Y504" s="33"/>
      <c r="Z504" s="33"/>
      <c r="AA504" s="33"/>
      <c r="AB504" s="35"/>
      <c r="AC504" s="34"/>
      <c r="AD504" s="34"/>
      <c r="AE504" s="34"/>
      <c r="AF504" s="34"/>
      <c r="AG504" s="34"/>
      <c r="AH504" s="33"/>
      <c r="AI504" s="33"/>
      <c r="AJ504" s="34"/>
      <c r="AK504" s="33"/>
      <c r="AL504" s="33"/>
      <c r="AM504" s="33"/>
      <c r="AN504" s="34"/>
      <c r="AO504" s="34"/>
      <c r="AP504" s="33"/>
      <c r="AQ504" s="34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4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5"/>
      <c r="CC504" s="33"/>
      <c r="CD504" s="33"/>
      <c r="CE504" s="33"/>
      <c r="CF504" s="34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 t="s">
        <v>253</v>
      </c>
      <c r="CY504" s="33"/>
      <c r="CZ504" s="34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4"/>
      <c r="DN504" s="34">
        <v>900</v>
      </c>
      <c r="DO504" s="33">
        <v>200</v>
      </c>
      <c r="DP504" s="33" t="s">
        <v>207</v>
      </c>
      <c r="DQ504" s="33"/>
      <c r="DR504" s="33"/>
      <c r="DS504" s="33">
        <v>260</v>
      </c>
      <c r="DT504" s="33" t="s">
        <v>227</v>
      </c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8"/>
    </row>
    <row r="505" spans="2:137" ht="13.2">
      <c r="B505" s="30" t="str">
        <f t="shared" si="16"/>
        <v>2024/10</v>
      </c>
      <c r="C505" s="31">
        <f t="shared" si="17"/>
        <v>3370</v>
      </c>
      <c r="D505" s="32">
        <v>45581</v>
      </c>
      <c r="E505" s="33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3"/>
      <c r="R505" s="33"/>
      <c r="S505" s="33"/>
      <c r="T505" s="33"/>
      <c r="U505" s="35"/>
      <c r="V505" s="36"/>
      <c r="W505" s="37"/>
      <c r="X505" s="34"/>
      <c r="Y505" s="33"/>
      <c r="Z505" s="33"/>
      <c r="AA505" s="33"/>
      <c r="AB505" s="35"/>
      <c r="AC505" s="34"/>
      <c r="AD505" s="34"/>
      <c r="AE505" s="34"/>
      <c r="AF505" s="34"/>
      <c r="AG505" s="34"/>
      <c r="AH505" s="33"/>
      <c r="AI505" s="33"/>
      <c r="AJ505" s="34"/>
      <c r="AK505" s="33"/>
      <c r="AL505" s="33"/>
      <c r="AM505" s="33"/>
      <c r="AN505" s="34"/>
      <c r="AO505" s="34"/>
      <c r="AP505" s="33"/>
      <c r="AQ505" s="34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4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5"/>
      <c r="CC505" s="33"/>
      <c r="CD505" s="33"/>
      <c r="CE505" s="33"/>
      <c r="CF505" s="34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>
        <v>300</v>
      </c>
      <c r="CR505" s="33"/>
      <c r="CS505" s="33">
        <v>300</v>
      </c>
      <c r="CT505" s="33"/>
      <c r="CU505" s="33"/>
      <c r="CV505" s="33"/>
      <c r="CW505" s="33"/>
      <c r="CX505" s="33">
        <v>2520</v>
      </c>
      <c r="CY505" s="33"/>
      <c r="CZ505" s="34"/>
      <c r="DA505" s="33" t="s">
        <v>206</v>
      </c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4">
        <v>250</v>
      </c>
      <c r="DN505" s="34" t="s">
        <v>209</v>
      </c>
      <c r="DO505" s="33"/>
      <c r="DP505" s="33"/>
      <c r="DQ505" s="33" t="s">
        <v>207</v>
      </c>
      <c r="DR505" s="33"/>
      <c r="DS505" s="33"/>
      <c r="DT505" s="33" t="s">
        <v>227</v>
      </c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8"/>
    </row>
    <row r="506" spans="2:137" ht="13.2">
      <c r="B506" s="30" t="str">
        <f t="shared" si="16"/>
        <v>2024/10</v>
      </c>
      <c r="C506" s="31">
        <f t="shared" si="17"/>
        <v>1075</v>
      </c>
      <c r="D506" s="32">
        <v>45582</v>
      </c>
      <c r="E506" s="33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3"/>
      <c r="R506" s="33"/>
      <c r="S506" s="33"/>
      <c r="T506" s="33"/>
      <c r="U506" s="35"/>
      <c r="V506" s="36"/>
      <c r="W506" s="37"/>
      <c r="X506" s="34"/>
      <c r="Y506" s="33"/>
      <c r="Z506" s="33"/>
      <c r="AA506" s="33"/>
      <c r="AB506" s="35"/>
      <c r="AC506" s="34"/>
      <c r="AD506" s="34"/>
      <c r="AE506" s="34"/>
      <c r="AF506" s="34"/>
      <c r="AG506" s="34"/>
      <c r="AH506" s="33"/>
      <c r="AI506" s="33"/>
      <c r="AJ506" s="34"/>
      <c r="AK506" s="33"/>
      <c r="AL506" s="33"/>
      <c r="AM506" s="33"/>
      <c r="AN506" s="34"/>
      <c r="AO506" s="34"/>
      <c r="AP506" s="33"/>
      <c r="AQ506" s="34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4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5"/>
      <c r="CC506" s="33"/>
      <c r="CD506" s="33"/>
      <c r="CE506" s="33"/>
      <c r="CF506" s="34"/>
      <c r="CG506" s="33"/>
      <c r="CH506" s="33"/>
      <c r="CI506" s="33"/>
      <c r="CJ506" s="33"/>
      <c r="CK506" s="33"/>
      <c r="CL506" s="33"/>
      <c r="CM506" s="33"/>
      <c r="CN506" s="33" t="s">
        <v>206</v>
      </c>
      <c r="CO506" s="33"/>
      <c r="CP506" s="33">
        <v>300</v>
      </c>
      <c r="CQ506" s="33"/>
      <c r="CR506" s="33"/>
      <c r="CS506" s="33"/>
      <c r="CT506" s="33"/>
      <c r="CU506" s="33" t="s">
        <v>227</v>
      </c>
      <c r="CV506" s="33">
        <v>275</v>
      </c>
      <c r="CW506" s="33"/>
      <c r="CX506" s="33" t="s">
        <v>246</v>
      </c>
      <c r="CY506" s="33"/>
      <c r="CZ506" s="34"/>
      <c r="DA506" s="33"/>
      <c r="DB506" s="33">
        <v>200</v>
      </c>
      <c r="DC506" s="33"/>
      <c r="DD506" s="33">
        <v>300</v>
      </c>
      <c r="DE506" s="33"/>
      <c r="DF506" s="33"/>
      <c r="DG506" s="33"/>
      <c r="DH506" s="33"/>
      <c r="DI506" s="33"/>
      <c r="DJ506" s="33"/>
      <c r="DK506" s="33"/>
      <c r="DL506" s="33"/>
      <c r="DM506" s="34"/>
      <c r="DN506" s="34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8"/>
    </row>
    <row r="507" spans="2:137" ht="13.2">
      <c r="B507" s="30" t="str">
        <f t="shared" si="16"/>
        <v>2024/10</v>
      </c>
      <c r="C507" s="31">
        <f t="shared" si="17"/>
        <v>3200</v>
      </c>
      <c r="D507" s="32">
        <v>45583</v>
      </c>
      <c r="E507" s="33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3"/>
      <c r="R507" s="33"/>
      <c r="S507" s="33"/>
      <c r="T507" s="33"/>
      <c r="U507" s="35"/>
      <c r="V507" s="36"/>
      <c r="W507" s="37"/>
      <c r="X507" s="34"/>
      <c r="Y507" s="33"/>
      <c r="Z507" s="33"/>
      <c r="AA507" s="33"/>
      <c r="AB507" s="35"/>
      <c r="AC507" s="34"/>
      <c r="AD507" s="34"/>
      <c r="AE507" s="34"/>
      <c r="AF507" s="34"/>
      <c r="AG507" s="34"/>
      <c r="AH507" s="33"/>
      <c r="AI507" s="33"/>
      <c r="AJ507" s="34"/>
      <c r="AK507" s="33"/>
      <c r="AL507" s="33"/>
      <c r="AM507" s="33"/>
      <c r="AN507" s="34"/>
      <c r="AO507" s="34"/>
      <c r="AP507" s="33"/>
      <c r="AQ507" s="34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4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5"/>
      <c r="CC507" s="33"/>
      <c r="CD507" s="33"/>
      <c r="CE507" s="33"/>
      <c r="CF507" s="34"/>
      <c r="CG507" s="33"/>
      <c r="CH507" s="33"/>
      <c r="CI507" s="33"/>
      <c r="CJ507" s="33"/>
      <c r="CK507" s="33"/>
      <c r="CL507" s="33"/>
      <c r="CM507" s="33"/>
      <c r="CN507" s="33">
        <v>1120</v>
      </c>
      <c r="CO507" s="33"/>
      <c r="CP507" s="33"/>
      <c r="CQ507" s="33"/>
      <c r="CR507" s="33" t="s">
        <v>214</v>
      </c>
      <c r="CS507" s="33"/>
      <c r="CT507" s="33"/>
      <c r="CU507" s="33"/>
      <c r="CV507" s="33"/>
      <c r="CW507" s="33"/>
      <c r="CX507" s="33"/>
      <c r="CY507" s="33">
        <v>280</v>
      </c>
      <c r="CZ507" s="34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4"/>
      <c r="DN507" s="34"/>
      <c r="DO507" s="33"/>
      <c r="DP507" s="33"/>
      <c r="DQ507" s="33"/>
      <c r="DR507" s="33" t="s">
        <v>224</v>
      </c>
      <c r="DS507" s="33"/>
      <c r="DT507" s="33">
        <v>1800</v>
      </c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8"/>
    </row>
    <row r="508" spans="2:137" ht="13.2">
      <c r="B508" s="30" t="str">
        <f t="shared" si="16"/>
        <v>2024/10</v>
      </c>
      <c r="C508" s="31">
        <f t="shared" si="17"/>
        <v>1110</v>
      </c>
      <c r="D508" s="32">
        <v>45587</v>
      </c>
      <c r="E508" s="33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3"/>
      <c r="R508" s="33"/>
      <c r="S508" s="33"/>
      <c r="T508" s="33"/>
      <c r="U508" s="35"/>
      <c r="V508" s="36"/>
      <c r="W508" s="37"/>
      <c r="X508" s="34"/>
      <c r="Y508" s="33"/>
      <c r="Z508" s="33"/>
      <c r="AA508" s="33"/>
      <c r="AB508" s="35"/>
      <c r="AC508" s="34"/>
      <c r="AD508" s="34"/>
      <c r="AE508" s="34"/>
      <c r="AF508" s="34"/>
      <c r="AG508" s="34"/>
      <c r="AH508" s="33"/>
      <c r="AI508" s="33"/>
      <c r="AJ508" s="34"/>
      <c r="AK508" s="33"/>
      <c r="AL508" s="33"/>
      <c r="AM508" s="33"/>
      <c r="AN508" s="34"/>
      <c r="AO508" s="34"/>
      <c r="AP508" s="33"/>
      <c r="AQ508" s="34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4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5"/>
      <c r="CC508" s="33"/>
      <c r="CD508" s="33"/>
      <c r="CE508" s="33"/>
      <c r="CF508" s="34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>
        <v>810</v>
      </c>
      <c r="CV508" s="33"/>
      <c r="CW508" s="33"/>
      <c r="CX508" s="33" t="s">
        <v>212</v>
      </c>
      <c r="CY508" s="33"/>
      <c r="CZ508" s="34"/>
      <c r="DA508" s="33"/>
      <c r="DB508" s="33"/>
      <c r="DC508" s="33"/>
      <c r="DD508" s="33">
        <v>300</v>
      </c>
      <c r="DE508" s="33"/>
      <c r="DF508" s="33"/>
      <c r="DG508" s="33"/>
      <c r="DH508" s="33"/>
      <c r="DI508" s="33"/>
      <c r="DJ508" s="33"/>
      <c r="DK508" s="33"/>
      <c r="DL508" s="33"/>
      <c r="DM508" s="34"/>
      <c r="DN508" s="34"/>
      <c r="DO508" s="33"/>
      <c r="DP508" s="33"/>
      <c r="DQ508" s="33"/>
      <c r="DR508" s="33"/>
      <c r="DS508" s="33"/>
      <c r="DT508" s="33" t="s">
        <v>227</v>
      </c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8"/>
    </row>
    <row r="509" spans="2:137" ht="13.2">
      <c r="B509" s="30" t="str">
        <f t="shared" si="16"/>
        <v>2024/10</v>
      </c>
      <c r="C509" s="31">
        <f t="shared" si="17"/>
        <v>600</v>
      </c>
      <c r="D509" s="32">
        <v>45588</v>
      </c>
      <c r="E509" s="33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3"/>
      <c r="R509" s="33"/>
      <c r="S509" s="33"/>
      <c r="T509" s="33"/>
      <c r="U509" s="35"/>
      <c r="V509" s="36"/>
      <c r="W509" s="37"/>
      <c r="X509" s="34"/>
      <c r="Y509" s="33"/>
      <c r="Z509" s="33"/>
      <c r="AA509" s="33"/>
      <c r="AB509" s="35"/>
      <c r="AC509" s="34"/>
      <c r="AD509" s="34"/>
      <c r="AE509" s="34"/>
      <c r="AF509" s="34"/>
      <c r="AG509" s="34"/>
      <c r="AH509" s="33"/>
      <c r="AI509" s="33"/>
      <c r="AJ509" s="34"/>
      <c r="AK509" s="33"/>
      <c r="AL509" s="33"/>
      <c r="AM509" s="33"/>
      <c r="AN509" s="34"/>
      <c r="AO509" s="34"/>
      <c r="AP509" s="33"/>
      <c r="AQ509" s="34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4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5"/>
      <c r="CC509" s="33"/>
      <c r="CD509" s="33"/>
      <c r="CE509" s="33"/>
      <c r="CF509" s="34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>
        <v>300</v>
      </c>
      <c r="CQ509" s="33">
        <v>300</v>
      </c>
      <c r="CR509" s="33"/>
      <c r="CS509" s="33" t="s">
        <v>227</v>
      </c>
      <c r="CT509" s="33"/>
      <c r="CU509" s="33"/>
      <c r="CV509" s="33"/>
      <c r="CW509" s="33"/>
      <c r="CX509" s="33"/>
      <c r="CY509" s="33"/>
      <c r="CZ509" s="34"/>
      <c r="DA509" s="33" t="s">
        <v>207</v>
      </c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4"/>
      <c r="DN509" s="34"/>
      <c r="DO509" s="33" t="s">
        <v>227</v>
      </c>
      <c r="DP509" s="33"/>
      <c r="DQ509" s="33" t="s">
        <v>208</v>
      </c>
      <c r="DR509" s="33" t="s">
        <v>210</v>
      </c>
      <c r="DS509" s="33"/>
      <c r="DT509" s="33" t="s">
        <v>227</v>
      </c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8"/>
    </row>
    <row r="510" spans="2:137" ht="13.2">
      <c r="B510" s="30" t="str">
        <f t="shared" si="16"/>
        <v>2024/10</v>
      </c>
      <c r="C510" s="31" t="str">
        <f t="shared" si="17"/>
        <v/>
      </c>
      <c r="D510" s="32">
        <v>45589</v>
      </c>
      <c r="E510" s="33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3"/>
      <c r="R510" s="33"/>
      <c r="S510" s="33"/>
      <c r="T510" s="33"/>
      <c r="U510" s="35"/>
      <c r="V510" s="36"/>
      <c r="W510" s="37"/>
      <c r="X510" s="34"/>
      <c r="Y510" s="33"/>
      <c r="Z510" s="33"/>
      <c r="AA510" s="33"/>
      <c r="AB510" s="35"/>
      <c r="AC510" s="34"/>
      <c r="AD510" s="34"/>
      <c r="AE510" s="34"/>
      <c r="AF510" s="34"/>
      <c r="AG510" s="34"/>
      <c r="AH510" s="33"/>
      <c r="AI510" s="33"/>
      <c r="AJ510" s="34"/>
      <c r="AK510" s="33"/>
      <c r="AL510" s="33"/>
      <c r="AM510" s="33"/>
      <c r="AN510" s="34"/>
      <c r="AO510" s="34"/>
      <c r="AP510" s="33"/>
      <c r="AQ510" s="34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4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5"/>
      <c r="CC510" s="33"/>
      <c r="CD510" s="33"/>
      <c r="CE510" s="33"/>
      <c r="CF510" s="34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4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4"/>
      <c r="DN510" s="34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8"/>
    </row>
    <row r="511" spans="2:137" ht="13.2">
      <c r="B511" s="30" t="str">
        <f t="shared" si="16"/>
        <v>2024/10</v>
      </c>
      <c r="C511" s="31">
        <f t="shared" si="17"/>
        <v>1875</v>
      </c>
      <c r="D511" s="32">
        <v>45590</v>
      </c>
      <c r="E511" s="33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3"/>
      <c r="R511" s="33"/>
      <c r="S511" s="33"/>
      <c r="T511" s="33"/>
      <c r="U511" s="35"/>
      <c r="V511" s="36"/>
      <c r="W511" s="37"/>
      <c r="X511" s="34"/>
      <c r="Y511" s="33"/>
      <c r="Z511" s="33"/>
      <c r="AA511" s="33"/>
      <c r="AB511" s="35"/>
      <c r="AC511" s="34"/>
      <c r="AD511" s="34"/>
      <c r="AE511" s="34"/>
      <c r="AF511" s="34"/>
      <c r="AG511" s="34"/>
      <c r="AH511" s="33"/>
      <c r="AI511" s="33"/>
      <c r="AJ511" s="34"/>
      <c r="AK511" s="33"/>
      <c r="AL511" s="33"/>
      <c r="AM511" s="33"/>
      <c r="AN511" s="34"/>
      <c r="AO511" s="34"/>
      <c r="AP511" s="33"/>
      <c r="AQ511" s="34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4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5"/>
      <c r="CC511" s="33"/>
      <c r="CD511" s="33"/>
      <c r="CE511" s="33"/>
      <c r="CF511" s="34"/>
      <c r="CG511" s="33"/>
      <c r="CH511" s="33"/>
      <c r="CI511" s="33"/>
      <c r="CJ511" s="33"/>
      <c r="CK511" s="33"/>
      <c r="CL511" s="33"/>
      <c r="CM511" s="33"/>
      <c r="CN511" s="33" t="s">
        <v>214</v>
      </c>
      <c r="CO511" s="33"/>
      <c r="CP511" s="33"/>
      <c r="CQ511" s="33"/>
      <c r="CR511" s="33" t="s">
        <v>208</v>
      </c>
      <c r="CS511" s="33"/>
      <c r="CT511" s="33"/>
      <c r="CU511" s="33"/>
      <c r="CV511" s="33">
        <v>275</v>
      </c>
      <c r="CW511" s="33"/>
      <c r="CX511" s="33"/>
      <c r="CY511" s="33"/>
      <c r="CZ511" s="34">
        <v>250</v>
      </c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4">
        <v>250</v>
      </c>
      <c r="DN511" s="34"/>
      <c r="DO511" s="33"/>
      <c r="DP511" s="33"/>
      <c r="DQ511" s="33"/>
      <c r="DR511" s="33">
        <v>1100</v>
      </c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8"/>
    </row>
    <row r="512" spans="2:137" ht="13.2">
      <c r="B512" s="30" t="str">
        <f t="shared" si="16"/>
        <v>2024/10</v>
      </c>
      <c r="C512" s="31">
        <f t="shared" si="17"/>
        <v>1200</v>
      </c>
      <c r="D512" s="32">
        <v>45593</v>
      </c>
      <c r="E512" s="33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3"/>
      <c r="R512" s="33"/>
      <c r="S512" s="33"/>
      <c r="T512" s="33"/>
      <c r="U512" s="35"/>
      <c r="V512" s="36"/>
      <c r="W512" s="37"/>
      <c r="X512" s="34"/>
      <c r="Y512" s="33"/>
      <c r="Z512" s="33"/>
      <c r="AA512" s="33"/>
      <c r="AB512" s="35"/>
      <c r="AC512" s="34"/>
      <c r="AD512" s="34"/>
      <c r="AE512" s="34"/>
      <c r="AF512" s="34"/>
      <c r="AG512" s="34"/>
      <c r="AH512" s="33"/>
      <c r="AI512" s="33"/>
      <c r="AJ512" s="34"/>
      <c r="AK512" s="33"/>
      <c r="AL512" s="33"/>
      <c r="AM512" s="33"/>
      <c r="AN512" s="34"/>
      <c r="AO512" s="34"/>
      <c r="AP512" s="33"/>
      <c r="AQ512" s="34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4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5"/>
      <c r="CC512" s="33"/>
      <c r="CD512" s="33"/>
      <c r="CE512" s="33"/>
      <c r="CF512" s="34"/>
      <c r="CG512" s="33"/>
      <c r="CH512" s="33"/>
      <c r="CI512" s="33"/>
      <c r="CJ512" s="33"/>
      <c r="CK512" s="33"/>
      <c r="CL512" s="33"/>
      <c r="CM512" s="33"/>
      <c r="CN512" s="33" t="s">
        <v>208</v>
      </c>
      <c r="CO512" s="33"/>
      <c r="CP512" s="33">
        <v>300</v>
      </c>
      <c r="CQ512" s="33"/>
      <c r="CR512" s="33"/>
      <c r="CS512" s="33"/>
      <c r="CT512" s="33"/>
      <c r="CU512" s="33"/>
      <c r="CV512" s="33"/>
      <c r="CW512" s="33"/>
      <c r="CX512" s="33"/>
      <c r="CY512" s="33"/>
      <c r="CZ512" s="34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4"/>
      <c r="DN512" s="34"/>
      <c r="DO512" s="33"/>
      <c r="DP512" s="33"/>
      <c r="DQ512" s="33"/>
      <c r="DR512" s="33"/>
      <c r="DS512" s="33"/>
      <c r="DT512" s="33">
        <v>900</v>
      </c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8"/>
    </row>
    <row r="513" spans="2:137" ht="13.2">
      <c r="B513" s="30" t="str">
        <f t="shared" si="16"/>
        <v>2024/10</v>
      </c>
      <c r="C513" s="31">
        <f t="shared" si="17"/>
        <v>1960</v>
      </c>
      <c r="D513" s="32">
        <v>45594</v>
      </c>
      <c r="E513" s="33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3"/>
      <c r="R513" s="33"/>
      <c r="S513" s="33"/>
      <c r="T513" s="33"/>
      <c r="U513" s="35"/>
      <c r="V513" s="36"/>
      <c r="W513" s="37"/>
      <c r="X513" s="34"/>
      <c r="Y513" s="33"/>
      <c r="Z513" s="33"/>
      <c r="AA513" s="33"/>
      <c r="AB513" s="35"/>
      <c r="AC513" s="34"/>
      <c r="AD513" s="34"/>
      <c r="AE513" s="34"/>
      <c r="AF513" s="34"/>
      <c r="AG513" s="34"/>
      <c r="AH513" s="33"/>
      <c r="AI513" s="33"/>
      <c r="AJ513" s="34"/>
      <c r="AK513" s="33"/>
      <c r="AL513" s="33"/>
      <c r="AM513" s="33"/>
      <c r="AN513" s="34"/>
      <c r="AO513" s="34"/>
      <c r="AP513" s="33"/>
      <c r="AQ513" s="34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4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5"/>
      <c r="CC513" s="33"/>
      <c r="CD513" s="33"/>
      <c r="CE513" s="33"/>
      <c r="CF513" s="34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>
        <v>300</v>
      </c>
      <c r="CR513" s="33"/>
      <c r="CS513" s="33"/>
      <c r="CT513" s="33"/>
      <c r="CU513" s="33"/>
      <c r="CV513" s="33"/>
      <c r="CW513" s="33"/>
      <c r="CX513" s="33" t="s">
        <v>207</v>
      </c>
      <c r="CY513" s="33">
        <v>280</v>
      </c>
      <c r="CZ513" s="34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4"/>
      <c r="DN513" s="34"/>
      <c r="DO513" s="33"/>
      <c r="DP513" s="33"/>
      <c r="DQ513" s="33">
        <v>1120</v>
      </c>
      <c r="DR513" s="33"/>
      <c r="DS513" s="33">
        <v>260</v>
      </c>
      <c r="DT513" s="33" t="s">
        <v>227</v>
      </c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8"/>
    </row>
    <row r="514" spans="2:137" ht="13.2">
      <c r="B514" s="30" t="str">
        <f t="shared" si="16"/>
        <v>2024/10</v>
      </c>
      <c r="C514" s="31">
        <f t="shared" si="17"/>
        <v>2630</v>
      </c>
      <c r="D514" s="32">
        <v>45595</v>
      </c>
      <c r="E514" s="33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3"/>
      <c r="R514" s="33"/>
      <c r="S514" s="33"/>
      <c r="T514" s="33"/>
      <c r="U514" s="35"/>
      <c r="V514" s="36"/>
      <c r="W514" s="37"/>
      <c r="X514" s="34"/>
      <c r="Y514" s="33"/>
      <c r="Z514" s="33"/>
      <c r="AA514" s="33"/>
      <c r="AB514" s="35"/>
      <c r="AC514" s="34"/>
      <c r="AD514" s="34"/>
      <c r="AE514" s="34"/>
      <c r="AF514" s="34"/>
      <c r="AG514" s="34"/>
      <c r="AH514" s="33"/>
      <c r="AI514" s="33"/>
      <c r="AJ514" s="34"/>
      <c r="AK514" s="33"/>
      <c r="AL514" s="33"/>
      <c r="AM514" s="33"/>
      <c r="AN514" s="34"/>
      <c r="AO514" s="34"/>
      <c r="AP514" s="33"/>
      <c r="AQ514" s="34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4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5"/>
      <c r="CC514" s="33"/>
      <c r="CD514" s="33"/>
      <c r="CE514" s="33"/>
      <c r="CF514" s="34"/>
      <c r="CG514" s="33"/>
      <c r="CH514" s="33"/>
      <c r="CI514" s="33"/>
      <c r="CJ514" s="33"/>
      <c r="CK514" s="33"/>
      <c r="CL514" s="33"/>
      <c r="CM514" s="33"/>
      <c r="CN514" s="33"/>
      <c r="CO514" s="33">
        <v>250</v>
      </c>
      <c r="CP514" s="33"/>
      <c r="CQ514" s="33"/>
      <c r="CR514" s="33"/>
      <c r="CS514" s="33">
        <v>600</v>
      </c>
      <c r="CT514" s="33"/>
      <c r="CU514" s="33">
        <v>270</v>
      </c>
      <c r="CV514" s="33"/>
      <c r="CW514" s="33"/>
      <c r="CX514" s="33"/>
      <c r="CY514" s="33"/>
      <c r="CZ514" s="34"/>
      <c r="DA514" s="33"/>
      <c r="DB514" s="33">
        <v>260</v>
      </c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4">
        <v>250</v>
      </c>
      <c r="DN514" s="34" t="s">
        <v>206</v>
      </c>
      <c r="DO514" s="33">
        <v>400</v>
      </c>
      <c r="DP514" s="33" t="s">
        <v>254</v>
      </c>
      <c r="DQ514" s="33" t="s">
        <v>210</v>
      </c>
      <c r="DR514" s="33" t="s">
        <v>212</v>
      </c>
      <c r="DS514" s="33"/>
      <c r="DT514" s="33">
        <v>600</v>
      </c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8"/>
    </row>
    <row r="515" spans="2:137" ht="13.2">
      <c r="B515" s="30" t="str">
        <f t="shared" si="16"/>
        <v>2024/11</v>
      </c>
      <c r="C515" s="31">
        <f t="shared" si="17"/>
        <v>1200</v>
      </c>
      <c r="D515" s="32">
        <v>45601</v>
      </c>
      <c r="E515" s="33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3"/>
      <c r="R515" s="33"/>
      <c r="S515" s="33"/>
      <c r="T515" s="33"/>
      <c r="U515" s="35"/>
      <c r="V515" s="36"/>
      <c r="W515" s="37"/>
      <c r="X515" s="34"/>
      <c r="Y515" s="33"/>
      <c r="Z515" s="33"/>
      <c r="AA515" s="33"/>
      <c r="AB515" s="35"/>
      <c r="AC515" s="34"/>
      <c r="AD515" s="34"/>
      <c r="AE515" s="34"/>
      <c r="AF515" s="34"/>
      <c r="AG515" s="34"/>
      <c r="AH515" s="33"/>
      <c r="AI515" s="33"/>
      <c r="AJ515" s="34"/>
      <c r="AK515" s="33"/>
      <c r="AL515" s="33"/>
      <c r="AM515" s="33"/>
      <c r="AN515" s="34"/>
      <c r="AO515" s="34"/>
      <c r="AP515" s="33"/>
      <c r="AQ515" s="34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4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5"/>
      <c r="CC515" s="33"/>
      <c r="CD515" s="33"/>
      <c r="CE515" s="33"/>
      <c r="CF515" s="34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>
        <v>1200</v>
      </c>
      <c r="CT515" s="33"/>
      <c r="CU515" s="33"/>
      <c r="CV515" s="33"/>
      <c r="CW515" s="33"/>
      <c r="CX515" s="33"/>
      <c r="CY515" s="33"/>
      <c r="CZ515" s="34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4"/>
      <c r="DN515" s="34"/>
      <c r="DO515" s="33"/>
      <c r="DP515" s="33" t="s">
        <v>246</v>
      </c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8"/>
    </row>
    <row r="516" spans="2:137" ht="13.2">
      <c r="B516" s="30" t="str">
        <f t="shared" ref="B516:B579" si="18">IF(D516&gt;0, CONCATENATE(YEAR(D516),"/",MONTH(D516)),"")</f>
        <v>2024/11</v>
      </c>
      <c r="C516" s="31">
        <f t="shared" ref="C516:C579" si="19">IF(SUM(E516:EG516)=0,"",SUM(E516:EG516))</f>
        <v>1790</v>
      </c>
      <c r="D516" s="32">
        <v>45602</v>
      </c>
      <c r="E516" s="33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3"/>
      <c r="R516" s="33"/>
      <c r="S516" s="33"/>
      <c r="T516" s="33"/>
      <c r="U516" s="35"/>
      <c r="V516" s="36"/>
      <c r="W516" s="37"/>
      <c r="X516" s="34"/>
      <c r="Y516" s="33"/>
      <c r="Z516" s="33"/>
      <c r="AA516" s="33"/>
      <c r="AB516" s="35"/>
      <c r="AC516" s="34"/>
      <c r="AD516" s="34"/>
      <c r="AE516" s="34"/>
      <c r="AF516" s="34"/>
      <c r="AG516" s="34"/>
      <c r="AH516" s="33"/>
      <c r="AI516" s="33"/>
      <c r="AJ516" s="34"/>
      <c r="AK516" s="33"/>
      <c r="AL516" s="33"/>
      <c r="AM516" s="33"/>
      <c r="AN516" s="34"/>
      <c r="AO516" s="34"/>
      <c r="AP516" s="33"/>
      <c r="AQ516" s="34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4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5"/>
      <c r="CC516" s="33"/>
      <c r="CD516" s="33"/>
      <c r="CE516" s="33"/>
      <c r="CF516" s="34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 t="s">
        <v>209</v>
      </c>
      <c r="CT516" s="33"/>
      <c r="CU516" s="33"/>
      <c r="CV516" s="33"/>
      <c r="CW516" s="33"/>
      <c r="CX516" s="33"/>
      <c r="CY516" s="33"/>
      <c r="CZ516" s="34"/>
      <c r="DA516" s="33"/>
      <c r="DB516" s="33">
        <v>200</v>
      </c>
      <c r="DC516" s="33"/>
      <c r="DD516" s="33">
        <v>300</v>
      </c>
      <c r="DE516" s="33"/>
      <c r="DF516" s="33"/>
      <c r="DG516" s="33"/>
      <c r="DH516" s="33"/>
      <c r="DI516" s="33"/>
      <c r="DJ516" s="33"/>
      <c r="DK516" s="33"/>
      <c r="DL516" s="33"/>
      <c r="DM516" s="34">
        <v>250</v>
      </c>
      <c r="DN516" s="34"/>
      <c r="DO516" s="33"/>
      <c r="DP516" s="33">
        <v>1040</v>
      </c>
      <c r="DQ516" s="33" t="s">
        <v>206</v>
      </c>
      <c r="DR516" s="33" t="s">
        <v>207</v>
      </c>
      <c r="DS516" s="33"/>
      <c r="DT516" s="33" t="s">
        <v>227</v>
      </c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8"/>
    </row>
    <row r="517" spans="2:137" ht="13.2">
      <c r="B517" s="30" t="str">
        <f t="shared" si="18"/>
        <v>2024/11</v>
      </c>
      <c r="C517" s="31">
        <f t="shared" si="19"/>
        <v>980</v>
      </c>
      <c r="D517" s="32">
        <v>45603</v>
      </c>
      <c r="E517" s="33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3"/>
      <c r="R517" s="33"/>
      <c r="S517" s="33"/>
      <c r="T517" s="33"/>
      <c r="U517" s="35"/>
      <c r="V517" s="36"/>
      <c r="W517" s="37"/>
      <c r="X517" s="34"/>
      <c r="Y517" s="33"/>
      <c r="Z517" s="33"/>
      <c r="AA517" s="33"/>
      <c r="AB517" s="35"/>
      <c r="AC517" s="34"/>
      <c r="AD517" s="34"/>
      <c r="AE517" s="34"/>
      <c r="AF517" s="34"/>
      <c r="AG517" s="34"/>
      <c r="AH517" s="33"/>
      <c r="AI517" s="33"/>
      <c r="AJ517" s="34"/>
      <c r="AK517" s="33"/>
      <c r="AL517" s="33"/>
      <c r="AM517" s="33"/>
      <c r="AN517" s="34"/>
      <c r="AO517" s="34"/>
      <c r="AP517" s="33"/>
      <c r="AQ517" s="34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4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5"/>
      <c r="CC517" s="33"/>
      <c r="CD517" s="33"/>
      <c r="CE517" s="33"/>
      <c r="CF517" s="34"/>
      <c r="CG517" s="33"/>
      <c r="CH517" s="33"/>
      <c r="CI517" s="33"/>
      <c r="CJ517" s="33"/>
      <c r="CK517" s="33"/>
      <c r="CL517" s="33"/>
      <c r="CM517" s="33"/>
      <c r="CN517" s="33" t="s">
        <v>209</v>
      </c>
      <c r="CO517" s="33"/>
      <c r="CP517" s="33" t="s">
        <v>213</v>
      </c>
      <c r="CQ517" s="33"/>
      <c r="CR517" s="33"/>
      <c r="CS517" s="33"/>
      <c r="CT517" s="33" t="s">
        <v>209</v>
      </c>
      <c r="CU517" s="33" t="s">
        <v>227</v>
      </c>
      <c r="CV517" s="33"/>
      <c r="CW517" s="33"/>
      <c r="CX517" s="33" t="s">
        <v>208</v>
      </c>
      <c r="CY517" s="33"/>
      <c r="CZ517" s="34">
        <v>250</v>
      </c>
      <c r="DA517" s="33"/>
      <c r="DB517" s="33"/>
      <c r="DC517" s="33"/>
      <c r="DD517" s="33"/>
      <c r="DE517" s="33"/>
      <c r="DF517" s="33"/>
      <c r="DG517" s="33"/>
      <c r="DH517" s="33">
        <v>270</v>
      </c>
      <c r="DI517" s="33"/>
      <c r="DJ517" s="33"/>
      <c r="DK517" s="33"/>
      <c r="DL517" s="33"/>
      <c r="DM517" s="34"/>
      <c r="DN517" s="34" t="s">
        <v>207</v>
      </c>
      <c r="DO517" s="33">
        <v>200</v>
      </c>
      <c r="DP517" s="33"/>
      <c r="DQ517" s="33"/>
      <c r="DR517" s="33"/>
      <c r="DS517" s="33">
        <v>260</v>
      </c>
      <c r="DT517" s="33" t="s">
        <v>227</v>
      </c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8"/>
    </row>
    <row r="518" spans="2:137" ht="13.2">
      <c r="B518" s="30" t="str">
        <f t="shared" si="18"/>
        <v>2024/11</v>
      </c>
      <c r="C518" s="31">
        <f t="shared" si="19"/>
        <v>1755</v>
      </c>
      <c r="D518" s="32">
        <v>45604</v>
      </c>
      <c r="E518" s="33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3"/>
      <c r="R518" s="33"/>
      <c r="S518" s="33"/>
      <c r="T518" s="33"/>
      <c r="U518" s="35"/>
      <c r="V518" s="36"/>
      <c r="W518" s="37"/>
      <c r="X518" s="34"/>
      <c r="Y518" s="33"/>
      <c r="Z518" s="33"/>
      <c r="AA518" s="33"/>
      <c r="AB518" s="35"/>
      <c r="AC518" s="34"/>
      <c r="AD518" s="34"/>
      <c r="AE518" s="34"/>
      <c r="AF518" s="34"/>
      <c r="AG518" s="34"/>
      <c r="AH518" s="33"/>
      <c r="AI518" s="33"/>
      <c r="AJ518" s="34"/>
      <c r="AK518" s="33"/>
      <c r="AL518" s="33"/>
      <c r="AM518" s="33"/>
      <c r="AN518" s="34"/>
      <c r="AO518" s="34"/>
      <c r="AP518" s="33"/>
      <c r="AQ518" s="34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4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5"/>
      <c r="CC518" s="33"/>
      <c r="CD518" s="33"/>
      <c r="CE518" s="33"/>
      <c r="CF518" s="34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>
        <v>300</v>
      </c>
      <c r="CR518" s="33" t="s">
        <v>209</v>
      </c>
      <c r="CS518" s="33"/>
      <c r="CT518" s="33"/>
      <c r="CU518" s="33"/>
      <c r="CV518" s="33">
        <v>275</v>
      </c>
      <c r="CW518" s="33"/>
      <c r="CX518" s="33"/>
      <c r="CY518" s="33">
        <v>280</v>
      </c>
      <c r="CZ518" s="34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4"/>
      <c r="DN518" s="34"/>
      <c r="DO518" s="33"/>
      <c r="DP518" s="33"/>
      <c r="DQ518" s="33"/>
      <c r="DR518" s="33"/>
      <c r="DS518" s="33"/>
      <c r="DT518" s="33">
        <v>900</v>
      </c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8"/>
    </row>
    <row r="519" spans="2:137" ht="13.2">
      <c r="B519" s="30" t="str">
        <f t="shared" si="18"/>
        <v>2024/11</v>
      </c>
      <c r="C519" s="31">
        <f t="shared" si="19"/>
        <v>2610</v>
      </c>
      <c r="D519" s="32">
        <v>45608</v>
      </c>
      <c r="E519" s="33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3"/>
      <c r="R519" s="33"/>
      <c r="S519" s="33"/>
      <c r="T519" s="33"/>
      <c r="U519" s="35"/>
      <c r="V519" s="36"/>
      <c r="W519" s="37"/>
      <c r="X519" s="34"/>
      <c r="Y519" s="33"/>
      <c r="Z519" s="33"/>
      <c r="AA519" s="33"/>
      <c r="AB519" s="35"/>
      <c r="AC519" s="34"/>
      <c r="AD519" s="34"/>
      <c r="AE519" s="34"/>
      <c r="AF519" s="34"/>
      <c r="AG519" s="34"/>
      <c r="AH519" s="33"/>
      <c r="AI519" s="33"/>
      <c r="AJ519" s="34"/>
      <c r="AK519" s="33"/>
      <c r="AL519" s="33"/>
      <c r="AM519" s="33"/>
      <c r="AN519" s="34"/>
      <c r="AO519" s="34"/>
      <c r="AP519" s="33"/>
      <c r="AQ519" s="34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4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5"/>
      <c r="CC519" s="33"/>
      <c r="CD519" s="33"/>
      <c r="CE519" s="33"/>
      <c r="CF519" s="34"/>
      <c r="CG519" s="33"/>
      <c r="CH519" s="33"/>
      <c r="CI519" s="33"/>
      <c r="CJ519" s="33"/>
      <c r="CK519" s="33"/>
      <c r="CL519" s="33"/>
      <c r="CM519" s="33"/>
      <c r="CN519" s="33"/>
      <c r="CO519" s="33">
        <v>250</v>
      </c>
      <c r="CP519" s="33"/>
      <c r="CQ519" s="33">
        <v>300</v>
      </c>
      <c r="CR519" s="33"/>
      <c r="CS519" s="33"/>
      <c r="CT519" s="33"/>
      <c r="CU519" s="33"/>
      <c r="CV519" s="33"/>
      <c r="CW519" s="33"/>
      <c r="CX519" s="33" t="s">
        <v>231</v>
      </c>
      <c r="CY519" s="33"/>
      <c r="CZ519" s="34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4"/>
      <c r="DN519" s="34"/>
      <c r="DO519" s="33">
        <v>200</v>
      </c>
      <c r="DP519" s="33"/>
      <c r="DQ519" s="33"/>
      <c r="DR519" s="33"/>
      <c r="DS519" s="33">
        <v>260</v>
      </c>
      <c r="DT519" s="33" t="s">
        <v>227</v>
      </c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>
        <v>1600</v>
      </c>
      <c r="EF519" s="33"/>
      <c r="EG519" s="38"/>
    </row>
    <row r="520" spans="2:137" ht="13.2">
      <c r="B520" s="30" t="str">
        <f t="shared" si="18"/>
        <v>2024/11</v>
      </c>
      <c r="C520" s="31">
        <f t="shared" si="19"/>
        <v>3384.6400000000003</v>
      </c>
      <c r="D520" s="32">
        <v>45609</v>
      </c>
      <c r="E520" s="33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3"/>
      <c r="R520" s="33"/>
      <c r="S520" s="33"/>
      <c r="T520" s="33"/>
      <c r="U520" s="35"/>
      <c r="V520" s="36"/>
      <c r="W520" s="37"/>
      <c r="X520" s="34"/>
      <c r="Y520" s="33"/>
      <c r="Z520" s="33"/>
      <c r="AA520" s="33"/>
      <c r="AB520" s="35"/>
      <c r="AC520" s="34"/>
      <c r="AD520" s="34"/>
      <c r="AE520" s="34"/>
      <c r="AF520" s="34"/>
      <c r="AG520" s="34"/>
      <c r="AH520" s="33"/>
      <c r="AI520" s="33"/>
      <c r="AJ520" s="34"/>
      <c r="AK520" s="33"/>
      <c r="AL520" s="33"/>
      <c r="AM520" s="33"/>
      <c r="AN520" s="34"/>
      <c r="AO520" s="34"/>
      <c r="AP520" s="33"/>
      <c r="AQ520" s="34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4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5"/>
      <c r="CC520" s="33"/>
      <c r="CD520" s="33"/>
      <c r="CE520" s="33"/>
      <c r="CF520" s="34"/>
      <c r="CG520" s="33"/>
      <c r="CH520" s="33"/>
      <c r="CI520" s="33"/>
      <c r="CJ520" s="33"/>
      <c r="CK520" s="33"/>
      <c r="CL520" s="33"/>
      <c r="CM520" s="33"/>
      <c r="CN520" s="33">
        <v>1144.6400000000001</v>
      </c>
      <c r="CO520" s="33"/>
      <c r="CP520" s="33"/>
      <c r="CQ520" s="33"/>
      <c r="CR520" s="33"/>
      <c r="CS520" s="33" t="s">
        <v>206</v>
      </c>
      <c r="CT520" s="33"/>
      <c r="CU520" s="33"/>
      <c r="CV520" s="33"/>
      <c r="CW520" s="33"/>
      <c r="CX520" s="33">
        <v>1680</v>
      </c>
      <c r="CY520" s="33"/>
      <c r="CZ520" s="34"/>
      <c r="DA520" s="33"/>
      <c r="DB520" s="33">
        <v>260</v>
      </c>
      <c r="DC520" s="33"/>
      <c r="DD520" s="33">
        <v>300</v>
      </c>
      <c r="DE520" s="33"/>
      <c r="DF520" s="33"/>
      <c r="DG520" s="33"/>
      <c r="DH520" s="33"/>
      <c r="DI520" s="33"/>
      <c r="DJ520" s="33"/>
      <c r="DK520" s="33"/>
      <c r="DL520" s="33"/>
      <c r="DM520" s="34"/>
      <c r="DN520" s="34" t="s">
        <v>224</v>
      </c>
      <c r="DO520" s="33"/>
      <c r="DP520" s="33"/>
      <c r="DQ520" s="33" t="s">
        <v>207</v>
      </c>
      <c r="DR520" s="33" t="s">
        <v>208</v>
      </c>
      <c r="DS520" s="33"/>
      <c r="DT520" s="33" t="s">
        <v>227</v>
      </c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8"/>
    </row>
    <row r="521" spans="2:137" ht="13.2">
      <c r="B521" s="30" t="str">
        <f t="shared" si="18"/>
        <v>2024/11</v>
      </c>
      <c r="C521" s="31">
        <f t="shared" si="19"/>
        <v>1695</v>
      </c>
      <c r="D521" s="32">
        <v>45610</v>
      </c>
      <c r="E521" s="33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3"/>
      <c r="R521" s="33"/>
      <c r="S521" s="33"/>
      <c r="T521" s="33"/>
      <c r="U521" s="35"/>
      <c r="V521" s="36"/>
      <c r="W521" s="37"/>
      <c r="X521" s="34"/>
      <c r="Y521" s="33"/>
      <c r="Z521" s="33"/>
      <c r="AA521" s="33"/>
      <c r="AB521" s="35"/>
      <c r="AC521" s="34"/>
      <c r="AD521" s="34"/>
      <c r="AE521" s="34"/>
      <c r="AF521" s="34"/>
      <c r="AG521" s="34"/>
      <c r="AH521" s="33"/>
      <c r="AI521" s="33"/>
      <c r="AJ521" s="34"/>
      <c r="AK521" s="33"/>
      <c r="AL521" s="33"/>
      <c r="AM521" s="33"/>
      <c r="AN521" s="34"/>
      <c r="AO521" s="34"/>
      <c r="AP521" s="33"/>
      <c r="AQ521" s="34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4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5"/>
      <c r="CC521" s="33"/>
      <c r="CD521" s="33"/>
      <c r="CE521" s="33"/>
      <c r="CF521" s="34"/>
      <c r="CG521" s="33"/>
      <c r="CH521" s="33"/>
      <c r="CI521" s="33"/>
      <c r="CJ521" s="33"/>
      <c r="CK521" s="33"/>
      <c r="CL521" s="33"/>
      <c r="CM521" s="33"/>
      <c r="CN521" s="33" t="s">
        <v>206</v>
      </c>
      <c r="CO521" s="33"/>
      <c r="CP521" s="33"/>
      <c r="CQ521" s="33"/>
      <c r="CR521" s="33"/>
      <c r="CS521" s="33"/>
      <c r="CT521" s="33"/>
      <c r="CU521" s="33" t="s">
        <v>227</v>
      </c>
      <c r="CV521" s="33">
        <v>275</v>
      </c>
      <c r="CW521" s="33"/>
      <c r="CX521" s="33" t="s">
        <v>232</v>
      </c>
      <c r="CY521" s="33"/>
      <c r="CZ521" s="34"/>
      <c r="DA521" s="33"/>
      <c r="DB521" s="33"/>
      <c r="DC521" s="33"/>
      <c r="DD521" s="33"/>
      <c r="DE521" s="33"/>
      <c r="DF521" s="33"/>
      <c r="DG521" s="33"/>
      <c r="DH521" s="33">
        <v>270</v>
      </c>
      <c r="DI521" s="33"/>
      <c r="DJ521" s="33"/>
      <c r="DK521" s="33"/>
      <c r="DL521" s="33"/>
      <c r="DM521" s="34">
        <v>250</v>
      </c>
      <c r="DN521" s="34"/>
      <c r="DO521" s="33"/>
      <c r="DP521" s="33" t="s">
        <v>206</v>
      </c>
      <c r="DQ521" s="33"/>
      <c r="DR521" s="33"/>
      <c r="DS521" s="33"/>
      <c r="DT521" s="33">
        <v>900</v>
      </c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8"/>
    </row>
    <row r="522" spans="2:137" ht="13.2">
      <c r="B522" s="30" t="str">
        <f t="shared" si="18"/>
        <v>2024/11</v>
      </c>
      <c r="C522" s="31">
        <f t="shared" si="19"/>
        <v>1560</v>
      </c>
      <c r="D522" s="32">
        <v>45615</v>
      </c>
      <c r="E522" s="33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3"/>
      <c r="R522" s="33"/>
      <c r="S522" s="33"/>
      <c r="T522" s="33"/>
      <c r="U522" s="35"/>
      <c r="V522" s="36"/>
      <c r="W522" s="37"/>
      <c r="X522" s="34"/>
      <c r="Y522" s="33"/>
      <c r="Z522" s="33"/>
      <c r="AA522" s="33"/>
      <c r="AB522" s="35"/>
      <c r="AC522" s="34"/>
      <c r="AD522" s="34"/>
      <c r="AE522" s="34"/>
      <c r="AF522" s="34"/>
      <c r="AG522" s="34"/>
      <c r="AH522" s="33"/>
      <c r="AI522" s="33"/>
      <c r="AJ522" s="34"/>
      <c r="AK522" s="33"/>
      <c r="AL522" s="33"/>
      <c r="AM522" s="33"/>
      <c r="AN522" s="34"/>
      <c r="AO522" s="34"/>
      <c r="AP522" s="33"/>
      <c r="AQ522" s="34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4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5"/>
      <c r="CC522" s="33"/>
      <c r="CD522" s="33"/>
      <c r="CE522" s="33"/>
      <c r="CF522" s="34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42" t="s">
        <v>246</v>
      </c>
      <c r="CY522" s="33"/>
      <c r="CZ522" s="34"/>
      <c r="DA522" s="33" t="s">
        <v>208</v>
      </c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4"/>
      <c r="DN522" s="34"/>
      <c r="DO522" s="33">
        <v>200</v>
      </c>
      <c r="DP522" s="33"/>
      <c r="DQ522" s="33"/>
      <c r="DR522" s="33">
        <v>1100</v>
      </c>
      <c r="DS522" s="33">
        <v>260</v>
      </c>
      <c r="DT522" s="33" t="s">
        <v>227</v>
      </c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8"/>
    </row>
    <row r="523" spans="2:137" ht="13.2">
      <c r="B523" s="30" t="str">
        <f t="shared" si="18"/>
        <v>2024/11</v>
      </c>
      <c r="C523" s="31">
        <f t="shared" si="19"/>
        <v>1990</v>
      </c>
      <c r="D523" s="32">
        <v>45617</v>
      </c>
      <c r="E523" s="33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3"/>
      <c r="R523" s="33"/>
      <c r="S523" s="33"/>
      <c r="T523" s="33"/>
      <c r="U523" s="35"/>
      <c r="V523" s="36"/>
      <c r="W523" s="37"/>
      <c r="X523" s="34"/>
      <c r="Y523" s="33"/>
      <c r="Z523" s="33"/>
      <c r="AA523" s="33"/>
      <c r="AB523" s="35"/>
      <c r="AC523" s="34"/>
      <c r="AD523" s="34"/>
      <c r="AE523" s="34"/>
      <c r="AF523" s="34"/>
      <c r="AG523" s="34"/>
      <c r="AH523" s="33"/>
      <c r="AI523" s="33"/>
      <c r="AJ523" s="34"/>
      <c r="AK523" s="33"/>
      <c r="AL523" s="33"/>
      <c r="AM523" s="33"/>
      <c r="AN523" s="34"/>
      <c r="AO523" s="34"/>
      <c r="AP523" s="33"/>
      <c r="AQ523" s="34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4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5"/>
      <c r="CC523" s="33"/>
      <c r="CD523" s="33"/>
      <c r="CE523" s="33"/>
      <c r="CF523" s="34"/>
      <c r="CG523" s="33"/>
      <c r="CH523" s="33"/>
      <c r="CI523" s="33"/>
      <c r="CJ523" s="33"/>
      <c r="CK523" s="33"/>
      <c r="CL523" s="33"/>
      <c r="CM523" s="33"/>
      <c r="CN523" s="33" t="s">
        <v>207</v>
      </c>
      <c r="CO523" s="33"/>
      <c r="CP523" s="33"/>
      <c r="CQ523" s="33"/>
      <c r="CR523" s="33">
        <v>880</v>
      </c>
      <c r="CS523" s="33" t="s">
        <v>207</v>
      </c>
      <c r="CT523" s="33"/>
      <c r="CU523" s="33">
        <v>810</v>
      </c>
      <c r="CV523" s="33"/>
      <c r="CW523" s="33"/>
      <c r="CX523" s="33" t="s">
        <v>206</v>
      </c>
      <c r="CY523" s="33"/>
      <c r="CZ523" s="34"/>
      <c r="DA523" s="33"/>
      <c r="DB523" s="33"/>
      <c r="DC523" s="33"/>
      <c r="DD523" s="33">
        <v>300</v>
      </c>
      <c r="DE523" s="33"/>
      <c r="DF523" s="33"/>
      <c r="DG523" s="33"/>
      <c r="DH523" s="33"/>
      <c r="DI523" s="33"/>
      <c r="DJ523" s="33"/>
      <c r="DK523" s="33"/>
      <c r="DL523" s="33"/>
      <c r="DM523" s="34"/>
      <c r="DN523" s="34"/>
      <c r="DO523" s="33"/>
      <c r="DP523" s="33" t="s">
        <v>207</v>
      </c>
      <c r="DQ523" s="33"/>
      <c r="DR523" s="33" t="s">
        <v>209</v>
      </c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8"/>
    </row>
    <row r="524" spans="2:137" ht="13.2">
      <c r="B524" s="30" t="str">
        <f t="shared" si="18"/>
        <v>2024/11</v>
      </c>
      <c r="C524" s="31">
        <f t="shared" si="19"/>
        <v>1925</v>
      </c>
      <c r="D524" s="32">
        <v>45618</v>
      </c>
      <c r="E524" s="33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3"/>
      <c r="R524" s="33"/>
      <c r="S524" s="33"/>
      <c r="T524" s="33"/>
      <c r="U524" s="35"/>
      <c r="V524" s="36"/>
      <c r="W524" s="37"/>
      <c r="X524" s="34"/>
      <c r="Y524" s="33"/>
      <c r="Z524" s="33"/>
      <c r="AA524" s="33"/>
      <c r="AB524" s="35"/>
      <c r="AC524" s="34"/>
      <c r="AD524" s="34"/>
      <c r="AE524" s="34"/>
      <c r="AF524" s="34"/>
      <c r="AG524" s="34"/>
      <c r="AH524" s="33"/>
      <c r="AI524" s="33"/>
      <c r="AJ524" s="34"/>
      <c r="AK524" s="33"/>
      <c r="AL524" s="33"/>
      <c r="AM524" s="33"/>
      <c r="AN524" s="34"/>
      <c r="AO524" s="34"/>
      <c r="AP524" s="33"/>
      <c r="AQ524" s="34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4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5"/>
      <c r="CC524" s="33"/>
      <c r="CD524" s="33"/>
      <c r="CE524" s="33"/>
      <c r="CF524" s="34"/>
      <c r="CG524" s="33"/>
      <c r="CH524" s="33"/>
      <c r="CI524" s="33"/>
      <c r="CJ524" s="33"/>
      <c r="CK524" s="33"/>
      <c r="CL524" s="33"/>
      <c r="CM524" s="33"/>
      <c r="CN524" s="33"/>
      <c r="CO524" s="33">
        <v>250</v>
      </c>
      <c r="CP524" s="33"/>
      <c r="CQ524" s="33"/>
      <c r="CR524" s="33" t="s">
        <v>206</v>
      </c>
      <c r="CS524" s="33"/>
      <c r="CT524" s="33"/>
      <c r="CU524" s="33"/>
      <c r="CV524" s="33">
        <v>275</v>
      </c>
      <c r="CW524" s="33"/>
      <c r="CX524" s="33"/>
      <c r="CY524" s="33">
        <v>280</v>
      </c>
      <c r="CZ524" s="34">
        <v>250</v>
      </c>
      <c r="DA524" s="33"/>
      <c r="DB524" s="33"/>
      <c r="DC524" s="33"/>
      <c r="DD524" s="33"/>
      <c r="DE524" s="33"/>
      <c r="DF524" s="33"/>
      <c r="DG524" s="33"/>
      <c r="DH524" s="33">
        <v>270</v>
      </c>
      <c r="DI524" s="33"/>
      <c r="DJ524" s="33"/>
      <c r="DK524" s="33"/>
      <c r="DL524" s="33"/>
      <c r="DM524" s="34"/>
      <c r="DN524" s="34"/>
      <c r="DO524" s="33"/>
      <c r="DP524" s="33"/>
      <c r="DQ524" s="33"/>
      <c r="DR524" s="33"/>
      <c r="DS524" s="33"/>
      <c r="DT524" s="33">
        <v>600</v>
      </c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8"/>
    </row>
    <row r="525" spans="2:137" ht="13.2">
      <c r="B525" s="30" t="str">
        <f t="shared" si="18"/>
        <v>2024/11</v>
      </c>
      <c r="C525" s="31">
        <f t="shared" si="19"/>
        <v>6100</v>
      </c>
      <c r="D525" s="32">
        <v>45622</v>
      </c>
      <c r="E525" s="33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3"/>
      <c r="R525" s="33"/>
      <c r="S525" s="33"/>
      <c r="T525" s="33"/>
      <c r="U525" s="35"/>
      <c r="V525" s="36"/>
      <c r="W525" s="37"/>
      <c r="X525" s="34"/>
      <c r="Y525" s="33"/>
      <c r="Z525" s="33"/>
      <c r="AA525" s="33"/>
      <c r="AB525" s="35"/>
      <c r="AC525" s="34"/>
      <c r="AD525" s="34"/>
      <c r="AE525" s="34"/>
      <c r="AF525" s="34"/>
      <c r="AG525" s="34"/>
      <c r="AH525" s="33"/>
      <c r="AI525" s="33"/>
      <c r="AJ525" s="34"/>
      <c r="AK525" s="33"/>
      <c r="AL525" s="33"/>
      <c r="AM525" s="33"/>
      <c r="AN525" s="34"/>
      <c r="AO525" s="34"/>
      <c r="AP525" s="33"/>
      <c r="AQ525" s="34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4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5"/>
      <c r="CC525" s="33"/>
      <c r="CD525" s="33"/>
      <c r="CE525" s="33"/>
      <c r="CF525" s="34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>
        <v>1500</v>
      </c>
      <c r="CU525" s="33"/>
      <c r="CV525" s="33"/>
      <c r="CW525" s="33"/>
      <c r="CX525" s="33" t="s">
        <v>229</v>
      </c>
      <c r="CY525" s="33"/>
      <c r="CZ525" s="34"/>
      <c r="DA525" s="33"/>
      <c r="DB525" s="33"/>
      <c r="DC525" s="33">
        <v>3700</v>
      </c>
      <c r="DD525" s="33"/>
      <c r="DE525" s="33"/>
      <c r="DF525" s="33"/>
      <c r="DG525" s="33"/>
      <c r="DH525" s="33"/>
      <c r="DI525" s="33"/>
      <c r="DJ525" s="33"/>
      <c r="DK525" s="33"/>
      <c r="DL525" s="33"/>
      <c r="DM525" s="34"/>
      <c r="DN525" s="34">
        <v>900</v>
      </c>
      <c r="DO525" s="33"/>
      <c r="DP525" s="33"/>
      <c r="DQ525" s="33"/>
      <c r="DR525" s="33"/>
      <c r="DS525" s="33"/>
      <c r="DT525" s="33" t="s">
        <v>227</v>
      </c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8"/>
    </row>
    <row r="526" spans="2:137" ht="13.2">
      <c r="B526" s="30" t="str">
        <f t="shared" si="18"/>
        <v>2024/11</v>
      </c>
      <c r="C526" s="31">
        <f t="shared" si="19"/>
        <v>1005</v>
      </c>
      <c r="D526" s="32">
        <v>45623</v>
      </c>
      <c r="E526" s="33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3"/>
      <c r="R526" s="33"/>
      <c r="S526" s="33"/>
      <c r="T526" s="33"/>
      <c r="U526" s="35"/>
      <c r="V526" s="36"/>
      <c r="W526" s="37"/>
      <c r="X526" s="34"/>
      <c r="Y526" s="33"/>
      <c r="Z526" s="33"/>
      <c r="AA526" s="33"/>
      <c r="AB526" s="35"/>
      <c r="AC526" s="34"/>
      <c r="AD526" s="34"/>
      <c r="AE526" s="34"/>
      <c r="AF526" s="34"/>
      <c r="AG526" s="34"/>
      <c r="AH526" s="33"/>
      <c r="AI526" s="33"/>
      <c r="AJ526" s="34"/>
      <c r="AK526" s="33"/>
      <c r="AL526" s="33"/>
      <c r="AM526" s="33"/>
      <c r="AN526" s="34"/>
      <c r="AO526" s="34"/>
      <c r="AP526" s="33"/>
      <c r="AQ526" s="34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4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5"/>
      <c r="CC526" s="33"/>
      <c r="CD526" s="33"/>
      <c r="CE526" s="33"/>
      <c r="CF526" s="34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 t="s">
        <v>206</v>
      </c>
      <c r="CU526" s="33"/>
      <c r="CV526" s="33">
        <v>275</v>
      </c>
      <c r="CW526" s="33"/>
      <c r="CX526" s="33"/>
      <c r="CY526" s="33"/>
      <c r="CZ526" s="34"/>
      <c r="DA526" s="33"/>
      <c r="DB526" s="33">
        <v>200</v>
      </c>
      <c r="DC526" s="33"/>
      <c r="DD526" s="33"/>
      <c r="DE526" s="33"/>
      <c r="DF526" s="33"/>
      <c r="DG526" s="33"/>
      <c r="DH526" s="33">
        <v>270</v>
      </c>
      <c r="DI526" s="33"/>
      <c r="DJ526" s="33"/>
      <c r="DK526" s="33"/>
      <c r="DL526" s="33"/>
      <c r="DM526" s="34"/>
      <c r="DN526" s="34" t="s">
        <v>209</v>
      </c>
      <c r="DO526" s="33"/>
      <c r="DP526" s="33"/>
      <c r="DQ526" s="33"/>
      <c r="DR526" s="33" t="s">
        <v>206</v>
      </c>
      <c r="DS526" s="33">
        <v>260</v>
      </c>
      <c r="DT526" s="33" t="s">
        <v>227</v>
      </c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8"/>
    </row>
    <row r="527" spans="2:137" ht="13.2">
      <c r="B527" s="30" t="str">
        <f t="shared" si="18"/>
        <v>2024/11</v>
      </c>
      <c r="C527" s="31">
        <f t="shared" si="19"/>
        <v>300</v>
      </c>
      <c r="D527" s="32">
        <v>45624</v>
      </c>
      <c r="E527" s="33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3"/>
      <c r="R527" s="33"/>
      <c r="S527" s="33"/>
      <c r="T527" s="33"/>
      <c r="U527" s="35"/>
      <c r="V527" s="36"/>
      <c r="W527" s="37"/>
      <c r="X527" s="34"/>
      <c r="Y527" s="33"/>
      <c r="Z527" s="33"/>
      <c r="AA527" s="33"/>
      <c r="AB527" s="35"/>
      <c r="AC527" s="34"/>
      <c r="AD527" s="34"/>
      <c r="AE527" s="34"/>
      <c r="AF527" s="34"/>
      <c r="AG527" s="34"/>
      <c r="AH527" s="33"/>
      <c r="AI527" s="33"/>
      <c r="AJ527" s="34"/>
      <c r="AK527" s="33"/>
      <c r="AL527" s="33"/>
      <c r="AM527" s="33"/>
      <c r="AN527" s="34"/>
      <c r="AO527" s="34"/>
      <c r="AP527" s="33"/>
      <c r="AQ527" s="34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4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5"/>
      <c r="CC527" s="33"/>
      <c r="CD527" s="33"/>
      <c r="CE527" s="33"/>
      <c r="CF527" s="34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 t="s">
        <v>254</v>
      </c>
      <c r="CY527" s="33"/>
      <c r="CZ527" s="34"/>
      <c r="DA527" s="33"/>
      <c r="DB527" s="33"/>
      <c r="DC527" s="33"/>
      <c r="DD527" s="33">
        <v>300</v>
      </c>
      <c r="DE527" s="33"/>
      <c r="DF527" s="33"/>
      <c r="DG527" s="33"/>
      <c r="DH527" s="33"/>
      <c r="DI527" s="33"/>
      <c r="DJ527" s="33"/>
      <c r="DK527" s="33"/>
      <c r="DL527" s="33"/>
      <c r="DM527" s="34"/>
      <c r="DN527" s="34"/>
      <c r="DO527" s="33"/>
      <c r="DP527" s="33" t="s">
        <v>208</v>
      </c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8"/>
    </row>
    <row r="528" spans="2:137" ht="13.2">
      <c r="B528" s="30" t="str">
        <f t="shared" si="18"/>
        <v>2024/11</v>
      </c>
      <c r="C528" s="31">
        <f t="shared" si="19"/>
        <v>2760</v>
      </c>
      <c r="D528" s="32">
        <v>45625</v>
      </c>
      <c r="E528" s="33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3"/>
      <c r="R528" s="33"/>
      <c r="S528" s="33"/>
      <c r="T528" s="33"/>
      <c r="U528" s="35"/>
      <c r="V528" s="36"/>
      <c r="W528" s="37"/>
      <c r="X528" s="34"/>
      <c r="Y528" s="33"/>
      <c r="Z528" s="33"/>
      <c r="AA528" s="33"/>
      <c r="AB528" s="35"/>
      <c r="AC528" s="34"/>
      <c r="AD528" s="34"/>
      <c r="AE528" s="34"/>
      <c r="AF528" s="34"/>
      <c r="AG528" s="34"/>
      <c r="AH528" s="33"/>
      <c r="AI528" s="33"/>
      <c r="AJ528" s="34"/>
      <c r="AK528" s="33"/>
      <c r="AL528" s="33"/>
      <c r="AM528" s="33"/>
      <c r="AN528" s="34"/>
      <c r="AO528" s="34"/>
      <c r="AP528" s="33"/>
      <c r="AQ528" s="34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4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5"/>
      <c r="CC528" s="33"/>
      <c r="CD528" s="33"/>
      <c r="CE528" s="33"/>
      <c r="CF528" s="34"/>
      <c r="CG528" s="33"/>
      <c r="CH528" s="33"/>
      <c r="CI528" s="33"/>
      <c r="CJ528" s="33"/>
      <c r="CK528" s="33"/>
      <c r="CL528" s="33"/>
      <c r="CM528" s="33"/>
      <c r="CN528" s="33"/>
      <c r="CO528" s="33">
        <v>250</v>
      </c>
      <c r="CP528" s="33"/>
      <c r="CQ528" s="33">
        <v>300</v>
      </c>
      <c r="CR528" s="42" t="s">
        <v>207</v>
      </c>
      <c r="CS528" s="33"/>
      <c r="CT528" s="33"/>
      <c r="CU528" s="33">
        <v>270</v>
      </c>
      <c r="CV528" s="33"/>
      <c r="CW528" s="33"/>
      <c r="CX528" s="33"/>
      <c r="CY528" s="33"/>
      <c r="CZ528" s="34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4"/>
      <c r="DN528" s="34"/>
      <c r="DO528" s="33"/>
      <c r="DP528" s="33">
        <v>1040</v>
      </c>
      <c r="DQ528" s="33"/>
      <c r="DR528" s="33"/>
      <c r="DS528" s="33"/>
      <c r="DT528" s="33">
        <v>900</v>
      </c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8"/>
    </row>
    <row r="529" spans="2:137" ht="13.2">
      <c r="B529" s="30" t="str">
        <f t="shared" si="18"/>
        <v>2024/12</v>
      </c>
      <c r="C529" s="31">
        <f t="shared" si="19"/>
        <v>580</v>
      </c>
      <c r="D529" s="32">
        <v>45629</v>
      </c>
      <c r="E529" s="33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3"/>
      <c r="R529" s="33"/>
      <c r="S529" s="33"/>
      <c r="T529" s="33"/>
      <c r="U529" s="35"/>
      <c r="V529" s="36"/>
      <c r="W529" s="37"/>
      <c r="X529" s="34"/>
      <c r="Y529" s="33"/>
      <c r="Z529" s="33"/>
      <c r="AA529" s="33"/>
      <c r="AB529" s="35"/>
      <c r="AC529" s="34"/>
      <c r="AD529" s="34"/>
      <c r="AE529" s="34"/>
      <c r="AF529" s="34"/>
      <c r="AG529" s="34"/>
      <c r="AH529" s="33"/>
      <c r="AI529" s="33"/>
      <c r="AJ529" s="34"/>
      <c r="AK529" s="33"/>
      <c r="AL529" s="33"/>
      <c r="AM529" s="33"/>
      <c r="AN529" s="34"/>
      <c r="AO529" s="34"/>
      <c r="AP529" s="33"/>
      <c r="AQ529" s="34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4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5"/>
      <c r="CC529" s="33"/>
      <c r="CD529" s="33"/>
      <c r="CE529" s="33"/>
      <c r="CF529" s="34"/>
      <c r="CG529" s="33"/>
      <c r="CH529" s="33"/>
      <c r="CI529" s="33"/>
      <c r="CJ529" s="33"/>
      <c r="CK529" s="33"/>
      <c r="CL529" s="33"/>
      <c r="CM529" s="33">
        <v>300</v>
      </c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 t="s">
        <v>231</v>
      </c>
      <c r="CY529" s="33">
        <v>280</v>
      </c>
      <c r="CZ529" s="34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4"/>
      <c r="DN529" s="34"/>
      <c r="DO529" s="33"/>
      <c r="DP529" s="33"/>
      <c r="DQ529" s="33"/>
      <c r="DR529" s="33"/>
      <c r="DS529" s="33"/>
      <c r="DT529" s="33" t="s">
        <v>227</v>
      </c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8"/>
    </row>
    <row r="530" spans="2:137" ht="13.2">
      <c r="B530" s="30" t="str">
        <f t="shared" si="18"/>
        <v>2024/12</v>
      </c>
      <c r="C530" s="31">
        <f t="shared" si="19"/>
        <v>710</v>
      </c>
      <c r="D530" s="32">
        <v>45630</v>
      </c>
      <c r="E530" s="33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3"/>
      <c r="R530" s="33"/>
      <c r="S530" s="33"/>
      <c r="T530" s="33"/>
      <c r="U530" s="35"/>
      <c r="V530" s="36"/>
      <c r="W530" s="37"/>
      <c r="X530" s="34"/>
      <c r="Y530" s="33"/>
      <c r="Z530" s="33"/>
      <c r="AA530" s="33"/>
      <c r="AB530" s="35"/>
      <c r="AC530" s="34"/>
      <c r="AD530" s="34"/>
      <c r="AE530" s="34"/>
      <c r="AF530" s="34"/>
      <c r="AG530" s="34"/>
      <c r="AH530" s="33"/>
      <c r="AI530" s="33"/>
      <c r="AJ530" s="34"/>
      <c r="AK530" s="33"/>
      <c r="AL530" s="33"/>
      <c r="AM530" s="33"/>
      <c r="AN530" s="34"/>
      <c r="AO530" s="34"/>
      <c r="AP530" s="33"/>
      <c r="AQ530" s="34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4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5"/>
      <c r="CC530" s="33"/>
      <c r="CD530" s="33"/>
      <c r="CE530" s="33"/>
      <c r="CF530" s="34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 t="s">
        <v>208</v>
      </c>
      <c r="CT530" s="33"/>
      <c r="CU530" s="33"/>
      <c r="CV530" s="33"/>
      <c r="CW530" s="33"/>
      <c r="CX530" s="33"/>
      <c r="CY530" s="33"/>
      <c r="CZ530" s="34"/>
      <c r="DA530" s="33"/>
      <c r="DB530" s="33"/>
      <c r="DC530" s="33" t="s">
        <v>206</v>
      </c>
      <c r="DD530" s="33"/>
      <c r="DE530" s="33"/>
      <c r="DF530" s="33"/>
      <c r="DG530" s="33"/>
      <c r="DH530" s="33"/>
      <c r="DI530" s="33"/>
      <c r="DJ530" s="33"/>
      <c r="DK530" s="33"/>
      <c r="DL530" s="33"/>
      <c r="DM530" s="34">
        <v>250</v>
      </c>
      <c r="DN530" s="34" t="s">
        <v>206</v>
      </c>
      <c r="DO530" s="33">
        <v>200</v>
      </c>
      <c r="DP530" s="33"/>
      <c r="DQ530" s="33" t="s">
        <v>208</v>
      </c>
      <c r="DR530" s="33" t="s">
        <v>207</v>
      </c>
      <c r="DS530" s="33">
        <v>260</v>
      </c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8"/>
    </row>
    <row r="531" spans="2:137" ht="13.2">
      <c r="B531" s="30" t="str">
        <f t="shared" si="18"/>
        <v>2024/12</v>
      </c>
      <c r="C531" s="31">
        <f t="shared" si="19"/>
        <v>1720</v>
      </c>
      <c r="D531" s="32">
        <v>45631</v>
      </c>
      <c r="E531" s="33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3"/>
      <c r="R531" s="33"/>
      <c r="S531" s="33"/>
      <c r="T531" s="33"/>
      <c r="U531" s="35"/>
      <c r="V531" s="36"/>
      <c r="W531" s="37"/>
      <c r="X531" s="34"/>
      <c r="Y531" s="33"/>
      <c r="Z531" s="33"/>
      <c r="AA531" s="33"/>
      <c r="AB531" s="35"/>
      <c r="AC531" s="34"/>
      <c r="AD531" s="34"/>
      <c r="AE531" s="34"/>
      <c r="AF531" s="34"/>
      <c r="AG531" s="34"/>
      <c r="AH531" s="33"/>
      <c r="AI531" s="33"/>
      <c r="AJ531" s="34"/>
      <c r="AK531" s="33"/>
      <c r="AL531" s="33"/>
      <c r="AM531" s="33"/>
      <c r="AN531" s="34"/>
      <c r="AO531" s="34"/>
      <c r="AP531" s="33"/>
      <c r="AQ531" s="34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4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5"/>
      <c r="CC531" s="33"/>
      <c r="CD531" s="33"/>
      <c r="CE531" s="33"/>
      <c r="CF531" s="34"/>
      <c r="CG531" s="33"/>
      <c r="CH531" s="33"/>
      <c r="CI531" s="33"/>
      <c r="CJ531" s="33"/>
      <c r="CK531" s="33"/>
      <c r="CL531" s="33"/>
      <c r="CM531" s="33" t="s">
        <v>213</v>
      </c>
      <c r="CN531" s="33"/>
      <c r="CO531" s="33"/>
      <c r="CP531" s="33"/>
      <c r="CQ531" s="33">
        <v>300</v>
      </c>
      <c r="CR531" s="33"/>
      <c r="CS531" s="33"/>
      <c r="CT531" s="33" t="s">
        <v>207</v>
      </c>
      <c r="CU531" s="33" t="s">
        <v>227</v>
      </c>
      <c r="CV531" s="33"/>
      <c r="CW531" s="33"/>
      <c r="CX531" s="33" t="s">
        <v>232</v>
      </c>
      <c r="CY531" s="33"/>
      <c r="CZ531" s="34"/>
      <c r="DA531" s="33" t="s">
        <v>248</v>
      </c>
      <c r="DB531" s="33"/>
      <c r="DC531" s="33"/>
      <c r="DD531" s="33">
        <v>300</v>
      </c>
      <c r="DE531" s="33"/>
      <c r="DF531" s="33"/>
      <c r="DG531" s="33"/>
      <c r="DH531" s="33"/>
      <c r="DI531" s="33"/>
      <c r="DJ531" s="33"/>
      <c r="DK531" s="33"/>
      <c r="DL531" s="33"/>
      <c r="DM531" s="34"/>
      <c r="DN531" s="34"/>
      <c r="DO531" s="33"/>
      <c r="DP531" s="33" t="s">
        <v>246</v>
      </c>
      <c r="DQ531" s="33">
        <v>1120</v>
      </c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8"/>
    </row>
    <row r="532" spans="2:137" ht="13.2">
      <c r="B532" s="30" t="str">
        <f t="shared" si="18"/>
        <v>2024/12</v>
      </c>
      <c r="C532" s="31">
        <f t="shared" si="19"/>
        <v>1125</v>
      </c>
      <c r="D532" s="32">
        <v>45632</v>
      </c>
      <c r="E532" s="33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3"/>
      <c r="R532" s="33"/>
      <c r="S532" s="33"/>
      <c r="T532" s="33"/>
      <c r="U532" s="35"/>
      <c r="V532" s="36"/>
      <c r="W532" s="37"/>
      <c r="X532" s="34"/>
      <c r="Y532" s="33"/>
      <c r="Z532" s="33"/>
      <c r="AA532" s="33"/>
      <c r="AB532" s="35"/>
      <c r="AC532" s="34"/>
      <c r="AD532" s="34"/>
      <c r="AE532" s="34"/>
      <c r="AF532" s="34"/>
      <c r="AG532" s="34"/>
      <c r="AH532" s="33"/>
      <c r="AI532" s="33"/>
      <c r="AJ532" s="34"/>
      <c r="AK532" s="33"/>
      <c r="AL532" s="33"/>
      <c r="AM532" s="33"/>
      <c r="AN532" s="34"/>
      <c r="AO532" s="34"/>
      <c r="AP532" s="33"/>
      <c r="AQ532" s="34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4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5"/>
      <c r="CC532" s="33"/>
      <c r="CD532" s="33"/>
      <c r="CE532" s="33"/>
      <c r="CF532" s="34"/>
      <c r="CG532" s="33"/>
      <c r="CH532" s="33"/>
      <c r="CI532" s="33"/>
      <c r="CJ532" s="33"/>
      <c r="CK532" s="33"/>
      <c r="CL532" s="33"/>
      <c r="CM532" s="33"/>
      <c r="CN532" s="33" t="s">
        <v>254</v>
      </c>
      <c r="CO532" s="33">
        <v>250</v>
      </c>
      <c r="CP532" s="33"/>
      <c r="CQ532" s="33"/>
      <c r="CR532" s="42" t="s">
        <v>208</v>
      </c>
      <c r="CS532" s="33" t="s">
        <v>255</v>
      </c>
      <c r="CT532" s="33"/>
      <c r="CU532" s="33"/>
      <c r="CV532" s="33">
        <v>275</v>
      </c>
      <c r="CW532" s="33"/>
      <c r="CX532" s="33"/>
      <c r="CY532" s="33"/>
      <c r="CZ532" s="34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4"/>
      <c r="DN532" s="34"/>
      <c r="DO532" s="33"/>
      <c r="DP532" s="33"/>
      <c r="DQ532" s="33"/>
      <c r="DR532" s="33"/>
      <c r="DS532" s="33"/>
      <c r="DT532" s="33">
        <v>600</v>
      </c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8"/>
    </row>
    <row r="533" spans="2:137" ht="13.2">
      <c r="B533" s="30" t="str">
        <f t="shared" si="18"/>
        <v>2024/12</v>
      </c>
      <c r="C533" s="31">
        <f t="shared" si="19"/>
        <v>480</v>
      </c>
      <c r="D533" s="32">
        <v>45636</v>
      </c>
      <c r="E533" s="33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3"/>
      <c r="R533" s="33"/>
      <c r="S533" s="33"/>
      <c r="T533" s="33"/>
      <c r="U533" s="35"/>
      <c r="V533" s="36"/>
      <c r="W533" s="37"/>
      <c r="X533" s="34"/>
      <c r="Y533" s="33"/>
      <c r="Z533" s="33"/>
      <c r="AA533" s="33"/>
      <c r="AB533" s="35"/>
      <c r="AC533" s="34"/>
      <c r="AD533" s="34"/>
      <c r="AE533" s="34"/>
      <c r="AF533" s="34"/>
      <c r="AG533" s="34"/>
      <c r="AH533" s="33"/>
      <c r="AI533" s="33"/>
      <c r="AJ533" s="34"/>
      <c r="AK533" s="33"/>
      <c r="AL533" s="33"/>
      <c r="AM533" s="33"/>
      <c r="AN533" s="34"/>
      <c r="AO533" s="34"/>
      <c r="AP533" s="33"/>
      <c r="AQ533" s="34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4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5"/>
      <c r="CC533" s="33"/>
      <c r="CD533" s="33"/>
      <c r="CE533" s="33"/>
      <c r="CF533" s="34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 t="s">
        <v>233</v>
      </c>
      <c r="CY533" s="33">
        <v>280</v>
      </c>
      <c r="CZ533" s="34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4"/>
      <c r="DN533" s="34"/>
      <c r="DO533" s="33">
        <v>200</v>
      </c>
      <c r="DP533" s="33"/>
      <c r="DQ533" s="33"/>
      <c r="DR533" s="33"/>
      <c r="DS533" s="33"/>
      <c r="DT533" s="33" t="s">
        <v>227</v>
      </c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8"/>
    </row>
    <row r="534" spans="2:137" ht="13.2">
      <c r="B534" s="30" t="str">
        <f t="shared" si="18"/>
        <v>2024/12</v>
      </c>
      <c r="C534" s="31">
        <f t="shared" si="19"/>
        <v>1900</v>
      </c>
      <c r="D534" s="32">
        <v>45637</v>
      </c>
      <c r="E534" s="33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3"/>
      <c r="R534" s="33"/>
      <c r="S534" s="33"/>
      <c r="T534" s="33"/>
      <c r="U534" s="35"/>
      <c r="V534" s="36"/>
      <c r="W534" s="37"/>
      <c r="X534" s="34"/>
      <c r="Y534" s="33"/>
      <c r="Z534" s="33"/>
      <c r="AA534" s="33"/>
      <c r="AB534" s="35"/>
      <c r="AC534" s="34"/>
      <c r="AD534" s="34"/>
      <c r="AE534" s="34"/>
      <c r="AF534" s="34"/>
      <c r="AG534" s="34"/>
      <c r="AH534" s="33"/>
      <c r="AI534" s="33"/>
      <c r="AJ534" s="34"/>
      <c r="AK534" s="33"/>
      <c r="AL534" s="33"/>
      <c r="AM534" s="33"/>
      <c r="AN534" s="34"/>
      <c r="AO534" s="34"/>
      <c r="AP534" s="33"/>
      <c r="AQ534" s="34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4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5"/>
      <c r="CC534" s="33"/>
      <c r="CD534" s="33"/>
      <c r="CE534" s="33"/>
      <c r="CF534" s="34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4"/>
      <c r="DA534" s="33" t="s">
        <v>232</v>
      </c>
      <c r="DB534" s="33"/>
      <c r="DC534" s="33"/>
      <c r="DD534" s="33">
        <v>300</v>
      </c>
      <c r="DE534" s="33"/>
      <c r="DF534" s="33"/>
      <c r="DG534" s="33"/>
      <c r="DH534" s="33"/>
      <c r="DI534" s="33"/>
      <c r="DJ534" s="33"/>
      <c r="DK534" s="33"/>
      <c r="DL534" s="33"/>
      <c r="DM534" s="34"/>
      <c r="DN534" s="34" t="s">
        <v>207</v>
      </c>
      <c r="DO534" s="33"/>
      <c r="DP534" s="33"/>
      <c r="DQ534" s="33"/>
      <c r="DR534" s="33" t="s">
        <v>208</v>
      </c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>
        <v>1600</v>
      </c>
      <c r="EF534" s="33"/>
      <c r="EG534" s="38"/>
    </row>
    <row r="535" spans="2:137" ht="13.2">
      <c r="B535" s="30" t="str">
        <f t="shared" si="18"/>
        <v>2024/12</v>
      </c>
      <c r="C535" s="31">
        <f t="shared" si="19"/>
        <v>530</v>
      </c>
      <c r="D535" s="32">
        <v>45638</v>
      </c>
      <c r="E535" s="33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3"/>
      <c r="R535" s="33"/>
      <c r="S535" s="33"/>
      <c r="T535" s="33"/>
      <c r="U535" s="35"/>
      <c r="V535" s="36"/>
      <c r="W535" s="37"/>
      <c r="X535" s="34"/>
      <c r="Y535" s="33"/>
      <c r="Z535" s="33"/>
      <c r="AA535" s="33"/>
      <c r="AB535" s="35"/>
      <c r="AC535" s="34"/>
      <c r="AD535" s="34"/>
      <c r="AE535" s="34"/>
      <c r="AF535" s="34"/>
      <c r="AG535" s="34"/>
      <c r="AH535" s="33"/>
      <c r="AI535" s="33"/>
      <c r="AJ535" s="34"/>
      <c r="AK535" s="33"/>
      <c r="AL535" s="33"/>
      <c r="AM535" s="33"/>
      <c r="AN535" s="34"/>
      <c r="AO535" s="34"/>
      <c r="AP535" s="33"/>
      <c r="AQ535" s="34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4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5"/>
      <c r="CC535" s="33"/>
      <c r="CD535" s="33"/>
      <c r="CE535" s="33"/>
      <c r="CF535" s="34"/>
      <c r="CG535" s="33"/>
      <c r="CH535" s="33"/>
      <c r="CI535" s="33"/>
      <c r="CJ535" s="33"/>
      <c r="CK535" s="33"/>
      <c r="CL535" s="33"/>
      <c r="CM535" s="33"/>
      <c r="CN535" s="33">
        <v>280</v>
      </c>
      <c r="CO535" s="33"/>
      <c r="CP535" s="33"/>
      <c r="CQ535" s="33"/>
      <c r="CR535" s="33"/>
      <c r="CS535" s="33"/>
      <c r="CT535" s="33"/>
      <c r="CU535" s="33" t="s">
        <v>227</v>
      </c>
      <c r="CV535" s="33"/>
      <c r="CW535" s="33"/>
      <c r="CX535" s="33" t="s">
        <v>235</v>
      </c>
      <c r="CY535" s="33"/>
      <c r="CZ535" s="34">
        <v>250</v>
      </c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4"/>
      <c r="DN535" s="34"/>
      <c r="DO535" s="33"/>
      <c r="DP535" s="33" t="s">
        <v>241</v>
      </c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8"/>
    </row>
    <row r="536" spans="2:137" ht="13.2">
      <c r="B536" s="30" t="str">
        <f t="shared" si="18"/>
        <v>2024/12</v>
      </c>
      <c r="C536" s="31">
        <f t="shared" si="19"/>
        <v>4555</v>
      </c>
      <c r="D536" s="32">
        <v>45639</v>
      </c>
      <c r="E536" s="33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3"/>
      <c r="R536" s="33"/>
      <c r="S536" s="33"/>
      <c r="T536" s="33"/>
      <c r="U536" s="35"/>
      <c r="V536" s="36"/>
      <c r="W536" s="37"/>
      <c r="X536" s="34"/>
      <c r="Y536" s="33"/>
      <c r="Z536" s="33"/>
      <c r="AA536" s="33"/>
      <c r="AB536" s="35"/>
      <c r="AC536" s="34"/>
      <c r="AD536" s="34"/>
      <c r="AE536" s="34"/>
      <c r="AF536" s="34"/>
      <c r="AG536" s="34"/>
      <c r="AH536" s="33"/>
      <c r="AI536" s="33"/>
      <c r="AJ536" s="34"/>
      <c r="AK536" s="33"/>
      <c r="AL536" s="33"/>
      <c r="AM536" s="33"/>
      <c r="AN536" s="34"/>
      <c r="AO536" s="34"/>
      <c r="AP536" s="33"/>
      <c r="AQ536" s="34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4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5"/>
      <c r="CC536" s="33"/>
      <c r="CD536" s="33"/>
      <c r="CE536" s="33"/>
      <c r="CF536" s="34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>
        <v>2240</v>
      </c>
      <c r="CY536" s="33"/>
      <c r="CZ536" s="34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4"/>
      <c r="DN536" s="34">
        <v>675</v>
      </c>
      <c r="DO536" s="33"/>
      <c r="DP536" s="33">
        <v>1040</v>
      </c>
      <c r="DQ536" s="33"/>
      <c r="DR536" s="33"/>
      <c r="DS536" s="33"/>
      <c r="DT536" s="33">
        <v>600</v>
      </c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8"/>
    </row>
    <row r="537" spans="2:137" ht="13.2">
      <c r="B537" s="30" t="str">
        <f t="shared" si="18"/>
        <v>2025/1</v>
      </c>
      <c r="C537" s="31">
        <f t="shared" si="19"/>
        <v>2180</v>
      </c>
      <c r="D537" s="32">
        <v>45664</v>
      </c>
      <c r="E537" s="33">
        <v>300</v>
      </c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3"/>
      <c r="R537" s="33"/>
      <c r="S537" s="33"/>
      <c r="T537" s="33"/>
      <c r="U537" s="35"/>
      <c r="V537" s="36"/>
      <c r="W537" s="37"/>
      <c r="X537" s="34"/>
      <c r="Y537" s="33"/>
      <c r="Z537" s="33"/>
      <c r="AA537" s="33"/>
      <c r="AB537" s="35"/>
      <c r="AC537" s="34"/>
      <c r="AD537" s="34"/>
      <c r="AE537" s="34"/>
      <c r="AF537" s="34"/>
      <c r="AG537" s="34"/>
      <c r="AH537" s="33"/>
      <c r="AI537" s="33"/>
      <c r="AJ537" s="34"/>
      <c r="AK537" s="33"/>
      <c r="AL537" s="33"/>
      <c r="AM537" s="33"/>
      <c r="AN537" s="34"/>
      <c r="AO537" s="34"/>
      <c r="AP537" s="33"/>
      <c r="AQ537" s="34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4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5"/>
      <c r="CC537" s="33"/>
      <c r="CD537" s="33"/>
      <c r="CE537" s="33"/>
      <c r="CF537" s="34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>
        <v>880</v>
      </c>
      <c r="CS537" s="33"/>
      <c r="CT537" s="33"/>
      <c r="CU537" s="33">
        <v>540</v>
      </c>
      <c r="CV537" s="33"/>
      <c r="CW537" s="33"/>
      <c r="CX537" s="33"/>
      <c r="CY537" s="33"/>
      <c r="CZ537" s="34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4"/>
      <c r="DN537" s="34"/>
      <c r="DO537" s="33">
        <v>200</v>
      </c>
      <c r="DP537" s="33"/>
      <c r="DQ537" s="33"/>
      <c r="DR537" s="33"/>
      <c r="DS537" s="33">
        <v>260</v>
      </c>
      <c r="DT537" s="33" t="s">
        <v>210</v>
      </c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8"/>
    </row>
    <row r="538" spans="2:137" ht="13.2">
      <c r="B538" s="30" t="str">
        <f t="shared" si="18"/>
        <v>2025/1</v>
      </c>
      <c r="C538" s="31">
        <f t="shared" si="19"/>
        <v>1850</v>
      </c>
      <c r="D538" s="32">
        <v>45665</v>
      </c>
      <c r="E538" s="33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3"/>
      <c r="R538" s="33"/>
      <c r="S538" s="33"/>
      <c r="T538" s="33"/>
      <c r="U538" s="35"/>
      <c r="V538" s="36"/>
      <c r="W538" s="37"/>
      <c r="X538" s="34"/>
      <c r="Y538" s="33"/>
      <c r="Z538" s="33"/>
      <c r="AA538" s="33"/>
      <c r="AB538" s="35"/>
      <c r="AC538" s="34"/>
      <c r="AD538" s="34"/>
      <c r="AE538" s="34"/>
      <c r="AF538" s="34"/>
      <c r="AG538" s="34"/>
      <c r="AH538" s="33"/>
      <c r="AI538" s="33"/>
      <c r="AJ538" s="34"/>
      <c r="AK538" s="33"/>
      <c r="AL538" s="33"/>
      <c r="AM538" s="33"/>
      <c r="AN538" s="34"/>
      <c r="AO538" s="34"/>
      <c r="AP538" s="33"/>
      <c r="AQ538" s="34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4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5"/>
      <c r="CC538" s="33"/>
      <c r="CD538" s="33"/>
      <c r="CE538" s="33"/>
      <c r="CF538" s="34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4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4">
        <v>250</v>
      </c>
      <c r="DN538" s="34"/>
      <c r="DO538" s="33"/>
      <c r="DP538" s="33"/>
      <c r="DQ538" s="33" t="s">
        <v>209</v>
      </c>
      <c r="DR538" s="33" t="s">
        <v>210</v>
      </c>
      <c r="DS538" s="33"/>
      <c r="DT538" s="33" t="s">
        <v>212</v>
      </c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>
        <v>1600</v>
      </c>
      <c r="EF538" s="33"/>
      <c r="EG538" s="38"/>
    </row>
    <row r="539" spans="2:137" ht="13.2">
      <c r="B539" s="30" t="str">
        <f t="shared" si="18"/>
        <v>2025/1</v>
      </c>
      <c r="C539" s="31">
        <f t="shared" si="19"/>
        <v>250</v>
      </c>
      <c r="D539" s="32">
        <v>45666</v>
      </c>
      <c r="E539" s="33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3"/>
      <c r="R539" s="33"/>
      <c r="S539" s="33"/>
      <c r="T539" s="33"/>
      <c r="U539" s="35"/>
      <c r="V539" s="36"/>
      <c r="W539" s="37"/>
      <c r="X539" s="34"/>
      <c r="Y539" s="33"/>
      <c r="Z539" s="33"/>
      <c r="AA539" s="33"/>
      <c r="AB539" s="35"/>
      <c r="AC539" s="34"/>
      <c r="AD539" s="34"/>
      <c r="AE539" s="34"/>
      <c r="AF539" s="34"/>
      <c r="AG539" s="34"/>
      <c r="AH539" s="33"/>
      <c r="AI539" s="33"/>
      <c r="AJ539" s="34"/>
      <c r="AK539" s="33"/>
      <c r="AL539" s="33"/>
      <c r="AM539" s="33"/>
      <c r="AN539" s="34"/>
      <c r="AO539" s="34"/>
      <c r="AP539" s="33"/>
      <c r="AQ539" s="34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4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5"/>
      <c r="CC539" s="33"/>
      <c r="CD539" s="33"/>
      <c r="CE539" s="33"/>
      <c r="CF539" s="34"/>
      <c r="CG539" s="33"/>
      <c r="CH539" s="33"/>
      <c r="CI539" s="33"/>
      <c r="CJ539" s="33"/>
      <c r="CK539" s="33"/>
      <c r="CL539" s="33"/>
      <c r="CM539" s="33"/>
      <c r="CN539" s="33" t="s">
        <v>209</v>
      </c>
      <c r="CO539" s="33"/>
      <c r="CP539" s="33"/>
      <c r="CQ539" s="33"/>
      <c r="CR539" s="33"/>
      <c r="CS539" s="33"/>
      <c r="CT539" s="33" t="s">
        <v>208</v>
      </c>
      <c r="CU539" s="33"/>
      <c r="CV539" s="33"/>
      <c r="CW539" s="33"/>
      <c r="CX539" s="33"/>
      <c r="CY539" s="33"/>
      <c r="CZ539" s="34">
        <v>250</v>
      </c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4"/>
      <c r="DN539" s="34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8"/>
    </row>
    <row r="540" spans="2:137" ht="13.2">
      <c r="B540" s="30" t="str">
        <f t="shared" si="18"/>
        <v>2025/1</v>
      </c>
      <c r="C540" s="31">
        <f t="shared" si="19"/>
        <v>1460</v>
      </c>
      <c r="D540" s="32">
        <v>45667</v>
      </c>
      <c r="E540" s="33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3"/>
      <c r="R540" s="33"/>
      <c r="S540" s="33"/>
      <c r="T540" s="33"/>
      <c r="U540" s="35"/>
      <c r="V540" s="36"/>
      <c r="W540" s="37"/>
      <c r="X540" s="34"/>
      <c r="Y540" s="33"/>
      <c r="Z540" s="33"/>
      <c r="AA540" s="33"/>
      <c r="AB540" s="35"/>
      <c r="AC540" s="34"/>
      <c r="AD540" s="34"/>
      <c r="AE540" s="34"/>
      <c r="AF540" s="34"/>
      <c r="AG540" s="34"/>
      <c r="AH540" s="33"/>
      <c r="AI540" s="33"/>
      <c r="AJ540" s="34"/>
      <c r="AK540" s="33"/>
      <c r="AL540" s="33"/>
      <c r="AM540" s="33"/>
      <c r="AN540" s="34"/>
      <c r="AO540" s="34"/>
      <c r="AP540" s="33"/>
      <c r="AQ540" s="34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4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5"/>
      <c r="CC540" s="33"/>
      <c r="CD540" s="33"/>
      <c r="CE540" s="33"/>
      <c r="CF540" s="34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 t="s">
        <v>210</v>
      </c>
      <c r="CS540" s="33"/>
      <c r="CT540" s="33"/>
      <c r="CU540" s="33"/>
      <c r="CV540" s="33"/>
      <c r="CW540" s="33"/>
      <c r="CX540" s="33"/>
      <c r="CY540" s="33"/>
      <c r="CZ540" s="34"/>
      <c r="DA540" s="33"/>
      <c r="DB540" s="33">
        <v>260</v>
      </c>
      <c r="DC540" s="33" t="s">
        <v>207</v>
      </c>
      <c r="DD540" s="33"/>
      <c r="DE540" s="33"/>
      <c r="DF540" s="33"/>
      <c r="DG540" s="33"/>
      <c r="DH540" s="33"/>
      <c r="DI540" s="33"/>
      <c r="DJ540" s="33"/>
      <c r="DK540" s="33"/>
      <c r="DL540" s="33"/>
      <c r="DM540" s="34"/>
      <c r="DN540" s="34" t="s">
        <v>210</v>
      </c>
      <c r="DO540" s="33"/>
      <c r="DP540" s="33"/>
      <c r="DQ540" s="33"/>
      <c r="DR540" s="33">
        <v>1200</v>
      </c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8"/>
    </row>
    <row r="541" spans="2:137" ht="13.2">
      <c r="B541" s="30" t="str">
        <f t="shared" si="18"/>
        <v>2025/1</v>
      </c>
      <c r="C541" s="31">
        <f t="shared" si="19"/>
        <v>1968.51</v>
      </c>
      <c r="D541" s="32">
        <v>45671</v>
      </c>
      <c r="E541" s="33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3"/>
      <c r="R541" s="33"/>
      <c r="S541" s="33"/>
      <c r="T541" s="33"/>
      <c r="U541" s="35"/>
      <c r="V541" s="36"/>
      <c r="W541" s="37"/>
      <c r="X541" s="34"/>
      <c r="Y541" s="33"/>
      <c r="Z541" s="33"/>
      <c r="AA541" s="33"/>
      <c r="AB541" s="35"/>
      <c r="AC541" s="34"/>
      <c r="AD541" s="34"/>
      <c r="AE541" s="34"/>
      <c r="AF541" s="34"/>
      <c r="AG541" s="34"/>
      <c r="AH541" s="33"/>
      <c r="AI541" s="33"/>
      <c r="AJ541" s="34"/>
      <c r="AK541" s="33"/>
      <c r="AL541" s="33"/>
      <c r="AM541" s="33"/>
      <c r="AN541" s="34"/>
      <c r="AO541" s="34"/>
      <c r="AP541" s="33"/>
      <c r="AQ541" s="34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4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5"/>
      <c r="CC541" s="33"/>
      <c r="CD541" s="33"/>
      <c r="CE541" s="33"/>
      <c r="CF541" s="34"/>
      <c r="CG541" s="33"/>
      <c r="CH541" s="33"/>
      <c r="CI541" s="33"/>
      <c r="CJ541" s="33"/>
      <c r="CK541" s="33"/>
      <c r="CL541" s="33"/>
      <c r="CM541" s="33"/>
      <c r="CN541" s="33">
        <v>1143.51</v>
      </c>
      <c r="CO541" s="33"/>
      <c r="CP541" s="33"/>
      <c r="CQ541" s="33"/>
      <c r="CR541" s="33"/>
      <c r="CS541" s="33"/>
      <c r="CT541" s="33"/>
      <c r="CU541" s="33"/>
      <c r="CV541" s="33">
        <v>275</v>
      </c>
      <c r="CW541" s="33"/>
      <c r="CX541" s="33" t="s">
        <v>210</v>
      </c>
      <c r="CY541" s="33">
        <v>280</v>
      </c>
      <c r="CZ541" s="34"/>
      <c r="DA541" s="33"/>
      <c r="DB541" s="33"/>
      <c r="DC541" s="33"/>
      <c r="DD541" s="33"/>
      <c r="DE541" s="33"/>
      <c r="DF541" s="33"/>
      <c r="DG541" s="33"/>
      <c r="DH541" s="33">
        <v>270</v>
      </c>
      <c r="DI541" s="33"/>
      <c r="DJ541" s="33"/>
      <c r="DK541" s="33"/>
      <c r="DL541" s="33"/>
      <c r="DM541" s="34"/>
      <c r="DN541" s="34"/>
      <c r="DO541" s="33"/>
      <c r="DP541" s="33"/>
      <c r="DQ541" s="33"/>
      <c r="DR541" s="33" t="s">
        <v>206</v>
      </c>
      <c r="DS541" s="33"/>
      <c r="DT541" s="33" t="s">
        <v>207</v>
      </c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8"/>
    </row>
    <row r="542" spans="2:137" ht="13.2">
      <c r="B542" s="30" t="str">
        <f t="shared" si="18"/>
        <v>2025/1</v>
      </c>
      <c r="C542" s="31">
        <f t="shared" si="19"/>
        <v>450</v>
      </c>
      <c r="D542" s="32">
        <v>45672</v>
      </c>
      <c r="E542" s="33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3"/>
      <c r="R542" s="33"/>
      <c r="S542" s="33"/>
      <c r="T542" s="33"/>
      <c r="U542" s="35"/>
      <c r="V542" s="36"/>
      <c r="W542" s="37"/>
      <c r="X542" s="34"/>
      <c r="Y542" s="33"/>
      <c r="Z542" s="33"/>
      <c r="AA542" s="33"/>
      <c r="AB542" s="35"/>
      <c r="AC542" s="34"/>
      <c r="AD542" s="34"/>
      <c r="AE542" s="34"/>
      <c r="AF542" s="34"/>
      <c r="AG542" s="34"/>
      <c r="AH542" s="33"/>
      <c r="AI542" s="33"/>
      <c r="AJ542" s="34"/>
      <c r="AK542" s="33"/>
      <c r="AL542" s="33"/>
      <c r="AM542" s="33"/>
      <c r="AN542" s="34"/>
      <c r="AO542" s="34"/>
      <c r="AP542" s="33"/>
      <c r="AQ542" s="34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4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5"/>
      <c r="CC542" s="33"/>
      <c r="CD542" s="33"/>
      <c r="CE542" s="33"/>
      <c r="CF542" s="34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 t="s">
        <v>231</v>
      </c>
      <c r="CU542" s="33"/>
      <c r="CV542" s="33"/>
      <c r="CW542" s="33"/>
      <c r="CX542" s="33"/>
      <c r="CY542" s="33"/>
      <c r="CZ542" s="34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4">
        <v>250</v>
      </c>
      <c r="DN542" s="34"/>
      <c r="DO542" s="33">
        <v>200</v>
      </c>
      <c r="DP542" s="33"/>
      <c r="DQ542" s="33" t="s">
        <v>206</v>
      </c>
      <c r="DR542" s="33"/>
      <c r="DS542" s="33"/>
      <c r="DT542" s="33" t="s">
        <v>224</v>
      </c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8"/>
    </row>
    <row r="543" spans="2:137" ht="13.2">
      <c r="B543" s="30" t="str">
        <f t="shared" si="18"/>
        <v>2025/1</v>
      </c>
      <c r="C543" s="31">
        <f t="shared" si="19"/>
        <v>825</v>
      </c>
      <c r="D543" s="32">
        <v>45673</v>
      </c>
      <c r="E543" s="33">
        <v>300</v>
      </c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3"/>
      <c r="R543" s="33"/>
      <c r="S543" s="33"/>
      <c r="T543" s="33"/>
      <c r="U543" s="35"/>
      <c r="V543" s="36"/>
      <c r="W543" s="37"/>
      <c r="X543" s="34"/>
      <c r="Y543" s="33"/>
      <c r="Z543" s="33"/>
      <c r="AA543" s="33"/>
      <c r="AB543" s="35"/>
      <c r="AC543" s="34"/>
      <c r="AD543" s="34"/>
      <c r="AE543" s="34"/>
      <c r="AF543" s="34"/>
      <c r="AG543" s="34"/>
      <c r="AH543" s="33"/>
      <c r="AI543" s="33"/>
      <c r="AJ543" s="34"/>
      <c r="AK543" s="33"/>
      <c r="AL543" s="33"/>
      <c r="AM543" s="33"/>
      <c r="AN543" s="34"/>
      <c r="AO543" s="34"/>
      <c r="AP543" s="33"/>
      <c r="AQ543" s="34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4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5"/>
      <c r="CC543" s="33"/>
      <c r="CD543" s="33"/>
      <c r="CE543" s="33"/>
      <c r="CF543" s="34"/>
      <c r="CG543" s="33"/>
      <c r="CH543" s="33"/>
      <c r="CI543" s="33"/>
      <c r="CJ543" s="33"/>
      <c r="CK543" s="33"/>
      <c r="CL543" s="33"/>
      <c r="CM543" s="33"/>
      <c r="CN543" s="33" t="s">
        <v>212</v>
      </c>
      <c r="CO543" s="33">
        <v>250</v>
      </c>
      <c r="CP543" s="33"/>
      <c r="CQ543" s="33"/>
      <c r="CR543" s="33"/>
      <c r="CS543" s="33"/>
      <c r="CT543" s="33"/>
      <c r="CU543" s="33"/>
      <c r="CV543" s="33">
        <v>275</v>
      </c>
      <c r="CW543" s="33"/>
      <c r="CX543" s="33" t="s">
        <v>256</v>
      </c>
      <c r="CY543" s="33"/>
      <c r="CZ543" s="34"/>
      <c r="DA543" s="33" t="s">
        <v>233</v>
      </c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4"/>
      <c r="DN543" s="34"/>
      <c r="DO543" s="33"/>
      <c r="DP543" s="33" t="s">
        <v>214</v>
      </c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8"/>
    </row>
    <row r="544" spans="2:137" ht="13.2">
      <c r="B544" s="30" t="str">
        <f t="shared" si="18"/>
        <v>2025/1</v>
      </c>
      <c r="C544" s="31">
        <f t="shared" si="19"/>
        <v>460</v>
      </c>
      <c r="D544" s="32">
        <v>45674</v>
      </c>
      <c r="E544" s="33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3"/>
      <c r="R544" s="33"/>
      <c r="S544" s="33"/>
      <c r="T544" s="33"/>
      <c r="U544" s="35"/>
      <c r="V544" s="36"/>
      <c r="W544" s="37"/>
      <c r="X544" s="34"/>
      <c r="Y544" s="33"/>
      <c r="Z544" s="33"/>
      <c r="AA544" s="33"/>
      <c r="AB544" s="35"/>
      <c r="AC544" s="34"/>
      <c r="AD544" s="34"/>
      <c r="AE544" s="34"/>
      <c r="AF544" s="34"/>
      <c r="AG544" s="34"/>
      <c r="AH544" s="33"/>
      <c r="AI544" s="33"/>
      <c r="AJ544" s="34"/>
      <c r="AK544" s="33"/>
      <c r="AL544" s="33"/>
      <c r="AM544" s="33"/>
      <c r="AN544" s="34"/>
      <c r="AO544" s="34"/>
      <c r="AP544" s="33"/>
      <c r="AQ544" s="34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4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5"/>
      <c r="CC544" s="33"/>
      <c r="CD544" s="33"/>
      <c r="CE544" s="33"/>
      <c r="CF544" s="34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 t="s">
        <v>212</v>
      </c>
      <c r="CS544" s="33"/>
      <c r="CT544" s="33"/>
      <c r="CU544" s="33"/>
      <c r="CV544" s="33"/>
      <c r="CW544" s="33"/>
      <c r="CX544" s="33"/>
      <c r="CY544" s="33"/>
      <c r="CZ544" s="34"/>
      <c r="DA544" s="33"/>
      <c r="DB544" s="33">
        <v>200</v>
      </c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4"/>
      <c r="DN544" s="34" t="s">
        <v>212</v>
      </c>
      <c r="DO544" s="33"/>
      <c r="DP544" s="33"/>
      <c r="DQ544" s="33"/>
      <c r="DR544" s="33"/>
      <c r="DS544" s="33">
        <v>260</v>
      </c>
      <c r="DT544" s="33" t="s">
        <v>248</v>
      </c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8"/>
    </row>
    <row r="545" spans="2:137" ht="13.2">
      <c r="B545" s="30" t="str">
        <f t="shared" si="18"/>
        <v>2025/1</v>
      </c>
      <c r="C545" s="31">
        <f t="shared" si="19"/>
        <v>520</v>
      </c>
      <c r="D545" s="32">
        <v>45678</v>
      </c>
      <c r="E545" s="33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3"/>
      <c r="R545" s="33"/>
      <c r="S545" s="33"/>
      <c r="T545" s="33"/>
      <c r="U545" s="35"/>
      <c r="V545" s="36"/>
      <c r="W545" s="37"/>
      <c r="X545" s="34"/>
      <c r="Y545" s="33"/>
      <c r="Z545" s="33"/>
      <c r="AA545" s="33"/>
      <c r="AB545" s="35"/>
      <c r="AC545" s="34"/>
      <c r="AD545" s="34"/>
      <c r="AE545" s="34"/>
      <c r="AF545" s="34"/>
      <c r="AG545" s="34"/>
      <c r="AH545" s="33"/>
      <c r="AI545" s="33"/>
      <c r="AJ545" s="34"/>
      <c r="AK545" s="33"/>
      <c r="AL545" s="33"/>
      <c r="AM545" s="33"/>
      <c r="AN545" s="34"/>
      <c r="AO545" s="34"/>
      <c r="AP545" s="33"/>
      <c r="AQ545" s="34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4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5"/>
      <c r="CC545" s="33"/>
      <c r="CD545" s="33"/>
      <c r="CE545" s="33"/>
      <c r="CF545" s="34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 t="s">
        <v>229</v>
      </c>
      <c r="CY545" s="33"/>
      <c r="CZ545" s="34"/>
      <c r="DA545" s="33"/>
      <c r="DB545" s="33">
        <v>260</v>
      </c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4"/>
      <c r="DN545" s="34"/>
      <c r="DO545" s="33" t="s">
        <v>227</v>
      </c>
      <c r="DP545" s="33"/>
      <c r="DQ545" s="33"/>
      <c r="DR545" s="33"/>
      <c r="DS545" s="33">
        <v>260</v>
      </c>
      <c r="DT545" s="33" t="s">
        <v>240</v>
      </c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8"/>
    </row>
    <row r="546" spans="2:137" ht="13.2">
      <c r="B546" s="30" t="str">
        <f t="shared" si="18"/>
        <v>2025/1</v>
      </c>
      <c r="C546" s="31">
        <f t="shared" si="19"/>
        <v>1120</v>
      </c>
      <c r="D546" s="32">
        <v>45679</v>
      </c>
      <c r="E546" s="33">
        <v>300</v>
      </c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3"/>
      <c r="R546" s="33"/>
      <c r="S546" s="33"/>
      <c r="T546" s="33"/>
      <c r="U546" s="35"/>
      <c r="V546" s="36"/>
      <c r="W546" s="37"/>
      <c r="X546" s="34"/>
      <c r="Y546" s="33"/>
      <c r="Z546" s="33"/>
      <c r="AA546" s="33"/>
      <c r="AB546" s="35"/>
      <c r="AC546" s="34"/>
      <c r="AD546" s="34"/>
      <c r="AE546" s="34"/>
      <c r="AF546" s="34"/>
      <c r="AG546" s="34"/>
      <c r="AH546" s="33"/>
      <c r="AI546" s="33"/>
      <c r="AJ546" s="34"/>
      <c r="AK546" s="33"/>
      <c r="AL546" s="33"/>
      <c r="AM546" s="33"/>
      <c r="AN546" s="34"/>
      <c r="AO546" s="34"/>
      <c r="AP546" s="33"/>
      <c r="AQ546" s="34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4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5"/>
      <c r="CC546" s="33"/>
      <c r="CD546" s="33"/>
      <c r="CE546" s="33"/>
      <c r="CF546" s="34"/>
      <c r="CG546" s="33"/>
      <c r="CH546" s="33"/>
      <c r="CI546" s="33"/>
      <c r="CJ546" s="33"/>
      <c r="CK546" s="33"/>
      <c r="CL546" s="33"/>
      <c r="CM546" s="33"/>
      <c r="CN546" s="33" t="s">
        <v>207</v>
      </c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4"/>
      <c r="DA546" s="33"/>
      <c r="DB546" s="33"/>
      <c r="DC546" s="33"/>
      <c r="DD546" s="33">
        <v>300</v>
      </c>
      <c r="DE546" s="33"/>
      <c r="DF546" s="33"/>
      <c r="DG546" s="33"/>
      <c r="DH546" s="33">
        <v>270</v>
      </c>
      <c r="DI546" s="33"/>
      <c r="DJ546" s="33"/>
      <c r="DK546" s="33"/>
      <c r="DL546" s="33"/>
      <c r="DM546" s="34">
        <v>250</v>
      </c>
      <c r="DN546" s="34"/>
      <c r="DO546" s="33"/>
      <c r="DP546" s="33"/>
      <c r="DQ546" s="33" t="s">
        <v>207</v>
      </c>
      <c r="DR546" s="33" t="s">
        <v>207</v>
      </c>
      <c r="DS546" s="33"/>
      <c r="DT546" s="33" t="s">
        <v>257</v>
      </c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8"/>
    </row>
    <row r="547" spans="2:137" ht="13.2">
      <c r="B547" s="30" t="str">
        <f t="shared" si="18"/>
        <v>2025/1</v>
      </c>
      <c r="C547" s="31">
        <f t="shared" si="19"/>
        <v>275</v>
      </c>
      <c r="D547" s="32">
        <v>45680</v>
      </c>
      <c r="E547" s="33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3"/>
      <c r="R547" s="33"/>
      <c r="S547" s="33"/>
      <c r="T547" s="33"/>
      <c r="U547" s="35"/>
      <c r="V547" s="36"/>
      <c r="W547" s="37"/>
      <c r="X547" s="34"/>
      <c r="Y547" s="33"/>
      <c r="Z547" s="33"/>
      <c r="AA547" s="33"/>
      <c r="AB547" s="35"/>
      <c r="AC547" s="34"/>
      <c r="AD547" s="34"/>
      <c r="AE547" s="34"/>
      <c r="AF547" s="34"/>
      <c r="AG547" s="34"/>
      <c r="AH547" s="33"/>
      <c r="AI547" s="33"/>
      <c r="AJ547" s="34"/>
      <c r="AK547" s="33"/>
      <c r="AL547" s="33"/>
      <c r="AM547" s="33"/>
      <c r="AN547" s="34"/>
      <c r="AO547" s="34"/>
      <c r="AP547" s="33"/>
      <c r="AQ547" s="34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4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5"/>
      <c r="CC547" s="33"/>
      <c r="CD547" s="33"/>
      <c r="CE547" s="33"/>
      <c r="CF547" s="34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 t="s">
        <v>210</v>
      </c>
      <c r="CU547" s="33"/>
      <c r="CV547" s="33">
        <v>275</v>
      </c>
      <c r="CW547" s="33"/>
      <c r="CX547" s="33"/>
      <c r="CY547" s="33"/>
      <c r="CZ547" s="34"/>
      <c r="DA547" s="33"/>
      <c r="DB547" s="33"/>
      <c r="DC547" s="33" t="s">
        <v>208</v>
      </c>
      <c r="DD547" s="33"/>
      <c r="DE547" s="33"/>
      <c r="DF547" s="33"/>
      <c r="DG547" s="33"/>
      <c r="DH547" s="33"/>
      <c r="DI547" s="33"/>
      <c r="DJ547" s="33"/>
      <c r="DK547" s="33"/>
      <c r="DL547" s="33"/>
      <c r="DM547" s="34"/>
      <c r="DN547" s="34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8"/>
    </row>
    <row r="548" spans="2:137" ht="13.2">
      <c r="B548" s="30" t="str">
        <f t="shared" si="18"/>
        <v>2025/1</v>
      </c>
      <c r="C548" s="31">
        <f t="shared" si="19"/>
        <v>250</v>
      </c>
      <c r="D548" s="32">
        <v>45681</v>
      </c>
      <c r="E548" s="33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3"/>
      <c r="R548" s="33"/>
      <c r="S548" s="33"/>
      <c r="T548" s="33"/>
      <c r="U548" s="35"/>
      <c r="V548" s="36"/>
      <c r="W548" s="37"/>
      <c r="X548" s="34"/>
      <c r="Y548" s="33"/>
      <c r="Z548" s="33"/>
      <c r="AA548" s="33"/>
      <c r="AB548" s="35"/>
      <c r="AC548" s="34"/>
      <c r="AD548" s="34"/>
      <c r="AE548" s="34"/>
      <c r="AF548" s="34"/>
      <c r="AG548" s="34"/>
      <c r="AH548" s="33"/>
      <c r="AI548" s="33"/>
      <c r="AJ548" s="34"/>
      <c r="AK548" s="33"/>
      <c r="AL548" s="33"/>
      <c r="AM548" s="33"/>
      <c r="AN548" s="34"/>
      <c r="AO548" s="34"/>
      <c r="AP548" s="33"/>
      <c r="AQ548" s="34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4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5"/>
      <c r="CC548" s="33"/>
      <c r="CD548" s="33"/>
      <c r="CE548" s="33"/>
      <c r="CF548" s="34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 t="s">
        <v>214</v>
      </c>
      <c r="CS548" s="33"/>
      <c r="CT548" s="33"/>
      <c r="CU548" s="33"/>
      <c r="CV548" s="33"/>
      <c r="CW548" s="33"/>
      <c r="CX548" s="33" t="s">
        <v>224</v>
      </c>
      <c r="CY548" s="33"/>
      <c r="CZ548" s="34">
        <v>250</v>
      </c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4"/>
      <c r="DN548" s="34" t="s">
        <v>214</v>
      </c>
      <c r="DO548" s="33"/>
      <c r="DP548" s="33" t="s">
        <v>254</v>
      </c>
      <c r="DQ548" s="33"/>
      <c r="DR548" s="33"/>
      <c r="DS548" s="33"/>
      <c r="DT548" s="33" t="s">
        <v>252</v>
      </c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8"/>
    </row>
    <row r="549" spans="2:137" ht="13.2">
      <c r="B549" s="30" t="str">
        <f t="shared" si="18"/>
        <v>2025/1</v>
      </c>
      <c r="C549" s="31">
        <f t="shared" si="19"/>
        <v>2126.62</v>
      </c>
      <c r="D549" s="32">
        <v>45685</v>
      </c>
      <c r="E549" s="33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3"/>
      <c r="R549" s="33"/>
      <c r="S549" s="33"/>
      <c r="T549" s="33"/>
      <c r="U549" s="35"/>
      <c r="V549" s="36"/>
      <c r="W549" s="37"/>
      <c r="X549" s="34"/>
      <c r="Y549" s="33"/>
      <c r="Z549" s="33"/>
      <c r="AA549" s="33"/>
      <c r="AB549" s="35"/>
      <c r="AC549" s="34"/>
      <c r="AD549" s="34"/>
      <c r="AE549" s="34"/>
      <c r="AF549" s="34"/>
      <c r="AG549" s="34"/>
      <c r="AH549" s="33"/>
      <c r="AI549" s="33"/>
      <c r="AJ549" s="34"/>
      <c r="AK549" s="33"/>
      <c r="AL549" s="33"/>
      <c r="AM549" s="33"/>
      <c r="AN549" s="34"/>
      <c r="AO549" s="34"/>
      <c r="AP549" s="33"/>
      <c r="AQ549" s="34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4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5"/>
      <c r="CC549" s="33"/>
      <c r="CD549" s="33"/>
      <c r="CE549" s="33"/>
      <c r="CF549" s="34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>
        <v>1846.62</v>
      </c>
      <c r="CT549" s="33"/>
      <c r="CU549" s="33"/>
      <c r="CV549" s="33"/>
      <c r="CW549" s="33"/>
      <c r="CX549" s="33" t="s">
        <v>231</v>
      </c>
      <c r="CY549" s="33">
        <v>280</v>
      </c>
      <c r="CZ549" s="34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4"/>
      <c r="DN549" s="34"/>
      <c r="DO549" s="33" t="s">
        <v>227</v>
      </c>
      <c r="DP549" s="33"/>
      <c r="DQ549" s="33"/>
      <c r="DR549" s="33" t="s">
        <v>208</v>
      </c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8"/>
    </row>
    <row r="550" spans="2:137" ht="13.2">
      <c r="B550" s="30" t="str">
        <f t="shared" si="18"/>
        <v>2025/1</v>
      </c>
      <c r="C550" s="31">
        <f t="shared" si="19"/>
        <v>250</v>
      </c>
      <c r="D550" s="32">
        <v>45686</v>
      </c>
      <c r="E550" s="33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3"/>
      <c r="R550" s="33"/>
      <c r="S550" s="33"/>
      <c r="T550" s="33"/>
      <c r="U550" s="35"/>
      <c r="V550" s="36"/>
      <c r="W550" s="37"/>
      <c r="X550" s="34"/>
      <c r="Y550" s="33"/>
      <c r="Z550" s="33"/>
      <c r="AA550" s="33"/>
      <c r="AB550" s="35"/>
      <c r="AC550" s="34"/>
      <c r="AD550" s="34"/>
      <c r="AE550" s="34"/>
      <c r="AF550" s="34"/>
      <c r="AG550" s="34"/>
      <c r="AH550" s="33"/>
      <c r="AI550" s="33"/>
      <c r="AJ550" s="34"/>
      <c r="AK550" s="33"/>
      <c r="AL550" s="33"/>
      <c r="AM550" s="33"/>
      <c r="AN550" s="34"/>
      <c r="AO550" s="34"/>
      <c r="AP550" s="33"/>
      <c r="AQ550" s="34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4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5"/>
      <c r="CC550" s="33"/>
      <c r="CD550" s="33"/>
      <c r="CE550" s="33"/>
      <c r="CF550" s="34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 t="s">
        <v>212</v>
      </c>
      <c r="CT550" s="33"/>
      <c r="CU550" s="33"/>
      <c r="CV550" s="33"/>
      <c r="CW550" s="33"/>
      <c r="CX550" s="33"/>
      <c r="CY550" s="33"/>
      <c r="CZ550" s="34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4">
        <v>250</v>
      </c>
      <c r="DN550" s="34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8"/>
    </row>
    <row r="551" spans="2:137" ht="13.2">
      <c r="B551" s="30" t="str">
        <f t="shared" si="18"/>
        <v>2025/1</v>
      </c>
      <c r="C551" s="31">
        <f t="shared" si="19"/>
        <v>1005</v>
      </c>
      <c r="D551" s="32">
        <v>45687</v>
      </c>
      <c r="E551" s="33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3"/>
      <c r="R551" s="33"/>
      <c r="S551" s="33"/>
      <c r="T551" s="33"/>
      <c r="U551" s="35"/>
      <c r="V551" s="36"/>
      <c r="W551" s="37"/>
      <c r="X551" s="34"/>
      <c r="Y551" s="33"/>
      <c r="Z551" s="33"/>
      <c r="AA551" s="33"/>
      <c r="AB551" s="35"/>
      <c r="AC551" s="34"/>
      <c r="AD551" s="34"/>
      <c r="AE551" s="34"/>
      <c r="AF551" s="34"/>
      <c r="AG551" s="34"/>
      <c r="AH551" s="33"/>
      <c r="AI551" s="33"/>
      <c r="AJ551" s="34"/>
      <c r="AK551" s="33"/>
      <c r="AL551" s="33"/>
      <c r="AM551" s="33"/>
      <c r="AN551" s="34"/>
      <c r="AO551" s="34"/>
      <c r="AP551" s="33"/>
      <c r="AQ551" s="34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4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5"/>
      <c r="CC551" s="33"/>
      <c r="CD551" s="33"/>
      <c r="CE551" s="33"/>
      <c r="CF551" s="34"/>
      <c r="CG551" s="33"/>
      <c r="CH551" s="33"/>
      <c r="CI551" s="33"/>
      <c r="CJ551" s="33"/>
      <c r="CK551" s="33"/>
      <c r="CL551" s="33"/>
      <c r="CM551" s="33"/>
      <c r="CN551" s="33" t="s">
        <v>224</v>
      </c>
      <c r="CO551" s="33"/>
      <c r="CP551" s="33"/>
      <c r="CQ551" s="33"/>
      <c r="CR551" s="33"/>
      <c r="CS551" s="33"/>
      <c r="CT551" s="33" t="s">
        <v>212</v>
      </c>
      <c r="CU551" s="33"/>
      <c r="CV551" s="33">
        <v>275</v>
      </c>
      <c r="CW551" s="33"/>
      <c r="CX551" s="33" t="s">
        <v>258</v>
      </c>
      <c r="CY551" s="33"/>
      <c r="CZ551" s="34"/>
      <c r="DA551" s="33"/>
      <c r="DB551" s="33">
        <v>200</v>
      </c>
      <c r="DC551" s="33" t="s">
        <v>231</v>
      </c>
      <c r="DD551" s="33"/>
      <c r="DE551" s="33"/>
      <c r="DF551" s="33"/>
      <c r="DG551" s="33"/>
      <c r="DH551" s="33">
        <v>270</v>
      </c>
      <c r="DI551" s="33"/>
      <c r="DJ551" s="33"/>
      <c r="DK551" s="33"/>
      <c r="DL551" s="33"/>
      <c r="DM551" s="34"/>
      <c r="DN551" s="34"/>
      <c r="DO551" s="33"/>
      <c r="DP551" s="33" t="s">
        <v>248</v>
      </c>
      <c r="DQ551" s="33" t="s">
        <v>224</v>
      </c>
      <c r="DR551" s="33"/>
      <c r="DS551" s="33">
        <v>260</v>
      </c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8"/>
    </row>
    <row r="552" spans="2:137" ht="13.2">
      <c r="B552" s="30" t="str">
        <f t="shared" si="18"/>
        <v>2025/1</v>
      </c>
      <c r="C552" s="31">
        <f t="shared" si="19"/>
        <v>1116.78</v>
      </c>
      <c r="D552" s="32">
        <v>45688</v>
      </c>
      <c r="E552" s="33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3"/>
      <c r="R552" s="33"/>
      <c r="S552" s="33"/>
      <c r="T552" s="33"/>
      <c r="U552" s="35"/>
      <c r="V552" s="36"/>
      <c r="W552" s="37"/>
      <c r="X552" s="34"/>
      <c r="Y552" s="33"/>
      <c r="Z552" s="33"/>
      <c r="AA552" s="33"/>
      <c r="AB552" s="35"/>
      <c r="AC552" s="34"/>
      <c r="AD552" s="34"/>
      <c r="AE552" s="34"/>
      <c r="AF552" s="34"/>
      <c r="AG552" s="34"/>
      <c r="AH552" s="33"/>
      <c r="AI552" s="33"/>
      <c r="AJ552" s="34"/>
      <c r="AK552" s="33"/>
      <c r="AL552" s="33"/>
      <c r="AM552" s="33"/>
      <c r="AN552" s="34"/>
      <c r="AO552" s="34"/>
      <c r="AP552" s="33"/>
      <c r="AQ552" s="34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4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5"/>
      <c r="CC552" s="33"/>
      <c r="CD552" s="33"/>
      <c r="CE552" s="33"/>
      <c r="CF552" s="34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 t="s">
        <v>224</v>
      </c>
      <c r="CS552" s="33" t="s">
        <v>207</v>
      </c>
      <c r="CT552" s="33"/>
      <c r="CU552" s="33"/>
      <c r="CV552" s="33"/>
      <c r="CW552" s="33"/>
      <c r="CX552" s="33"/>
      <c r="CY552" s="33"/>
      <c r="CZ552" s="34"/>
      <c r="DA552" s="33" t="s">
        <v>259</v>
      </c>
      <c r="DB552" s="33"/>
      <c r="DC552" s="33"/>
      <c r="DD552" s="33">
        <v>300</v>
      </c>
      <c r="DE552" s="33"/>
      <c r="DF552" s="33"/>
      <c r="DG552" s="33"/>
      <c r="DH552" s="33"/>
      <c r="DI552" s="33"/>
      <c r="DJ552" s="33"/>
      <c r="DK552" s="33"/>
      <c r="DL552" s="33"/>
      <c r="DM552" s="34"/>
      <c r="DN552" s="34" t="s">
        <v>224</v>
      </c>
      <c r="DO552" s="33"/>
      <c r="DP552" s="33"/>
      <c r="DQ552" s="33"/>
      <c r="DR552" s="33"/>
      <c r="DS552" s="33"/>
      <c r="DT552" s="33">
        <v>816.78</v>
      </c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8"/>
    </row>
    <row r="553" spans="2:137" ht="13.2">
      <c r="B553" s="30" t="str">
        <f t="shared" si="18"/>
        <v>2025/2</v>
      </c>
      <c r="C553" s="31">
        <f t="shared" si="19"/>
        <v>600</v>
      </c>
      <c r="D553" s="32">
        <v>45692</v>
      </c>
      <c r="E553" s="33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3"/>
      <c r="R553" s="33"/>
      <c r="S553" s="33"/>
      <c r="T553" s="33"/>
      <c r="U553" s="35"/>
      <c r="V553" s="36"/>
      <c r="W553" s="37"/>
      <c r="X553" s="34"/>
      <c r="Y553" s="33"/>
      <c r="Z553" s="33"/>
      <c r="AA553" s="33"/>
      <c r="AB553" s="35"/>
      <c r="AC553" s="34"/>
      <c r="AD553" s="34"/>
      <c r="AE553" s="34"/>
      <c r="AF553" s="34"/>
      <c r="AG553" s="34"/>
      <c r="AH553" s="33"/>
      <c r="AI553" s="33"/>
      <c r="AJ553" s="34"/>
      <c r="AK553" s="33"/>
      <c r="AL553" s="33"/>
      <c r="AM553" s="33"/>
      <c r="AN553" s="34"/>
      <c r="AO553" s="34"/>
      <c r="AP553" s="33"/>
      <c r="AQ553" s="34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4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5"/>
      <c r="CC553" s="33"/>
      <c r="CD553" s="33"/>
      <c r="CE553" s="33"/>
      <c r="CF553" s="34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 t="s">
        <v>207</v>
      </c>
      <c r="CU553" s="33"/>
      <c r="CV553" s="33"/>
      <c r="CW553" s="33"/>
      <c r="CX553" s="33" t="s">
        <v>260</v>
      </c>
      <c r="CY553" s="33"/>
      <c r="CZ553" s="34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4"/>
      <c r="DN553" s="34"/>
      <c r="DO553" s="33">
        <v>600</v>
      </c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8"/>
    </row>
    <row r="554" spans="2:137" ht="13.2">
      <c r="B554" s="30" t="str">
        <f t="shared" si="18"/>
        <v>2025/2</v>
      </c>
      <c r="C554" s="31">
        <f t="shared" si="19"/>
        <v>1710</v>
      </c>
      <c r="D554" s="32">
        <v>45693</v>
      </c>
      <c r="E554" s="33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3"/>
      <c r="R554" s="33"/>
      <c r="S554" s="33"/>
      <c r="T554" s="33"/>
      <c r="U554" s="35"/>
      <c r="V554" s="36"/>
      <c r="W554" s="37"/>
      <c r="X554" s="34"/>
      <c r="Y554" s="33"/>
      <c r="Z554" s="33"/>
      <c r="AA554" s="33"/>
      <c r="AB554" s="35"/>
      <c r="AC554" s="34"/>
      <c r="AD554" s="34"/>
      <c r="AE554" s="34"/>
      <c r="AF554" s="34"/>
      <c r="AG554" s="34"/>
      <c r="AH554" s="33"/>
      <c r="AI554" s="33"/>
      <c r="AJ554" s="34"/>
      <c r="AK554" s="33"/>
      <c r="AL554" s="33"/>
      <c r="AM554" s="33"/>
      <c r="AN554" s="34"/>
      <c r="AO554" s="34"/>
      <c r="AP554" s="33"/>
      <c r="AQ554" s="34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4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5"/>
      <c r="CC554" s="33"/>
      <c r="CD554" s="33"/>
      <c r="CE554" s="33"/>
      <c r="CF554" s="34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 t="s">
        <v>227</v>
      </c>
      <c r="CT554" s="33">
        <v>1200</v>
      </c>
      <c r="CU554" s="33"/>
      <c r="CV554" s="33"/>
      <c r="CW554" s="33"/>
      <c r="CX554" s="33"/>
      <c r="CY554" s="33"/>
      <c r="CZ554" s="34"/>
      <c r="DA554" s="33"/>
      <c r="DB554" s="33">
        <v>260</v>
      </c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4">
        <v>250</v>
      </c>
      <c r="DN554" s="34"/>
      <c r="DO554" s="33" t="s">
        <v>230</v>
      </c>
      <c r="DP554" s="33" t="s">
        <v>261</v>
      </c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8"/>
    </row>
    <row r="555" spans="2:137" ht="13.2">
      <c r="B555" s="30" t="str">
        <f t="shared" si="18"/>
        <v>2025/2</v>
      </c>
      <c r="C555" s="31">
        <f t="shared" si="19"/>
        <v>1125</v>
      </c>
      <c r="D555" s="32">
        <v>45694</v>
      </c>
      <c r="E555" s="33">
        <v>300</v>
      </c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3"/>
      <c r="R555" s="33"/>
      <c r="S555" s="33"/>
      <c r="T555" s="33"/>
      <c r="U555" s="35"/>
      <c r="V555" s="36"/>
      <c r="W555" s="37"/>
      <c r="X555" s="34"/>
      <c r="Y555" s="33"/>
      <c r="Z555" s="33"/>
      <c r="AA555" s="33"/>
      <c r="AB555" s="35"/>
      <c r="AC555" s="34"/>
      <c r="AD555" s="34"/>
      <c r="AE555" s="34"/>
      <c r="AF555" s="34"/>
      <c r="AG555" s="34"/>
      <c r="AH555" s="33"/>
      <c r="AI555" s="33"/>
      <c r="AJ555" s="34"/>
      <c r="AK555" s="33"/>
      <c r="AL555" s="33"/>
      <c r="AM555" s="33"/>
      <c r="AN555" s="34"/>
      <c r="AO555" s="34"/>
      <c r="AP555" s="33"/>
      <c r="AQ555" s="34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4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5"/>
      <c r="CC555" s="33"/>
      <c r="CD555" s="33"/>
      <c r="CE555" s="33"/>
      <c r="CF555" s="34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>
        <v>275</v>
      </c>
      <c r="CW555" s="33"/>
      <c r="CX555" s="33" t="s">
        <v>250</v>
      </c>
      <c r="CY555" s="33"/>
      <c r="CZ555" s="34">
        <v>250</v>
      </c>
      <c r="DA555" s="33"/>
      <c r="DB555" s="33"/>
      <c r="DC555" s="33"/>
      <c r="DD555" s="33">
        <v>300</v>
      </c>
      <c r="DE555" s="33"/>
      <c r="DF555" s="33"/>
      <c r="DG555" s="33"/>
      <c r="DH555" s="33"/>
      <c r="DI555" s="33"/>
      <c r="DJ555" s="33"/>
      <c r="DK555" s="33"/>
      <c r="DL555" s="33"/>
      <c r="DM555" s="34"/>
      <c r="DN555" s="34"/>
      <c r="DO555" s="33"/>
      <c r="DP555" s="33"/>
      <c r="DQ555" s="33"/>
      <c r="DR555" s="33" t="s">
        <v>210</v>
      </c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8"/>
    </row>
    <row r="556" spans="2:137" ht="13.2">
      <c r="B556" s="30" t="str">
        <f t="shared" si="18"/>
        <v>2025/2</v>
      </c>
      <c r="C556" s="31">
        <f t="shared" si="19"/>
        <v>1460</v>
      </c>
      <c r="D556" s="32">
        <v>45695</v>
      </c>
      <c r="E556" s="33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3"/>
      <c r="R556" s="33"/>
      <c r="S556" s="33"/>
      <c r="T556" s="33"/>
      <c r="U556" s="35"/>
      <c r="V556" s="36"/>
      <c r="W556" s="37"/>
      <c r="X556" s="34"/>
      <c r="Y556" s="33"/>
      <c r="Z556" s="33"/>
      <c r="AA556" s="33"/>
      <c r="AB556" s="35"/>
      <c r="AC556" s="34"/>
      <c r="AD556" s="34"/>
      <c r="AE556" s="34"/>
      <c r="AF556" s="34"/>
      <c r="AG556" s="34"/>
      <c r="AH556" s="33"/>
      <c r="AI556" s="33"/>
      <c r="AJ556" s="34"/>
      <c r="AK556" s="33"/>
      <c r="AL556" s="33"/>
      <c r="AM556" s="33"/>
      <c r="AN556" s="34"/>
      <c r="AO556" s="34"/>
      <c r="AP556" s="33"/>
      <c r="AQ556" s="34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4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5"/>
      <c r="CC556" s="33"/>
      <c r="CD556" s="33"/>
      <c r="CE556" s="33"/>
      <c r="CF556" s="34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>
        <v>260</v>
      </c>
      <c r="CV556" s="33"/>
      <c r="CW556" s="33"/>
      <c r="CX556" s="33"/>
      <c r="CY556" s="33"/>
      <c r="CZ556" s="34"/>
      <c r="DA556" s="33"/>
      <c r="DB556" s="33"/>
      <c r="DC556" s="33" t="s">
        <v>240</v>
      </c>
      <c r="DD556" s="33"/>
      <c r="DE556" s="33"/>
      <c r="DF556" s="33"/>
      <c r="DG556" s="33"/>
      <c r="DH556" s="33"/>
      <c r="DI556" s="33"/>
      <c r="DJ556" s="33"/>
      <c r="DK556" s="33"/>
      <c r="DL556" s="33"/>
      <c r="DM556" s="34"/>
      <c r="DN556" s="34"/>
      <c r="DO556" s="33"/>
      <c r="DP556" s="33"/>
      <c r="DQ556" s="33"/>
      <c r="DR556" s="33">
        <v>1200</v>
      </c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8"/>
    </row>
    <row r="557" spans="2:137" ht="13.2">
      <c r="B557" s="30" t="str">
        <f t="shared" si="18"/>
        <v>2025/2</v>
      </c>
      <c r="C557" s="31">
        <f t="shared" si="19"/>
        <v>3320</v>
      </c>
      <c r="D557" s="32">
        <v>45699</v>
      </c>
      <c r="E557" s="33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3"/>
      <c r="R557" s="33"/>
      <c r="S557" s="33"/>
      <c r="T557" s="33"/>
      <c r="U557" s="35"/>
      <c r="V557" s="36"/>
      <c r="W557" s="37"/>
      <c r="X557" s="34"/>
      <c r="Y557" s="33"/>
      <c r="Z557" s="33"/>
      <c r="AA557" s="33"/>
      <c r="AB557" s="35"/>
      <c r="AC557" s="34"/>
      <c r="AD557" s="34"/>
      <c r="AE557" s="34"/>
      <c r="AF557" s="34"/>
      <c r="AG557" s="34"/>
      <c r="AH557" s="33"/>
      <c r="AI557" s="33"/>
      <c r="AJ557" s="34"/>
      <c r="AK557" s="33"/>
      <c r="AL557" s="33"/>
      <c r="AM557" s="33"/>
      <c r="AN557" s="34"/>
      <c r="AO557" s="34"/>
      <c r="AP557" s="33"/>
      <c r="AQ557" s="34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4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5"/>
      <c r="CC557" s="33"/>
      <c r="CD557" s="33"/>
      <c r="CE557" s="33"/>
      <c r="CF557" s="34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>
        <v>880</v>
      </c>
      <c r="CS557" s="33"/>
      <c r="CT557" s="33"/>
      <c r="CU557" s="33"/>
      <c r="CV557" s="33"/>
      <c r="CW557" s="33">
        <v>300</v>
      </c>
      <c r="CX557" s="33" t="s">
        <v>252</v>
      </c>
      <c r="CY557" s="33">
        <v>280</v>
      </c>
      <c r="CZ557" s="34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4"/>
      <c r="DN557" s="34"/>
      <c r="DO557" s="33"/>
      <c r="DP557" s="33"/>
      <c r="DQ557" s="33" t="s">
        <v>227</v>
      </c>
      <c r="DR557" s="33"/>
      <c r="DS557" s="33">
        <v>260</v>
      </c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>
        <v>1600</v>
      </c>
      <c r="EF557" s="33"/>
      <c r="EG557" s="38"/>
    </row>
    <row r="558" spans="2:137" ht="13.2">
      <c r="B558" s="30" t="str">
        <f t="shared" si="18"/>
        <v>2025/2</v>
      </c>
      <c r="C558" s="31">
        <f t="shared" si="19"/>
        <v>400</v>
      </c>
      <c r="D558" s="32">
        <v>45700</v>
      </c>
      <c r="E558" s="33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3"/>
      <c r="R558" s="33"/>
      <c r="S558" s="33"/>
      <c r="T558" s="33"/>
      <c r="U558" s="35"/>
      <c r="V558" s="36"/>
      <c r="W558" s="37"/>
      <c r="X558" s="34"/>
      <c r="Y558" s="33"/>
      <c r="Z558" s="33"/>
      <c r="AA558" s="33"/>
      <c r="AB558" s="35"/>
      <c r="AC558" s="34"/>
      <c r="AD558" s="34"/>
      <c r="AE558" s="34"/>
      <c r="AF558" s="34"/>
      <c r="AG558" s="34"/>
      <c r="AH558" s="33"/>
      <c r="AI558" s="33"/>
      <c r="AJ558" s="34"/>
      <c r="AK558" s="33"/>
      <c r="AL558" s="33"/>
      <c r="AM558" s="33"/>
      <c r="AN558" s="34"/>
      <c r="AO558" s="34"/>
      <c r="AP558" s="33"/>
      <c r="AQ558" s="34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4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5"/>
      <c r="CC558" s="33"/>
      <c r="CD558" s="33"/>
      <c r="CE558" s="33"/>
      <c r="CF558" s="34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 t="s">
        <v>262</v>
      </c>
      <c r="CT558" s="33"/>
      <c r="CU558" s="33"/>
      <c r="CV558" s="33"/>
      <c r="CW558" s="33"/>
      <c r="CX558" s="33"/>
      <c r="CY558" s="33"/>
      <c r="CZ558" s="34"/>
      <c r="DA558" s="33"/>
      <c r="DB558" s="33">
        <v>200</v>
      </c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4"/>
      <c r="DN558" s="34"/>
      <c r="DO558" s="33">
        <v>200</v>
      </c>
      <c r="DP558" s="33"/>
      <c r="DQ558" s="33"/>
      <c r="DR558" s="33" t="s">
        <v>206</v>
      </c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8"/>
    </row>
    <row r="559" spans="2:137" ht="13.2">
      <c r="B559" s="30" t="str">
        <f t="shared" si="18"/>
        <v>2025/2</v>
      </c>
      <c r="C559" s="31">
        <f t="shared" si="19"/>
        <v>2657.6</v>
      </c>
      <c r="D559" s="32">
        <v>45701</v>
      </c>
      <c r="E559" s="33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3"/>
      <c r="R559" s="33"/>
      <c r="S559" s="33"/>
      <c r="T559" s="33"/>
      <c r="U559" s="35"/>
      <c r="V559" s="36"/>
      <c r="W559" s="37"/>
      <c r="X559" s="34"/>
      <c r="Y559" s="33"/>
      <c r="Z559" s="33"/>
      <c r="AA559" s="33"/>
      <c r="AB559" s="35"/>
      <c r="AC559" s="34"/>
      <c r="AD559" s="34"/>
      <c r="AE559" s="34"/>
      <c r="AF559" s="34"/>
      <c r="AG559" s="34"/>
      <c r="AH559" s="33"/>
      <c r="AI559" s="33"/>
      <c r="AJ559" s="34"/>
      <c r="AK559" s="33"/>
      <c r="AL559" s="33"/>
      <c r="AM559" s="33"/>
      <c r="AN559" s="34"/>
      <c r="AO559" s="34"/>
      <c r="AP559" s="33"/>
      <c r="AQ559" s="34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4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5"/>
      <c r="CC559" s="33"/>
      <c r="CD559" s="33"/>
      <c r="CE559" s="33"/>
      <c r="CF559" s="34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>
        <v>300</v>
      </c>
      <c r="CT559" s="33"/>
      <c r="CU559" s="33">
        <v>270</v>
      </c>
      <c r="CV559" s="33">
        <v>275</v>
      </c>
      <c r="CW559" s="33"/>
      <c r="CX559" s="33" t="s">
        <v>263</v>
      </c>
      <c r="CY559" s="33"/>
      <c r="CZ559" s="34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4"/>
      <c r="DN559" s="34"/>
      <c r="DO559" s="33"/>
      <c r="DP559" s="33" t="s">
        <v>245</v>
      </c>
      <c r="DQ559" s="33"/>
      <c r="DR559" s="33"/>
      <c r="DS559" s="33"/>
      <c r="DT559" s="33">
        <v>1812.6</v>
      </c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8"/>
    </row>
    <row r="560" spans="2:137" ht="13.2">
      <c r="B560" s="30" t="str">
        <f t="shared" si="18"/>
        <v>2025/2</v>
      </c>
      <c r="C560" s="31">
        <f t="shared" si="19"/>
        <v>2820</v>
      </c>
      <c r="D560" s="32">
        <v>45702</v>
      </c>
      <c r="E560" s="33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3"/>
      <c r="R560" s="33"/>
      <c r="S560" s="33"/>
      <c r="T560" s="33"/>
      <c r="U560" s="35"/>
      <c r="V560" s="36"/>
      <c r="W560" s="37"/>
      <c r="X560" s="34"/>
      <c r="Y560" s="33"/>
      <c r="Z560" s="33"/>
      <c r="AA560" s="33"/>
      <c r="AB560" s="35"/>
      <c r="AC560" s="34"/>
      <c r="AD560" s="34"/>
      <c r="AE560" s="34"/>
      <c r="AF560" s="34"/>
      <c r="AG560" s="34"/>
      <c r="AH560" s="33"/>
      <c r="AI560" s="33"/>
      <c r="AJ560" s="34"/>
      <c r="AK560" s="33"/>
      <c r="AL560" s="33"/>
      <c r="AM560" s="33"/>
      <c r="AN560" s="34"/>
      <c r="AO560" s="34"/>
      <c r="AP560" s="33"/>
      <c r="AQ560" s="34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4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5"/>
      <c r="CC560" s="33"/>
      <c r="CD560" s="33"/>
      <c r="CE560" s="33"/>
      <c r="CF560" s="34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 t="s">
        <v>224</v>
      </c>
      <c r="CU560" s="33"/>
      <c r="CV560" s="33"/>
      <c r="CW560" s="33"/>
      <c r="CX560" s="33">
        <v>2520</v>
      </c>
      <c r="CY560" s="33"/>
      <c r="CZ560" s="34"/>
      <c r="DA560" s="33" t="s">
        <v>264</v>
      </c>
      <c r="DB560" s="33"/>
      <c r="DC560" s="33" t="s">
        <v>233</v>
      </c>
      <c r="DD560" s="33">
        <v>300</v>
      </c>
      <c r="DE560" s="33"/>
      <c r="DF560" s="33"/>
      <c r="DG560" s="33"/>
      <c r="DH560" s="33"/>
      <c r="DI560" s="33"/>
      <c r="DJ560" s="33"/>
      <c r="DK560" s="33"/>
      <c r="DL560" s="33"/>
      <c r="DM560" s="34"/>
      <c r="DN560" s="34" t="s">
        <v>265</v>
      </c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8"/>
    </row>
    <row r="561" spans="2:137" ht="13.2">
      <c r="B561" s="30" t="str">
        <f t="shared" si="18"/>
        <v>2025/2</v>
      </c>
      <c r="C561" s="31">
        <f t="shared" si="19"/>
        <v>840</v>
      </c>
      <c r="D561" s="32">
        <v>45706</v>
      </c>
      <c r="E561" s="33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3"/>
      <c r="R561" s="33"/>
      <c r="S561" s="33"/>
      <c r="T561" s="33"/>
      <c r="U561" s="35"/>
      <c r="V561" s="36"/>
      <c r="W561" s="37"/>
      <c r="X561" s="34"/>
      <c r="Y561" s="33"/>
      <c r="Z561" s="33"/>
      <c r="AA561" s="33"/>
      <c r="AB561" s="35"/>
      <c r="AC561" s="34"/>
      <c r="AD561" s="34"/>
      <c r="AE561" s="34"/>
      <c r="AF561" s="34"/>
      <c r="AG561" s="34"/>
      <c r="AH561" s="33"/>
      <c r="AI561" s="33"/>
      <c r="AJ561" s="34"/>
      <c r="AK561" s="33"/>
      <c r="AL561" s="33"/>
      <c r="AM561" s="33"/>
      <c r="AN561" s="34"/>
      <c r="AO561" s="34"/>
      <c r="AP561" s="33"/>
      <c r="AQ561" s="34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4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5"/>
      <c r="CC561" s="33"/>
      <c r="CD561" s="33"/>
      <c r="CE561" s="33"/>
      <c r="CF561" s="34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>
        <v>300</v>
      </c>
      <c r="CX561" s="33"/>
      <c r="CY561" s="33">
        <v>280</v>
      </c>
      <c r="CZ561" s="34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4"/>
      <c r="DN561" s="34"/>
      <c r="DO561" s="33"/>
      <c r="DP561" s="33"/>
      <c r="DQ561" s="33"/>
      <c r="DR561" s="33" t="s">
        <v>207</v>
      </c>
      <c r="DS561" s="33">
        <v>260</v>
      </c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8"/>
    </row>
    <row r="562" spans="2:137" ht="13.2">
      <c r="B562" s="30" t="str">
        <f t="shared" si="18"/>
        <v>2025/2</v>
      </c>
      <c r="C562" s="31">
        <f t="shared" si="19"/>
        <v>1895</v>
      </c>
      <c r="D562" s="32">
        <v>45707</v>
      </c>
      <c r="E562" s="33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3"/>
      <c r="R562" s="33"/>
      <c r="S562" s="33"/>
      <c r="T562" s="33"/>
      <c r="U562" s="35"/>
      <c r="V562" s="36"/>
      <c r="W562" s="37"/>
      <c r="X562" s="34"/>
      <c r="Y562" s="33"/>
      <c r="Z562" s="33"/>
      <c r="AA562" s="33"/>
      <c r="AB562" s="35"/>
      <c r="AC562" s="34"/>
      <c r="AD562" s="34"/>
      <c r="AE562" s="34"/>
      <c r="AF562" s="34"/>
      <c r="AG562" s="34"/>
      <c r="AH562" s="33"/>
      <c r="AI562" s="33"/>
      <c r="AJ562" s="34"/>
      <c r="AK562" s="33"/>
      <c r="AL562" s="33"/>
      <c r="AM562" s="33"/>
      <c r="AN562" s="34"/>
      <c r="AO562" s="34"/>
      <c r="AP562" s="33"/>
      <c r="AQ562" s="34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4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5"/>
      <c r="CC562" s="33"/>
      <c r="CD562" s="33"/>
      <c r="CE562" s="33"/>
      <c r="CF562" s="34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4"/>
      <c r="DA562" s="33" t="s">
        <v>266</v>
      </c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4">
        <v>250</v>
      </c>
      <c r="DN562" s="34">
        <v>1125</v>
      </c>
      <c r="DO562" s="33">
        <v>200</v>
      </c>
      <c r="DP562" s="33"/>
      <c r="DQ562" s="33"/>
      <c r="DR562" s="33"/>
      <c r="DS562" s="33"/>
      <c r="DT562" s="33">
        <v>320</v>
      </c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8"/>
    </row>
    <row r="563" spans="2:137" ht="13.2">
      <c r="B563" s="30" t="str">
        <f t="shared" si="18"/>
        <v>2025/2</v>
      </c>
      <c r="C563" s="31">
        <f t="shared" si="19"/>
        <v>1820</v>
      </c>
      <c r="D563" s="32">
        <v>45708</v>
      </c>
      <c r="E563" s="33">
        <v>300</v>
      </c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3"/>
      <c r="R563" s="33"/>
      <c r="S563" s="33"/>
      <c r="T563" s="33"/>
      <c r="U563" s="35"/>
      <c r="V563" s="36"/>
      <c r="W563" s="37"/>
      <c r="X563" s="34"/>
      <c r="Y563" s="33"/>
      <c r="Z563" s="33"/>
      <c r="AA563" s="33"/>
      <c r="AB563" s="35"/>
      <c r="AC563" s="34"/>
      <c r="AD563" s="34"/>
      <c r="AE563" s="34"/>
      <c r="AF563" s="34"/>
      <c r="AG563" s="34"/>
      <c r="AH563" s="33"/>
      <c r="AI563" s="33"/>
      <c r="AJ563" s="34"/>
      <c r="AK563" s="33"/>
      <c r="AL563" s="33"/>
      <c r="AM563" s="33"/>
      <c r="AN563" s="34"/>
      <c r="AO563" s="34"/>
      <c r="AP563" s="33"/>
      <c r="AQ563" s="34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4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5"/>
      <c r="CC563" s="33"/>
      <c r="CD563" s="33"/>
      <c r="CE563" s="33"/>
      <c r="CF563" s="34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4"/>
      <c r="DA563" s="33"/>
      <c r="DB563" s="33">
        <v>260</v>
      </c>
      <c r="DC563" s="33" t="s">
        <v>235</v>
      </c>
      <c r="DD563" s="33">
        <v>300</v>
      </c>
      <c r="DE563" s="33"/>
      <c r="DF563" s="33"/>
      <c r="DG563" s="33"/>
      <c r="DH563" s="33"/>
      <c r="DI563" s="33"/>
      <c r="DJ563" s="33"/>
      <c r="DK563" s="33"/>
      <c r="DL563" s="33"/>
      <c r="DM563" s="34"/>
      <c r="DN563" s="34"/>
      <c r="DO563" s="33"/>
      <c r="DP563" s="33" t="s">
        <v>249</v>
      </c>
      <c r="DQ563" s="33" t="s">
        <v>227</v>
      </c>
      <c r="DR563" s="33"/>
      <c r="DS563" s="33"/>
      <c r="DT563" s="33">
        <v>960</v>
      </c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8"/>
    </row>
    <row r="564" spans="2:137" ht="13.2">
      <c r="B564" s="30" t="str">
        <f t="shared" si="18"/>
        <v>2025/2</v>
      </c>
      <c r="C564" s="31">
        <f t="shared" si="19"/>
        <v>250</v>
      </c>
      <c r="D564" s="32">
        <v>45709</v>
      </c>
      <c r="E564" s="33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3"/>
      <c r="R564" s="33"/>
      <c r="S564" s="33"/>
      <c r="T564" s="33"/>
      <c r="U564" s="35"/>
      <c r="V564" s="36"/>
      <c r="W564" s="37"/>
      <c r="X564" s="34"/>
      <c r="Y564" s="33"/>
      <c r="Z564" s="33"/>
      <c r="AA564" s="33"/>
      <c r="AB564" s="35"/>
      <c r="AC564" s="34"/>
      <c r="AD564" s="34"/>
      <c r="AE564" s="34"/>
      <c r="AF564" s="34"/>
      <c r="AG564" s="34"/>
      <c r="AH564" s="33"/>
      <c r="AI564" s="33"/>
      <c r="AJ564" s="34"/>
      <c r="AK564" s="33"/>
      <c r="AL564" s="33"/>
      <c r="AM564" s="33"/>
      <c r="AN564" s="34"/>
      <c r="AO564" s="34"/>
      <c r="AP564" s="33"/>
      <c r="AQ564" s="34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4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5"/>
      <c r="CC564" s="33"/>
      <c r="CD564" s="33"/>
      <c r="CE564" s="33"/>
      <c r="CF564" s="34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4">
        <v>250</v>
      </c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4"/>
      <c r="DN564" s="34"/>
      <c r="DO564" s="33"/>
      <c r="DP564" s="33"/>
      <c r="DQ564" s="33"/>
      <c r="DR564" s="33"/>
      <c r="DS564" s="33"/>
      <c r="DT564" s="33" t="s">
        <v>210</v>
      </c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8"/>
    </row>
    <row r="565" spans="2:137" ht="13.2">
      <c r="B565" s="30" t="str">
        <f t="shared" si="18"/>
        <v>2025/2</v>
      </c>
      <c r="C565" s="31">
        <f t="shared" si="19"/>
        <v>1560</v>
      </c>
      <c r="D565" s="32">
        <v>45713</v>
      </c>
      <c r="E565" s="33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3"/>
      <c r="R565" s="33"/>
      <c r="S565" s="33"/>
      <c r="T565" s="33"/>
      <c r="U565" s="35"/>
      <c r="V565" s="36"/>
      <c r="W565" s="37"/>
      <c r="X565" s="34"/>
      <c r="Y565" s="33"/>
      <c r="Z565" s="33"/>
      <c r="AA565" s="33"/>
      <c r="AB565" s="35"/>
      <c r="AC565" s="34"/>
      <c r="AD565" s="34"/>
      <c r="AE565" s="34"/>
      <c r="AF565" s="34"/>
      <c r="AG565" s="34"/>
      <c r="AH565" s="33"/>
      <c r="AI565" s="33"/>
      <c r="AJ565" s="34"/>
      <c r="AK565" s="33"/>
      <c r="AL565" s="33"/>
      <c r="AM565" s="33"/>
      <c r="AN565" s="34"/>
      <c r="AO565" s="34"/>
      <c r="AP565" s="33"/>
      <c r="AQ565" s="34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4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5"/>
      <c r="CC565" s="33"/>
      <c r="CD565" s="33"/>
      <c r="CE565" s="33"/>
      <c r="CF565" s="34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4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4"/>
      <c r="DN565" s="34" t="s">
        <v>210</v>
      </c>
      <c r="DO565" s="33"/>
      <c r="DP565" s="33">
        <v>1300</v>
      </c>
      <c r="DQ565" s="33"/>
      <c r="DR565" s="33"/>
      <c r="DS565" s="33">
        <v>260</v>
      </c>
      <c r="DT565" s="33" t="s">
        <v>212</v>
      </c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8"/>
    </row>
    <row r="566" spans="2:137" ht="13.2">
      <c r="B566" s="30" t="str">
        <f t="shared" si="18"/>
        <v>2025/2</v>
      </c>
      <c r="C566" s="31">
        <f t="shared" si="19"/>
        <v>250</v>
      </c>
      <c r="D566" s="32">
        <v>45714</v>
      </c>
      <c r="E566" s="33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3"/>
      <c r="R566" s="33"/>
      <c r="S566" s="33"/>
      <c r="T566" s="33"/>
      <c r="U566" s="35"/>
      <c r="V566" s="36"/>
      <c r="W566" s="37"/>
      <c r="X566" s="34"/>
      <c r="Y566" s="33"/>
      <c r="Z566" s="33"/>
      <c r="AA566" s="33"/>
      <c r="AB566" s="35"/>
      <c r="AC566" s="34"/>
      <c r="AD566" s="34"/>
      <c r="AE566" s="34"/>
      <c r="AF566" s="34"/>
      <c r="AG566" s="34"/>
      <c r="AH566" s="33"/>
      <c r="AI566" s="33"/>
      <c r="AJ566" s="34"/>
      <c r="AK566" s="33"/>
      <c r="AL566" s="33"/>
      <c r="AM566" s="33"/>
      <c r="AN566" s="34"/>
      <c r="AO566" s="34"/>
      <c r="AP566" s="33"/>
      <c r="AQ566" s="34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4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5"/>
      <c r="CC566" s="33"/>
      <c r="CD566" s="33"/>
      <c r="CE566" s="33"/>
      <c r="CF566" s="34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4"/>
      <c r="DA566" s="33"/>
      <c r="DB566" s="33"/>
      <c r="DC566" s="33" t="s">
        <v>251</v>
      </c>
      <c r="DD566" s="33"/>
      <c r="DE566" s="33"/>
      <c r="DF566" s="33"/>
      <c r="DG566" s="33"/>
      <c r="DH566" s="33"/>
      <c r="DI566" s="33"/>
      <c r="DJ566" s="33"/>
      <c r="DK566" s="33"/>
      <c r="DL566" s="33"/>
      <c r="DM566" s="34">
        <v>250</v>
      </c>
      <c r="DN566" s="34"/>
      <c r="DO566" s="33"/>
      <c r="DP566" s="33"/>
      <c r="DQ566" s="33"/>
      <c r="DR566" s="33" t="s">
        <v>208</v>
      </c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8"/>
    </row>
    <row r="567" spans="2:137" ht="13.2">
      <c r="B567" s="30" t="str">
        <f t="shared" si="18"/>
        <v>2025/2</v>
      </c>
      <c r="C567" s="31">
        <f t="shared" si="19"/>
        <v>500</v>
      </c>
      <c r="D567" s="32">
        <v>45715</v>
      </c>
      <c r="E567" s="33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3"/>
      <c r="R567" s="33"/>
      <c r="S567" s="33"/>
      <c r="T567" s="33"/>
      <c r="U567" s="35"/>
      <c r="V567" s="36"/>
      <c r="W567" s="37"/>
      <c r="X567" s="34"/>
      <c r="Y567" s="33"/>
      <c r="Z567" s="33"/>
      <c r="AA567" s="33"/>
      <c r="AB567" s="35"/>
      <c r="AC567" s="34"/>
      <c r="AD567" s="34"/>
      <c r="AE567" s="34"/>
      <c r="AF567" s="34"/>
      <c r="AG567" s="34"/>
      <c r="AH567" s="33"/>
      <c r="AI567" s="33"/>
      <c r="AJ567" s="34"/>
      <c r="AK567" s="33"/>
      <c r="AL567" s="33"/>
      <c r="AM567" s="33"/>
      <c r="AN567" s="34"/>
      <c r="AO567" s="34"/>
      <c r="AP567" s="33"/>
      <c r="AQ567" s="34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4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5"/>
      <c r="CC567" s="33"/>
      <c r="CD567" s="33"/>
      <c r="CE567" s="33"/>
      <c r="CF567" s="34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4"/>
      <c r="DA567" s="33"/>
      <c r="DB567" s="33">
        <v>200</v>
      </c>
      <c r="DC567" s="33"/>
      <c r="DD567" s="33">
        <v>300</v>
      </c>
      <c r="DE567" s="33"/>
      <c r="DF567" s="33"/>
      <c r="DG567" s="33"/>
      <c r="DH567" s="33"/>
      <c r="DI567" s="33"/>
      <c r="DJ567" s="33"/>
      <c r="DK567" s="33"/>
      <c r="DL567" s="33"/>
      <c r="DM567" s="34"/>
      <c r="DN567" s="34"/>
      <c r="DO567" s="33"/>
      <c r="DP567" s="33" t="s">
        <v>212</v>
      </c>
      <c r="DQ567" s="33" t="s">
        <v>227</v>
      </c>
      <c r="DR567" s="33"/>
      <c r="DS567" s="33"/>
      <c r="DT567" s="33" t="s">
        <v>217</v>
      </c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8"/>
    </row>
    <row r="568" spans="2:137" ht="13.2">
      <c r="B568" s="30" t="str">
        <f t="shared" si="18"/>
        <v>2025/2</v>
      </c>
      <c r="C568" s="31">
        <f t="shared" si="19"/>
        <v>300</v>
      </c>
      <c r="D568" s="32">
        <v>45716</v>
      </c>
      <c r="E568" s="33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3"/>
      <c r="R568" s="33"/>
      <c r="S568" s="33"/>
      <c r="T568" s="33"/>
      <c r="U568" s="35"/>
      <c r="V568" s="36"/>
      <c r="W568" s="37"/>
      <c r="X568" s="34"/>
      <c r="Y568" s="33"/>
      <c r="Z568" s="33"/>
      <c r="AA568" s="33"/>
      <c r="AB568" s="35"/>
      <c r="AC568" s="34"/>
      <c r="AD568" s="34"/>
      <c r="AE568" s="34"/>
      <c r="AF568" s="34"/>
      <c r="AG568" s="34"/>
      <c r="AH568" s="33"/>
      <c r="AI568" s="33"/>
      <c r="AJ568" s="34"/>
      <c r="AK568" s="33"/>
      <c r="AL568" s="33"/>
      <c r="AM568" s="33"/>
      <c r="AN568" s="34"/>
      <c r="AO568" s="34"/>
      <c r="AP568" s="33"/>
      <c r="AQ568" s="34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4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5"/>
      <c r="CC568" s="33"/>
      <c r="CD568" s="33"/>
      <c r="CE568" s="33"/>
      <c r="CF568" s="34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4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4"/>
      <c r="DN568" s="34"/>
      <c r="DO568" s="33"/>
      <c r="DP568" s="33"/>
      <c r="DQ568" s="33"/>
      <c r="DR568" s="33"/>
      <c r="DS568" s="33"/>
      <c r="DT568" s="33"/>
      <c r="DU568" s="33">
        <v>300</v>
      </c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8"/>
    </row>
    <row r="569" spans="2:137" ht="13.2">
      <c r="B569" s="30" t="str">
        <f t="shared" si="18"/>
        <v>2025/3</v>
      </c>
      <c r="C569" s="31">
        <f t="shared" si="19"/>
        <v>2660</v>
      </c>
      <c r="D569" s="32">
        <v>45720</v>
      </c>
      <c r="E569" s="33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3"/>
      <c r="R569" s="33"/>
      <c r="S569" s="33"/>
      <c r="T569" s="33"/>
      <c r="U569" s="35"/>
      <c r="V569" s="36"/>
      <c r="W569" s="37"/>
      <c r="X569" s="34"/>
      <c r="Y569" s="33"/>
      <c r="Z569" s="33"/>
      <c r="AA569" s="33"/>
      <c r="AB569" s="35"/>
      <c r="AC569" s="34"/>
      <c r="AD569" s="34"/>
      <c r="AE569" s="34"/>
      <c r="AF569" s="34"/>
      <c r="AG569" s="34"/>
      <c r="AH569" s="33"/>
      <c r="AI569" s="33"/>
      <c r="AJ569" s="34"/>
      <c r="AK569" s="33"/>
      <c r="AL569" s="33"/>
      <c r="AM569" s="33"/>
      <c r="AN569" s="34"/>
      <c r="AO569" s="34"/>
      <c r="AP569" s="33"/>
      <c r="AQ569" s="34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4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5"/>
      <c r="CC569" s="33"/>
      <c r="CD569" s="33"/>
      <c r="CE569" s="33"/>
      <c r="CF569" s="34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4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4">
        <v>500</v>
      </c>
      <c r="DN569" s="34"/>
      <c r="DO569" s="33">
        <v>200</v>
      </c>
      <c r="DP569" s="33"/>
      <c r="DQ569" s="33">
        <v>1960</v>
      </c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8"/>
    </row>
    <row r="570" spans="2:137" ht="13.2">
      <c r="B570" s="30" t="str">
        <f t="shared" si="18"/>
        <v>2025/3</v>
      </c>
      <c r="C570" s="31" t="str">
        <f t="shared" si="19"/>
        <v/>
      </c>
      <c r="D570" s="32">
        <v>45721</v>
      </c>
      <c r="E570" s="33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3"/>
      <c r="R570" s="33"/>
      <c r="S570" s="33"/>
      <c r="T570" s="33"/>
      <c r="U570" s="35"/>
      <c r="V570" s="36"/>
      <c r="W570" s="37"/>
      <c r="X570" s="34"/>
      <c r="Y570" s="33"/>
      <c r="Z570" s="33"/>
      <c r="AA570" s="33"/>
      <c r="AB570" s="35"/>
      <c r="AC570" s="34"/>
      <c r="AD570" s="34"/>
      <c r="AE570" s="34"/>
      <c r="AF570" s="34"/>
      <c r="AG570" s="34"/>
      <c r="AH570" s="33"/>
      <c r="AI570" s="33"/>
      <c r="AJ570" s="34"/>
      <c r="AK570" s="33"/>
      <c r="AL570" s="33"/>
      <c r="AM570" s="33"/>
      <c r="AN570" s="34"/>
      <c r="AO570" s="34"/>
      <c r="AP570" s="33"/>
      <c r="AQ570" s="34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4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5"/>
      <c r="CC570" s="33"/>
      <c r="CD570" s="33"/>
      <c r="CE570" s="33"/>
      <c r="CF570" s="34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4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4"/>
      <c r="DN570" s="34"/>
      <c r="DO570" s="33"/>
      <c r="DP570" s="33"/>
      <c r="DQ570" s="33"/>
      <c r="DR570" s="33" t="s">
        <v>215</v>
      </c>
      <c r="DS570" s="33"/>
      <c r="DT570" s="33" t="s">
        <v>267</v>
      </c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8"/>
    </row>
    <row r="571" spans="2:137" ht="13.2">
      <c r="B571" s="30" t="str">
        <f t="shared" si="18"/>
        <v>2025/3</v>
      </c>
      <c r="C571" s="31">
        <f t="shared" si="19"/>
        <v>3590</v>
      </c>
      <c r="D571" s="32">
        <v>45722</v>
      </c>
      <c r="E571" s="33">
        <v>300</v>
      </c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3"/>
      <c r="R571" s="33"/>
      <c r="S571" s="33"/>
      <c r="T571" s="33"/>
      <c r="U571" s="35"/>
      <c r="V571" s="36"/>
      <c r="W571" s="37"/>
      <c r="X571" s="34"/>
      <c r="Y571" s="33"/>
      <c r="Z571" s="33"/>
      <c r="AA571" s="33"/>
      <c r="AB571" s="35"/>
      <c r="AC571" s="34"/>
      <c r="AD571" s="34"/>
      <c r="AE571" s="34"/>
      <c r="AF571" s="34"/>
      <c r="AG571" s="34"/>
      <c r="AH571" s="33"/>
      <c r="AI571" s="33"/>
      <c r="AJ571" s="34"/>
      <c r="AK571" s="33"/>
      <c r="AL571" s="33"/>
      <c r="AM571" s="33"/>
      <c r="AN571" s="34"/>
      <c r="AO571" s="34"/>
      <c r="AP571" s="33"/>
      <c r="AQ571" s="34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4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5"/>
      <c r="CC571" s="33"/>
      <c r="CD571" s="33"/>
      <c r="CE571" s="33"/>
      <c r="CF571" s="34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4">
        <v>250</v>
      </c>
      <c r="DA571" s="33"/>
      <c r="DB571" s="33">
        <v>260</v>
      </c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4"/>
      <c r="DN571" s="34"/>
      <c r="DO571" s="33">
        <v>200</v>
      </c>
      <c r="DP571" s="33"/>
      <c r="DQ571" s="33"/>
      <c r="DR571" s="33">
        <v>1200</v>
      </c>
      <c r="DS571" s="33">
        <v>260</v>
      </c>
      <c r="DT571" s="33" t="s">
        <v>268</v>
      </c>
      <c r="DU571" s="33">
        <v>1120</v>
      </c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8"/>
    </row>
    <row r="572" spans="2:137" ht="13.2">
      <c r="B572" s="30" t="str">
        <f t="shared" si="18"/>
        <v>2025/3</v>
      </c>
      <c r="C572" s="31">
        <f t="shared" si="19"/>
        <v>2050</v>
      </c>
      <c r="D572" s="32">
        <v>45723</v>
      </c>
      <c r="E572" s="33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3"/>
      <c r="R572" s="33"/>
      <c r="S572" s="33"/>
      <c r="T572" s="33"/>
      <c r="U572" s="35"/>
      <c r="V572" s="36"/>
      <c r="W572" s="37"/>
      <c r="X572" s="34"/>
      <c r="Y572" s="33"/>
      <c r="Z572" s="33"/>
      <c r="AA572" s="33"/>
      <c r="AB572" s="35"/>
      <c r="AC572" s="34"/>
      <c r="AD572" s="34"/>
      <c r="AE572" s="34"/>
      <c r="AF572" s="34"/>
      <c r="AG572" s="34"/>
      <c r="AH572" s="33"/>
      <c r="AI572" s="33"/>
      <c r="AJ572" s="34"/>
      <c r="AK572" s="33"/>
      <c r="AL572" s="33"/>
      <c r="AM572" s="33"/>
      <c r="AN572" s="34"/>
      <c r="AO572" s="34"/>
      <c r="AP572" s="33"/>
      <c r="AQ572" s="34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4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5"/>
      <c r="CC572" s="33"/>
      <c r="CD572" s="33"/>
      <c r="CE572" s="33"/>
      <c r="CF572" s="34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4"/>
      <c r="DA572" s="33"/>
      <c r="DB572" s="33"/>
      <c r="DC572" s="33"/>
      <c r="DD572" s="33">
        <v>300</v>
      </c>
      <c r="DE572" s="33"/>
      <c r="DF572" s="33"/>
      <c r="DG572" s="33"/>
      <c r="DH572" s="33"/>
      <c r="DI572" s="33"/>
      <c r="DJ572" s="33"/>
      <c r="DK572" s="33"/>
      <c r="DL572" s="33"/>
      <c r="DM572" s="34"/>
      <c r="DN572" s="34" t="s">
        <v>269</v>
      </c>
      <c r="DO572" s="33"/>
      <c r="DP572" s="33"/>
      <c r="DQ572" s="33"/>
      <c r="DR572" s="33"/>
      <c r="DS572" s="33"/>
      <c r="DT572" s="33"/>
      <c r="DU572" s="33" t="s">
        <v>215</v>
      </c>
      <c r="DV572" s="33"/>
      <c r="DW572" s="33"/>
      <c r="DX572" s="33"/>
      <c r="DY572" s="33"/>
      <c r="DZ572" s="33"/>
      <c r="EA572" s="33"/>
      <c r="EB572" s="33"/>
      <c r="EC572" s="33"/>
      <c r="ED572" s="33"/>
      <c r="EE572" s="33">
        <v>1750</v>
      </c>
      <c r="EF572" s="33"/>
      <c r="EG572" s="38"/>
    </row>
    <row r="573" spans="2:137" ht="13.2">
      <c r="B573" s="30" t="str">
        <f t="shared" si="18"/>
        <v>2025/3</v>
      </c>
      <c r="C573" s="31">
        <f t="shared" si="19"/>
        <v>280</v>
      </c>
      <c r="D573" s="32">
        <v>45727</v>
      </c>
      <c r="E573" s="33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3"/>
      <c r="R573" s="33"/>
      <c r="S573" s="33"/>
      <c r="T573" s="33"/>
      <c r="U573" s="35"/>
      <c r="V573" s="36"/>
      <c r="W573" s="37"/>
      <c r="X573" s="34"/>
      <c r="Y573" s="33"/>
      <c r="Z573" s="33"/>
      <c r="AA573" s="33"/>
      <c r="AB573" s="35"/>
      <c r="AC573" s="34"/>
      <c r="AD573" s="34"/>
      <c r="AE573" s="34"/>
      <c r="AF573" s="34"/>
      <c r="AG573" s="34"/>
      <c r="AH573" s="33"/>
      <c r="AI573" s="33"/>
      <c r="AJ573" s="34"/>
      <c r="AK573" s="33"/>
      <c r="AL573" s="33"/>
      <c r="AM573" s="33"/>
      <c r="AN573" s="34"/>
      <c r="AO573" s="34"/>
      <c r="AP573" s="33"/>
      <c r="AQ573" s="34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4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5"/>
      <c r="CC573" s="33"/>
      <c r="CD573" s="33"/>
      <c r="CE573" s="33"/>
      <c r="CF573" s="34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>
        <v>280</v>
      </c>
      <c r="CZ573" s="34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4"/>
      <c r="DN573" s="34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8"/>
    </row>
    <row r="574" spans="2:137" ht="13.2">
      <c r="B574" s="30" t="str">
        <f t="shared" si="18"/>
        <v>2025/3</v>
      </c>
      <c r="C574" s="31">
        <f t="shared" si="19"/>
        <v>450</v>
      </c>
      <c r="D574" s="32">
        <v>45728</v>
      </c>
      <c r="E574" s="33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3"/>
      <c r="R574" s="33"/>
      <c r="S574" s="33"/>
      <c r="T574" s="33"/>
      <c r="U574" s="35"/>
      <c r="V574" s="36"/>
      <c r="W574" s="37"/>
      <c r="X574" s="34"/>
      <c r="Y574" s="33"/>
      <c r="Z574" s="33"/>
      <c r="AA574" s="33"/>
      <c r="AB574" s="35"/>
      <c r="AC574" s="34"/>
      <c r="AD574" s="34"/>
      <c r="AE574" s="34"/>
      <c r="AF574" s="34"/>
      <c r="AG574" s="34"/>
      <c r="AH574" s="33"/>
      <c r="AI574" s="33"/>
      <c r="AJ574" s="34"/>
      <c r="AK574" s="33"/>
      <c r="AL574" s="33"/>
      <c r="AM574" s="33"/>
      <c r="AN574" s="34"/>
      <c r="AO574" s="34"/>
      <c r="AP574" s="33"/>
      <c r="AQ574" s="34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4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5"/>
      <c r="CC574" s="33"/>
      <c r="CD574" s="33"/>
      <c r="CE574" s="33"/>
      <c r="CF574" s="34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4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4">
        <v>250</v>
      </c>
      <c r="DN574" s="34"/>
      <c r="DO574" s="33">
        <v>200</v>
      </c>
      <c r="DP574" s="33"/>
      <c r="DQ574" s="33" t="s">
        <v>215</v>
      </c>
      <c r="DR574" s="33" t="s">
        <v>216</v>
      </c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8"/>
    </row>
    <row r="575" spans="2:137" ht="13.2">
      <c r="B575" s="30" t="str">
        <f t="shared" si="18"/>
        <v>2025/3</v>
      </c>
      <c r="C575" s="31">
        <f t="shared" si="19"/>
        <v>1070</v>
      </c>
      <c r="D575" s="32">
        <v>45729</v>
      </c>
      <c r="E575" s="33">
        <v>300</v>
      </c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3"/>
      <c r="R575" s="33"/>
      <c r="S575" s="33"/>
      <c r="T575" s="33"/>
      <c r="U575" s="35"/>
      <c r="V575" s="36"/>
      <c r="W575" s="37"/>
      <c r="X575" s="34"/>
      <c r="Y575" s="33"/>
      <c r="Z575" s="33"/>
      <c r="AA575" s="33"/>
      <c r="AB575" s="35"/>
      <c r="AC575" s="34"/>
      <c r="AD575" s="34"/>
      <c r="AE575" s="34"/>
      <c r="AF575" s="34"/>
      <c r="AG575" s="34"/>
      <c r="AH575" s="33"/>
      <c r="AI575" s="33"/>
      <c r="AJ575" s="34"/>
      <c r="AK575" s="33"/>
      <c r="AL575" s="33"/>
      <c r="AM575" s="33"/>
      <c r="AN575" s="34"/>
      <c r="AO575" s="34"/>
      <c r="AP575" s="33"/>
      <c r="AQ575" s="34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4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5"/>
      <c r="CC575" s="33"/>
      <c r="CD575" s="33"/>
      <c r="CE575" s="33"/>
      <c r="CF575" s="34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4"/>
      <c r="DA575" s="33"/>
      <c r="DB575" s="33">
        <v>200</v>
      </c>
      <c r="DC575" s="33" t="s">
        <v>270</v>
      </c>
      <c r="DD575" s="33">
        <v>300</v>
      </c>
      <c r="DE575" s="33"/>
      <c r="DF575" s="33"/>
      <c r="DG575" s="33"/>
      <c r="DH575" s="33">
        <v>270</v>
      </c>
      <c r="DI575" s="33"/>
      <c r="DJ575" s="33"/>
      <c r="DK575" s="33"/>
      <c r="DL575" s="33"/>
      <c r="DM575" s="34"/>
      <c r="DN575" s="34" t="s">
        <v>271</v>
      </c>
      <c r="DO575" s="33"/>
      <c r="DP575" s="33"/>
      <c r="DQ575" s="33" t="s">
        <v>216</v>
      </c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8"/>
    </row>
    <row r="576" spans="2:137" ht="13.2">
      <c r="B576" s="30" t="str">
        <f t="shared" si="18"/>
        <v>2025/3</v>
      </c>
      <c r="C576" s="31">
        <f t="shared" si="19"/>
        <v>270</v>
      </c>
      <c r="D576" s="32">
        <v>45730</v>
      </c>
      <c r="E576" s="33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3"/>
      <c r="R576" s="33"/>
      <c r="S576" s="33"/>
      <c r="T576" s="33"/>
      <c r="U576" s="35"/>
      <c r="V576" s="36"/>
      <c r="W576" s="37"/>
      <c r="X576" s="34"/>
      <c r="Y576" s="33"/>
      <c r="Z576" s="33"/>
      <c r="AA576" s="33"/>
      <c r="AB576" s="35"/>
      <c r="AC576" s="34"/>
      <c r="AD576" s="34"/>
      <c r="AE576" s="34"/>
      <c r="AF576" s="34"/>
      <c r="AG576" s="34"/>
      <c r="AH576" s="33"/>
      <c r="AI576" s="33"/>
      <c r="AJ576" s="34"/>
      <c r="AK576" s="33"/>
      <c r="AL576" s="33"/>
      <c r="AM576" s="33"/>
      <c r="AN576" s="34"/>
      <c r="AO576" s="34"/>
      <c r="AP576" s="33"/>
      <c r="AQ576" s="34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4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5"/>
      <c r="CC576" s="33"/>
      <c r="CD576" s="33"/>
      <c r="CE576" s="33"/>
      <c r="CF576" s="34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>
        <v>270</v>
      </c>
      <c r="CV576" s="33"/>
      <c r="CW576" s="33"/>
      <c r="CX576" s="33"/>
      <c r="CY576" s="33"/>
      <c r="CZ576" s="34"/>
      <c r="DA576" s="33" t="s">
        <v>272</v>
      </c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4"/>
      <c r="DN576" s="34"/>
      <c r="DO576" s="33"/>
      <c r="DP576" s="33"/>
      <c r="DQ576" s="33"/>
      <c r="DR576" s="33"/>
      <c r="DS576" s="33"/>
      <c r="DT576" s="33"/>
      <c r="DU576" s="33" t="s">
        <v>216</v>
      </c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8"/>
    </row>
    <row r="577" spans="2:137" ht="13.2">
      <c r="B577" s="30" t="str">
        <f t="shared" si="18"/>
        <v>2025/3</v>
      </c>
      <c r="C577" s="31">
        <f t="shared" si="19"/>
        <v>3345</v>
      </c>
      <c r="D577" s="32">
        <v>45734</v>
      </c>
      <c r="E577" s="33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3"/>
      <c r="R577" s="33"/>
      <c r="S577" s="33"/>
      <c r="T577" s="33"/>
      <c r="U577" s="35"/>
      <c r="V577" s="36"/>
      <c r="W577" s="37"/>
      <c r="X577" s="34"/>
      <c r="Y577" s="33"/>
      <c r="Z577" s="33"/>
      <c r="AA577" s="33"/>
      <c r="AB577" s="35"/>
      <c r="AC577" s="34"/>
      <c r="AD577" s="34"/>
      <c r="AE577" s="34"/>
      <c r="AF577" s="34"/>
      <c r="AG577" s="34"/>
      <c r="AH577" s="33"/>
      <c r="AI577" s="33"/>
      <c r="AJ577" s="34"/>
      <c r="AK577" s="33"/>
      <c r="AL577" s="33"/>
      <c r="AM577" s="33"/>
      <c r="AN577" s="34"/>
      <c r="AO577" s="34"/>
      <c r="AP577" s="33"/>
      <c r="AQ577" s="34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4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5"/>
      <c r="CC577" s="33"/>
      <c r="CD577" s="33"/>
      <c r="CE577" s="33"/>
      <c r="CF577" s="34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4"/>
      <c r="DA577" s="33"/>
      <c r="DB577" s="33"/>
      <c r="DC577" s="33"/>
      <c r="DD577" s="33"/>
      <c r="DE577" s="33"/>
      <c r="DF577" s="33"/>
      <c r="DG577" s="33"/>
      <c r="DH577" s="33">
        <v>270</v>
      </c>
      <c r="DI577" s="33"/>
      <c r="DJ577" s="33"/>
      <c r="DK577" s="33"/>
      <c r="DL577" s="33"/>
      <c r="DM577" s="34"/>
      <c r="DN577" s="34">
        <v>675</v>
      </c>
      <c r="DO577" s="33"/>
      <c r="DP577" s="33"/>
      <c r="DQ577" s="33"/>
      <c r="DR577" s="33"/>
      <c r="DS577" s="33"/>
      <c r="DT577" s="33">
        <v>2400</v>
      </c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8"/>
    </row>
    <row r="578" spans="2:137" ht="13.2">
      <c r="B578" s="30" t="str">
        <f t="shared" si="18"/>
        <v>2025/3</v>
      </c>
      <c r="C578" s="31">
        <f t="shared" si="19"/>
        <v>1050</v>
      </c>
      <c r="D578" s="32">
        <v>45735</v>
      </c>
      <c r="E578" s="33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3"/>
      <c r="R578" s="33"/>
      <c r="S578" s="33"/>
      <c r="T578" s="33"/>
      <c r="U578" s="35"/>
      <c r="V578" s="36"/>
      <c r="W578" s="37"/>
      <c r="X578" s="34"/>
      <c r="Y578" s="33"/>
      <c r="Z578" s="33"/>
      <c r="AA578" s="33"/>
      <c r="AB578" s="35"/>
      <c r="AC578" s="34"/>
      <c r="AD578" s="34"/>
      <c r="AE578" s="34"/>
      <c r="AF578" s="34"/>
      <c r="AG578" s="34"/>
      <c r="AH578" s="33"/>
      <c r="AI578" s="33"/>
      <c r="AJ578" s="34"/>
      <c r="AK578" s="33"/>
      <c r="AL578" s="33"/>
      <c r="AM578" s="33"/>
      <c r="AN578" s="34"/>
      <c r="AO578" s="34"/>
      <c r="AP578" s="33"/>
      <c r="AQ578" s="34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4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5"/>
      <c r="CC578" s="33"/>
      <c r="CD578" s="33"/>
      <c r="CE578" s="33"/>
      <c r="CF578" s="34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>
        <v>280</v>
      </c>
      <c r="CZ578" s="34"/>
      <c r="DA578" s="33" t="s">
        <v>273</v>
      </c>
      <c r="DB578" s="33">
        <v>260</v>
      </c>
      <c r="DC578" s="33"/>
      <c r="DD578" s="33" t="s">
        <v>274</v>
      </c>
      <c r="DE578" s="33"/>
      <c r="DF578" s="33"/>
      <c r="DG578" s="33"/>
      <c r="DH578" s="33"/>
      <c r="DI578" s="33"/>
      <c r="DJ578" s="33"/>
      <c r="DK578" s="33"/>
      <c r="DL578" s="33"/>
      <c r="DM578" s="34">
        <v>250</v>
      </c>
      <c r="DN578" s="34"/>
      <c r="DO578" s="33"/>
      <c r="DP578" s="33"/>
      <c r="DQ578" s="33"/>
      <c r="DR578" s="33" t="s">
        <v>217</v>
      </c>
      <c r="DS578" s="33">
        <v>260</v>
      </c>
      <c r="DT578" s="33" t="s">
        <v>217</v>
      </c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8"/>
    </row>
    <row r="579" spans="2:137" ht="13.2">
      <c r="B579" s="30" t="str">
        <f t="shared" si="18"/>
        <v>2025/3</v>
      </c>
      <c r="C579" s="31">
        <f t="shared" si="19"/>
        <v>500</v>
      </c>
      <c r="D579" s="32">
        <v>45736</v>
      </c>
      <c r="E579" s="33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3"/>
      <c r="R579" s="33"/>
      <c r="S579" s="33"/>
      <c r="T579" s="33"/>
      <c r="U579" s="35"/>
      <c r="V579" s="36"/>
      <c r="W579" s="37"/>
      <c r="X579" s="34"/>
      <c r="Y579" s="33"/>
      <c r="Z579" s="33"/>
      <c r="AA579" s="33"/>
      <c r="AB579" s="35"/>
      <c r="AC579" s="34"/>
      <c r="AD579" s="34"/>
      <c r="AE579" s="34"/>
      <c r="AF579" s="34"/>
      <c r="AG579" s="34"/>
      <c r="AH579" s="33"/>
      <c r="AI579" s="33"/>
      <c r="AJ579" s="34"/>
      <c r="AK579" s="33"/>
      <c r="AL579" s="33"/>
      <c r="AM579" s="33"/>
      <c r="AN579" s="34"/>
      <c r="AO579" s="34"/>
      <c r="AP579" s="33"/>
      <c r="AQ579" s="34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4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5"/>
      <c r="CC579" s="33"/>
      <c r="CD579" s="33"/>
      <c r="CE579" s="33"/>
      <c r="CF579" s="34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4"/>
      <c r="DA579" s="33"/>
      <c r="DB579" s="33"/>
      <c r="DC579" s="33" t="s">
        <v>275</v>
      </c>
      <c r="DD579" s="33">
        <v>300</v>
      </c>
      <c r="DE579" s="33"/>
      <c r="DF579" s="33"/>
      <c r="DG579" s="33"/>
      <c r="DH579" s="33"/>
      <c r="DI579" s="33"/>
      <c r="DJ579" s="33"/>
      <c r="DK579" s="33"/>
      <c r="DL579" s="33"/>
      <c r="DM579" s="34"/>
      <c r="DN579" s="34"/>
      <c r="DO579" s="33">
        <v>200</v>
      </c>
      <c r="DP579" s="33" t="s">
        <v>217</v>
      </c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8"/>
    </row>
    <row r="580" spans="2:137" ht="13.2">
      <c r="B580" s="30" t="str">
        <f t="shared" ref="B580:B643" si="20">IF(D580&gt;0, CONCATENATE(YEAR(D580),"/",MONTH(D580)),"")</f>
        <v>2025/3</v>
      </c>
      <c r="C580" s="31">
        <f t="shared" ref="C580:C643" si="21">IF(SUM(E580:EG580)=0,"",SUM(E580:EG580))</f>
        <v>250</v>
      </c>
      <c r="D580" s="32">
        <v>45737</v>
      </c>
      <c r="E580" s="33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3"/>
      <c r="R580" s="33"/>
      <c r="S580" s="33"/>
      <c r="T580" s="33"/>
      <c r="U580" s="35"/>
      <c r="V580" s="36"/>
      <c r="W580" s="37"/>
      <c r="X580" s="34"/>
      <c r="Y580" s="33"/>
      <c r="Z580" s="33"/>
      <c r="AA580" s="33"/>
      <c r="AB580" s="35"/>
      <c r="AC580" s="34"/>
      <c r="AD580" s="34"/>
      <c r="AE580" s="34"/>
      <c r="AF580" s="34"/>
      <c r="AG580" s="34"/>
      <c r="AH580" s="33"/>
      <c r="AI580" s="33"/>
      <c r="AJ580" s="34"/>
      <c r="AK580" s="33"/>
      <c r="AL580" s="33"/>
      <c r="AM580" s="33"/>
      <c r="AN580" s="34"/>
      <c r="AO580" s="34"/>
      <c r="AP580" s="33"/>
      <c r="AQ580" s="34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4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5"/>
      <c r="CC580" s="33"/>
      <c r="CD580" s="33"/>
      <c r="CE580" s="33"/>
      <c r="CF580" s="34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4">
        <v>250</v>
      </c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4"/>
      <c r="DN580" s="34" t="s">
        <v>276</v>
      </c>
      <c r="DO580" s="33"/>
      <c r="DP580" s="33"/>
      <c r="DQ580" s="33"/>
      <c r="DR580" s="33"/>
      <c r="DS580" s="33"/>
      <c r="DT580" s="33" t="s">
        <v>277</v>
      </c>
      <c r="DU580" s="33" t="s">
        <v>217</v>
      </c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8"/>
    </row>
    <row r="581" spans="2:137" ht="13.2">
      <c r="B581" s="30" t="str">
        <f t="shared" si="20"/>
        <v>2025/3</v>
      </c>
      <c r="C581" s="31">
        <f t="shared" si="21"/>
        <v>175</v>
      </c>
      <c r="D581" s="32">
        <v>45740</v>
      </c>
      <c r="E581" s="33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3"/>
      <c r="R581" s="33"/>
      <c r="S581" s="33"/>
      <c r="T581" s="33"/>
      <c r="U581" s="35"/>
      <c r="V581" s="36"/>
      <c r="W581" s="37"/>
      <c r="X581" s="34"/>
      <c r="Y581" s="33"/>
      <c r="Z581" s="33"/>
      <c r="AA581" s="33"/>
      <c r="AB581" s="35"/>
      <c r="AC581" s="34"/>
      <c r="AD581" s="34"/>
      <c r="AE581" s="34"/>
      <c r="AF581" s="34"/>
      <c r="AG581" s="34"/>
      <c r="AH581" s="33"/>
      <c r="AI581" s="33"/>
      <c r="AJ581" s="34"/>
      <c r="AK581" s="33"/>
      <c r="AL581" s="33"/>
      <c r="AM581" s="33"/>
      <c r="AN581" s="34"/>
      <c r="AO581" s="34"/>
      <c r="AP581" s="33"/>
      <c r="AQ581" s="34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4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5"/>
      <c r="CC581" s="33"/>
      <c r="CD581" s="33"/>
      <c r="CE581" s="33"/>
      <c r="CF581" s="34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4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4">
        <v>175</v>
      </c>
      <c r="DN581" s="34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8"/>
    </row>
    <row r="582" spans="2:137" ht="13.2">
      <c r="B582" s="30" t="str">
        <f t="shared" si="20"/>
        <v>2025/3</v>
      </c>
      <c r="C582" s="31">
        <f t="shared" si="21"/>
        <v>510</v>
      </c>
      <c r="D582" s="32">
        <v>45742</v>
      </c>
      <c r="E582" s="33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3"/>
      <c r="R582" s="33"/>
      <c r="S582" s="33"/>
      <c r="T582" s="33"/>
      <c r="U582" s="35"/>
      <c r="V582" s="36"/>
      <c r="W582" s="37"/>
      <c r="X582" s="34"/>
      <c r="Y582" s="33"/>
      <c r="Z582" s="33"/>
      <c r="AA582" s="33"/>
      <c r="AB582" s="35"/>
      <c r="AC582" s="34"/>
      <c r="AD582" s="34"/>
      <c r="AE582" s="34"/>
      <c r="AF582" s="34"/>
      <c r="AG582" s="34"/>
      <c r="AH582" s="33"/>
      <c r="AI582" s="33"/>
      <c r="AJ582" s="34"/>
      <c r="AK582" s="33"/>
      <c r="AL582" s="33"/>
      <c r="AM582" s="33"/>
      <c r="AN582" s="34"/>
      <c r="AO582" s="34"/>
      <c r="AP582" s="33"/>
      <c r="AQ582" s="34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4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5"/>
      <c r="CC582" s="33"/>
      <c r="CD582" s="33"/>
      <c r="CE582" s="33"/>
      <c r="CF582" s="34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4"/>
      <c r="DA582" s="33"/>
      <c r="DB582" s="33"/>
      <c r="DC582" s="33"/>
      <c r="DD582" s="33"/>
      <c r="DE582" s="33"/>
      <c r="DF582" s="33"/>
      <c r="DG582" s="33"/>
      <c r="DH582" s="33" t="s">
        <v>278</v>
      </c>
      <c r="DI582" s="33"/>
      <c r="DJ582" s="33"/>
      <c r="DK582" s="33"/>
      <c r="DL582" s="33"/>
      <c r="DM582" s="34">
        <v>250</v>
      </c>
      <c r="DN582" s="34"/>
      <c r="DO582" s="33" t="s">
        <v>227</v>
      </c>
      <c r="DP582" s="33"/>
      <c r="DQ582" s="33"/>
      <c r="DR582" s="33" t="s">
        <v>218</v>
      </c>
      <c r="DS582" s="33">
        <v>260</v>
      </c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8"/>
    </row>
    <row r="583" spans="2:137" ht="13.2">
      <c r="B583" s="30" t="str">
        <f t="shared" si="20"/>
        <v>2025/3</v>
      </c>
      <c r="C583" s="31">
        <f t="shared" si="21"/>
        <v>1690</v>
      </c>
      <c r="D583" s="32">
        <v>45743</v>
      </c>
      <c r="E583" s="33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3"/>
      <c r="R583" s="33"/>
      <c r="S583" s="33"/>
      <c r="T583" s="33"/>
      <c r="U583" s="35"/>
      <c r="V583" s="36"/>
      <c r="W583" s="37"/>
      <c r="X583" s="34"/>
      <c r="Y583" s="33"/>
      <c r="Z583" s="33"/>
      <c r="AA583" s="33"/>
      <c r="AB583" s="35"/>
      <c r="AC583" s="34"/>
      <c r="AD583" s="34"/>
      <c r="AE583" s="34"/>
      <c r="AF583" s="34"/>
      <c r="AG583" s="34"/>
      <c r="AH583" s="33"/>
      <c r="AI583" s="33"/>
      <c r="AJ583" s="34"/>
      <c r="AK583" s="33"/>
      <c r="AL583" s="33"/>
      <c r="AM583" s="33"/>
      <c r="AN583" s="34"/>
      <c r="AO583" s="34"/>
      <c r="AP583" s="33"/>
      <c r="AQ583" s="34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4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5"/>
      <c r="CC583" s="33"/>
      <c r="CD583" s="33"/>
      <c r="CE583" s="33"/>
      <c r="CF583" s="34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4"/>
      <c r="DA583" s="33"/>
      <c r="DB583" s="33"/>
      <c r="DC583" s="33"/>
      <c r="DD583" s="33">
        <v>300</v>
      </c>
      <c r="DE583" s="33"/>
      <c r="DF583" s="33"/>
      <c r="DG583" s="33"/>
      <c r="DH583" s="33">
        <v>270</v>
      </c>
      <c r="DI583" s="33"/>
      <c r="DJ583" s="33"/>
      <c r="DK583" s="33"/>
      <c r="DL583" s="33"/>
      <c r="DM583" s="34"/>
      <c r="DN583" s="34" t="s">
        <v>269</v>
      </c>
      <c r="DO583" s="33"/>
      <c r="DP583" s="33" t="s">
        <v>277</v>
      </c>
      <c r="DQ583" s="33">
        <v>1120</v>
      </c>
      <c r="DR583" s="33"/>
      <c r="DS583" s="33"/>
      <c r="DT583" s="33" t="s">
        <v>279</v>
      </c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8"/>
    </row>
    <row r="584" spans="2:137" ht="13.2">
      <c r="B584" s="30" t="str">
        <f t="shared" si="20"/>
        <v>2025/3</v>
      </c>
      <c r="C584" s="31">
        <f t="shared" si="21"/>
        <v>1040</v>
      </c>
      <c r="D584" s="32">
        <v>45744</v>
      </c>
      <c r="E584" s="33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3"/>
      <c r="R584" s="33"/>
      <c r="S584" s="33"/>
      <c r="T584" s="33"/>
      <c r="U584" s="35"/>
      <c r="V584" s="36"/>
      <c r="W584" s="37"/>
      <c r="X584" s="34"/>
      <c r="Y584" s="33"/>
      <c r="Z584" s="33"/>
      <c r="AA584" s="33"/>
      <c r="AB584" s="35"/>
      <c r="AC584" s="34"/>
      <c r="AD584" s="34"/>
      <c r="AE584" s="34"/>
      <c r="AF584" s="34"/>
      <c r="AG584" s="34"/>
      <c r="AH584" s="33"/>
      <c r="AI584" s="33"/>
      <c r="AJ584" s="34"/>
      <c r="AK584" s="33"/>
      <c r="AL584" s="33"/>
      <c r="AM584" s="33"/>
      <c r="AN584" s="34"/>
      <c r="AO584" s="34"/>
      <c r="AP584" s="33"/>
      <c r="AQ584" s="34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4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5"/>
      <c r="CC584" s="33"/>
      <c r="CD584" s="33"/>
      <c r="CE584" s="33"/>
      <c r="CF584" s="34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4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4"/>
      <c r="DN584" s="34"/>
      <c r="DO584" s="33"/>
      <c r="DP584" s="33">
        <v>1040</v>
      </c>
      <c r="DQ584" s="33" t="s">
        <v>217</v>
      </c>
      <c r="DR584" s="33"/>
      <c r="DS584" s="33"/>
      <c r="DT584" s="33" t="s">
        <v>280</v>
      </c>
      <c r="DU584" s="33" t="s">
        <v>218</v>
      </c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8"/>
    </row>
    <row r="585" spans="2:137" ht="13.2">
      <c r="B585" s="30" t="str">
        <f t="shared" si="20"/>
        <v>2025/4</v>
      </c>
      <c r="C585" s="31">
        <f t="shared" si="21"/>
        <v>1780</v>
      </c>
      <c r="D585" s="32">
        <v>45749</v>
      </c>
      <c r="E585" s="33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3"/>
      <c r="R585" s="33"/>
      <c r="S585" s="33"/>
      <c r="T585" s="33"/>
      <c r="U585" s="35"/>
      <c r="V585" s="36"/>
      <c r="W585" s="37"/>
      <c r="X585" s="34"/>
      <c r="Y585" s="33"/>
      <c r="Z585" s="33"/>
      <c r="AA585" s="33"/>
      <c r="AB585" s="35"/>
      <c r="AC585" s="34"/>
      <c r="AD585" s="34"/>
      <c r="AE585" s="34"/>
      <c r="AF585" s="34"/>
      <c r="AG585" s="34"/>
      <c r="AH585" s="33"/>
      <c r="AI585" s="33"/>
      <c r="AJ585" s="34"/>
      <c r="AK585" s="33"/>
      <c r="AL585" s="33"/>
      <c r="AM585" s="33"/>
      <c r="AN585" s="34"/>
      <c r="AO585" s="34"/>
      <c r="AP585" s="33"/>
      <c r="AQ585" s="34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4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5"/>
      <c r="CC585" s="33"/>
      <c r="CD585" s="33"/>
      <c r="CE585" s="33"/>
      <c r="CF585" s="34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4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4"/>
      <c r="DN585" s="34"/>
      <c r="DO585" s="33">
        <v>400</v>
      </c>
      <c r="DP585" s="33"/>
      <c r="DQ585" s="33"/>
      <c r="DR585" s="33" t="s">
        <v>276</v>
      </c>
      <c r="DS585" s="33">
        <v>260</v>
      </c>
      <c r="DT585" s="33" t="s">
        <v>281</v>
      </c>
      <c r="DU585" s="33">
        <v>1120</v>
      </c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8"/>
    </row>
    <row r="586" spans="2:137" ht="13.2">
      <c r="B586" s="30" t="str">
        <f t="shared" si="20"/>
        <v>2025/4</v>
      </c>
      <c r="C586" s="31">
        <f t="shared" si="21"/>
        <v>2000</v>
      </c>
      <c r="D586" s="32">
        <v>45750</v>
      </c>
      <c r="E586" s="33">
        <v>300</v>
      </c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3"/>
      <c r="R586" s="33"/>
      <c r="S586" s="33"/>
      <c r="T586" s="33"/>
      <c r="U586" s="35"/>
      <c r="V586" s="36"/>
      <c r="W586" s="37"/>
      <c r="X586" s="34"/>
      <c r="Y586" s="33"/>
      <c r="Z586" s="33"/>
      <c r="AA586" s="33"/>
      <c r="AB586" s="35"/>
      <c r="AC586" s="34"/>
      <c r="AD586" s="34"/>
      <c r="AE586" s="34"/>
      <c r="AF586" s="34"/>
      <c r="AG586" s="34"/>
      <c r="AH586" s="33"/>
      <c r="AI586" s="33"/>
      <c r="AJ586" s="34"/>
      <c r="AK586" s="33"/>
      <c r="AL586" s="33"/>
      <c r="AM586" s="33"/>
      <c r="AN586" s="34"/>
      <c r="AO586" s="34"/>
      <c r="AP586" s="33"/>
      <c r="AQ586" s="34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4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5"/>
      <c r="CC586" s="33"/>
      <c r="CD586" s="33"/>
      <c r="CE586" s="33"/>
      <c r="CF586" s="34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4"/>
      <c r="DA586" s="33"/>
      <c r="DB586" s="33">
        <v>200</v>
      </c>
      <c r="DC586" s="33" t="s">
        <v>282</v>
      </c>
      <c r="DD586" s="33">
        <v>300</v>
      </c>
      <c r="DE586" s="33"/>
      <c r="DF586" s="33"/>
      <c r="DG586" s="33"/>
      <c r="DH586" s="33"/>
      <c r="DI586" s="33"/>
      <c r="DJ586" s="33"/>
      <c r="DK586" s="33"/>
      <c r="DL586" s="33"/>
      <c r="DM586" s="34"/>
      <c r="DN586" s="34"/>
      <c r="DO586" s="33"/>
      <c r="DP586" s="33" t="s">
        <v>215</v>
      </c>
      <c r="DQ586" s="33"/>
      <c r="DR586" s="33">
        <v>1200</v>
      </c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8"/>
    </row>
    <row r="587" spans="2:137" ht="13.2">
      <c r="B587" s="30" t="str">
        <f t="shared" si="20"/>
        <v>2025/4</v>
      </c>
      <c r="C587" s="31">
        <f t="shared" si="21"/>
        <v>500</v>
      </c>
      <c r="D587" s="32">
        <v>45751</v>
      </c>
      <c r="E587" s="33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3"/>
      <c r="R587" s="33"/>
      <c r="S587" s="33"/>
      <c r="T587" s="33"/>
      <c r="U587" s="35"/>
      <c r="V587" s="36"/>
      <c r="W587" s="37"/>
      <c r="X587" s="34"/>
      <c r="Y587" s="33"/>
      <c r="Z587" s="33"/>
      <c r="AA587" s="33"/>
      <c r="AB587" s="35"/>
      <c r="AC587" s="34"/>
      <c r="AD587" s="34"/>
      <c r="AE587" s="34"/>
      <c r="AF587" s="34"/>
      <c r="AG587" s="34"/>
      <c r="AH587" s="33"/>
      <c r="AI587" s="33"/>
      <c r="AJ587" s="34"/>
      <c r="AK587" s="33"/>
      <c r="AL587" s="33"/>
      <c r="AM587" s="33"/>
      <c r="AN587" s="34"/>
      <c r="AO587" s="34"/>
      <c r="AP587" s="33"/>
      <c r="AQ587" s="34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4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5"/>
      <c r="CC587" s="33"/>
      <c r="CD587" s="33"/>
      <c r="CE587" s="33"/>
      <c r="CF587" s="34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4">
        <v>250</v>
      </c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4">
        <v>250</v>
      </c>
      <c r="DN587" s="34" t="s">
        <v>271</v>
      </c>
      <c r="DO587" s="33"/>
      <c r="DP587" s="33"/>
      <c r="DQ587" s="33" t="s">
        <v>283</v>
      </c>
      <c r="DR587" s="33"/>
      <c r="DS587" s="33"/>
      <c r="DT587" s="33" t="s">
        <v>215</v>
      </c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8"/>
    </row>
    <row r="588" spans="2:137" ht="13.2">
      <c r="B588" s="30" t="str">
        <f t="shared" si="20"/>
        <v>2025/4</v>
      </c>
      <c r="C588" s="31">
        <f t="shared" si="21"/>
        <v>2210</v>
      </c>
      <c r="D588" s="32">
        <v>45756</v>
      </c>
      <c r="E588" s="33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3"/>
      <c r="R588" s="33"/>
      <c r="S588" s="33"/>
      <c r="T588" s="33"/>
      <c r="U588" s="35"/>
      <c r="V588" s="36"/>
      <c r="W588" s="37"/>
      <c r="X588" s="34"/>
      <c r="Y588" s="33"/>
      <c r="Z588" s="33"/>
      <c r="AA588" s="33"/>
      <c r="AB588" s="35"/>
      <c r="AC588" s="34"/>
      <c r="AD588" s="34"/>
      <c r="AE588" s="34"/>
      <c r="AF588" s="34"/>
      <c r="AG588" s="34"/>
      <c r="AH588" s="33"/>
      <c r="AI588" s="33"/>
      <c r="AJ588" s="34"/>
      <c r="AK588" s="33"/>
      <c r="AL588" s="33"/>
      <c r="AM588" s="33"/>
      <c r="AN588" s="34"/>
      <c r="AO588" s="34"/>
      <c r="AP588" s="33"/>
      <c r="AQ588" s="34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4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5"/>
      <c r="CC588" s="33"/>
      <c r="CD588" s="33"/>
      <c r="CE588" s="33"/>
      <c r="CF588" s="34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4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4"/>
      <c r="DN588" s="34"/>
      <c r="DO588" s="33">
        <v>200</v>
      </c>
      <c r="DP588" s="33"/>
      <c r="DQ588" s="33"/>
      <c r="DR588" s="33" t="s">
        <v>216</v>
      </c>
      <c r="DS588" s="33">
        <v>260</v>
      </c>
      <c r="DT588" s="33" t="s">
        <v>216</v>
      </c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>
        <v>1750</v>
      </c>
      <c r="EF588" s="33"/>
      <c r="EG588" s="38"/>
    </row>
    <row r="589" spans="2:137" ht="13.2">
      <c r="B589" s="30" t="str">
        <f t="shared" si="20"/>
        <v>2025/4</v>
      </c>
      <c r="C589" s="31">
        <f t="shared" si="21"/>
        <v>2270</v>
      </c>
      <c r="D589" s="32">
        <v>45757</v>
      </c>
      <c r="E589" s="33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3"/>
      <c r="R589" s="33"/>
      <c r="S589" s="33"/>
      <c r="T589" s="33"/>
      <c r="U589" s="35"/>
      <c r="V589" s="36"/>
      <c r="W589" s="37"/>
      <c r="X589" s="34"/>
      <c r="Y589" s="33"/>
      <c r="Z589" s="33"/>
      <c r="AA589" s="33"/>
      <c r="AB589" s="35"/>
      <c r="AC589" s="34"/>
      <c r="AD589" s="34"/>
      <c r="AE589" s="34"/>
      <c r="AF589" s="34"/>
      <c r="AG589" s="34"/>
      <c r="AH589" s="33"/>
      <c r="AI589" s="33"/>
      <c r="AJ589" s="34"/>
      <c r="AK589" s="33"/>
      <c r="AL589" s="33"/>
      <c r="AM589" s="33"/>
      <c r="AN589" s="34"/>
      <c r="AO589" s="34"/>
      <c r="AP589" s="33"/>
      <c r="AQ589" s="34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4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5"/>
      <c r="CC589" s="33"/>
      <c r="CD589" s="33"/>
      <c r="CE589" s="33"/>
      <c r="CF589" s="34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4"/>
      <c r="DA589" s="33" t="s">
        <v>284</v>
      </c>
      <c r="DB589" s="33">
        <v>260</v>
      </c>
      <c r="DC589" s="33"/>
      <c r="DD589" s="33">
        <v>300</v>
      </c>
      <c r="DE589" s="33"/>
      <c r="DF589" s="33"/>
      <c r="DG589" s="33"/>
      <c r="DH589" s="33">
        <v>270</v>
      </c>
      <c r="DI589" s="33"/>
      <c r="DJ589" s="33"/>
      <c r="DK589" s="33"/>
      <c r="DL589" s="33"/>
      <c r="DM589" s="34"/>
      <c r="DN589" s="34"/>
      <c r="DO589" s="33"/>
      <c r="DP589" s="33" t="s">
        <v>216</v>
      </c>
      <c r="DQ589" s="33" t="s">
        <v>215</v>
      </c>
      <c r="DR589" s="33"/>
      <c r="DS589" s="33"/>
      <c r="DT589" s="33">
        <v>1440</v>
      </c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8"/>
    </row>
    <row r="590" spans="2:137" ht="13.2">
      <c r="B590" s="30" t="str">
        <f t="shared" si="20"/>
        <v>2025/4</v>
      </c>
      <c r="C590" s="31" t="str">
        <f t="shared" si="21"/>
        <v/>
      </c>
      <c r="D590" s="32">
        <v>45758</v>
      </c>
      <c r="E590" s="33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3"/>
      <c r="R590" s="33"/>
      <c r="S590" s="33"/>
      <c r="T590" s="33"/>
      <c r="U590" s="35"/>
      <c r="V590" s="36"/>
      <c r="W590" s="37"/>
      <c r="X590" s="34"/>
      <c r="Y590" s="33"/>
      <c r="Z590" s="33"/>
      <c r="AA590" s="33"/>
      <c r="AB590" s="35"/>
      <c r="AC590" s="34"/>
      <c r="AD590" s="34"/>
      <c r="AE590" s="34"/>
      <c r="AF590" s="34"/>
      <c r="AG590" s="34"/>
      <c r="AH590" s="33"/>
      <c r="AI590" s="33"/>
      <c r="AJ590" s="34"/>
      <c r="AK590" s="33"/>
      <c r="AL590" s="33"/>
      <c r="AM590" s="33"/>
      <c r="AN590" s="34"/>
      <c r="AO590" s="34"/>
      <c r="AP590" s="33"/>
      <c r="AQ590" s="34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4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5"/>
      <c r="CC590" s="33"/>
      <c r="CD590" s="33"/>
      <c r="CE590" s="33"/>
      <c r="CF590" s="34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4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4"/>
      <c r="DN590" s="34"/>
      <c r="DO590" s="33"/>
      <c r="DP590" s="33"/>
      <c r="DQ590" s="33"/>
      <c r="DR590" s="33"/>
      <c r="DS590" s="33"/>
      <c r="DT590" s="33"/>
      <c r="DU590" s="33" t="s">
        <v>276</v>
      </c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8"/>
    </row>
    <row r="591" spans="2:137" ht="13.2">
      <c r="B591" s="30" t="str">
        <f t="shared" si="20"/>
        <v>2025/4</v>
      </c>
      <c r="C591" s="31" t="str">
        <f t="shared" si="21"/>
        <v/>
      </c>
      <c r="D591" s="32">
        <v>45761</v>
      </c>
      <c r="E591" s="33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3"/>
      <c r="R591" s="33"/>
      <c r="S591" s="33"/>
      <c r="T591" s="33"/>
      <c r="U591" s="35"/>
      <c r="V591" s="36"/>
      <c r="W591" s="37"/>
      <c r="X591" s="34"/>
      <c r="Y591" s="33"/>
      <c r="Z591" s="33"/>
      <c r="AA591" s="33"/>
      <c r="AB591" s="35"/>
      <c r="AC591" s="34"/>
      <c r="AD591" s="34"/>
      <c r="AE591" s="34"/>
      <c r="AF591" s="34"/>
      <c r="AG591" s="34"/>
      <c r="AH591" s="33"/>
      <c r="AI591" s="33"/>
      <c r="AJ591" s="34"/>
      <c r="AK591" s="33"/>
      <c r="AL591" s="33"/>
      <c r="AM591" s="33"/>
      <c r="AN591" s="34"/>
      <c r="AO591" s="34"/>
      <c r="AP591" s="33"/>
      <c r="AQ591" s="34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4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5"/>
      <c r="CC591" s="33"/>
      <c r="CD591" s="33"/>
      <c r="CE591" s="33"/>
      <c r="CF591" s="34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4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4"/>
      <c r="DN591" s="34" t="s">
        <v>218</v>
      </c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8"/>
    </row>
    <row r="592" spans="2:137" ht="13.2">
      <c r="B592" s="30" t="str">
        <f t="shared" si="20"/>
        <v>2025/4</v>
      </c>
      <c r="C592" s="31">
        <f t="shared" si="21"/>
        <v>1620</v>
      </c>
      <c r="D592" s="32">
        <v>45763</v>
      </c>
      <c r="E592" s="33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3"/>
      <c r="R592" s="33"/>
      <c r="S592" s="33"/>
      <c r="T592" s="33"/>
      <c r="U592" s="35"/>
      <c r="V592" s="36"/>
      <c r="W592" s="37"/>
      <c r="X592" s="34"/>
      <c r="Y592" s="33"/>
      <c r="Z592" s="33"/>
      <c r="AA592" s="33"/>
      <c r="AB592" s="35"/>
      <c r="AC592" s="34"/>
      <c r="AD592" s="34"/>
      <c r="AE592" s="34"/>
      <c r="AF592" s="34"/>
      <c r="AG592" s="34"/>
      <c r="AH592" s="33"/>
      <c r="AI592" s="33"/>
      <c r="AJ592" s="34"/>
      <c r="AK592" s="33"/>
      <c r="AL592" s="33"/>
      <c r="AM592" s="33"/>
      <c r="AN592" s="34"/>
      <c r="AO592" s="34"/>
      <c r="AP592" s="33"/>
      <c r="AQ592" s="34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4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5"/>
      <c r="CC592" s="33"/>
      <c r="CD592" s="33"/>
      <c r="CE592" s="33"/>
      <c r="CF592" s="34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4"/>
      <c r="DA592" s="33"/>
      <c r="DB592" s="33">
        <v>200</v>
      </c>
      <c r="DC592" s="33"/>
      <c r="DD592" s="33"/>
      <c r="DE592" s="33"/>
      <c r="DF592" s="33"/>
      <c r="DG592" s="33"/>
      <c r="DH592" s="33">
        <v>270</v>
      </c>
      <c r="DI592" s="33"/>
      <c r="DJ592" s="33"/>
      <c r="DK592" s="33"/>
      <c r="DL592" s="33"/>
      <c r="DM592" s="34">
        <v>250</v>
      </c>
      <c r="DN592" s="34">
        <v>900</v>
      </c>
      <c r="DO592" s="33"/>
      <c r="DP592" s="33"/>
      <c r="DQ592" s="33" t="s">
        <v>269</v>
      </c>
      <c r="DR592" s="33" t="s">
        <v>271</v>
      </c>
      <c r="DS592" s="33"/>
      <c r="DT592" s="33" t="s">
        <v>217</v>
      </c>
      <c r="DU592" s="33" t="s">
        <v>269</v>
      </c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8"/>
    </row>
    <row r="593" spans="2:137" ht="13.2">
      <c r="B593" s="30" t="str">
        <f t="shared" si="20"/>
        <v>2025/4</v>
      </c>
      <c r="C593" s="31">
        <f t="shared" si="21"/>
        <v>300</v>
      </c>
      <c r="D593" s="32">
        <v>45764</v>
      </c>
      <c r="E593" s="33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3"/>
      <c r="R593" s="33"/>
      <c r="S593" s="33"/>
      <c r="T593" s="33"/>
      <c r="U593" s="35"/>
      <c r="V593" s="36"/>
      <c r="W593" s="37"/>
      <c r="X593" s="34"/>
      <c r="Y593" s="33"/>
      <c r="Z593" s="33"/>
      <c r="AA593" s="33"/>
      <c r="AB593" s="35"/>
      <c r="AC593" s="34"/>
      <c r="AD593" s="34"/>
      <c r="AE593" s="34"/>
      <c r="AF593" s="34"/>
      <c r="AG593" s="34"/>
      <c r="AH593" s="33"/>
      <c r="AI593" s="33"/>
      <c r="AJ593" s="34"/>
      <c r="AK593" s="33"/>
      <c r="AL593" s="33"/>
      <c r="AM593" s="33"/>
      <c r="AN593" s="34"/>
      <c r="AO593" s="34"/>
      <c r="AP593" s="33"/>
      <c r="AQ593" s="34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4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5"/>
      <c r="CC593" s="33"/>
      <c r="CD593" s="33"/>
      <c r="CE593" s="33"/>
      <c r="CF593" s="34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4"/>
      <c r="DA593" s="33"/>
      <c r="DB593" s="33"/>
      <c r="DC593" s="33"/>
      <c r="DD593" s="33">
        <v>300</v>
      </c>
      <c r="DE593" s="33"/>
      <c r="DF593" s="33"/>
      <c r="DG593" s="33"/>
      <c r="DH593" s="33"/>
      <c r="DI593" s="33"/>
      <c r="DJ593" s="33"/>
      <c r="DK593" s="33"/>
      <c r="DL593" s="33"/>
      <c r="DM593" s="34"/>
      <c r="DN593" s="34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8"/>
    </row>
    <row r="594" spans="2:137" ht="13.2">
      <c r="B594" s="30" t="str">
        <f t="shared" si="20"/>
        <v>2025/4</v>
      </c>
      <c r="C594" s="31">
        <f t="shared" si="21"/>
        <v>510</v>
      </c>
      <c r="D594" s="32">
        <v>45770</v>
      </c>
      <c r="E594" s="33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3"/>
      <c r="R594" s="33"/>
      <c r="S594" s="33"/>
      <c r="T594" s="33"/>
      <c r="U594" s="35"/>
      <c r="V594" s="36"/>
      <c r="W594" s="37"/>
      <c r="X594" s="34"/>
      <c r="Y594" s="33"/>
      <c r="Z594" s="33"/>
      <c r="AA594" s="33"/>
      <c r="AB594" s="35"/>
      <c r="AC594" s="34"/>
      <c r="AD594" s="34"/>
      <c r="AE594" s="34"/>
      <c r="AF594" s="34"/>
      <c r="AG594" s="34"/>
      <c r="AH594" s="33"/>
      <c r="AI594" s="33"/>
      <c r="AJ594" s="34"/>
      <c r="AK594" s="33"/>
      <c r="AL594" s="33"/>
      <c r="AM594" s="33"/>
      <c r="AN594" s="34"/>
      <c r="AO594" s="34"/>
      <c r="AP594" s="33"/>
      <c r="AQ594" s="34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4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5"/>
      <c r="CC594" s="33"/>
      <c r="CD594" s="33"/>
      <c r="CE594" s="33"/>
      <c r="CF594" s="34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4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4">
        <v>250</v>
      </c>
      <c r="DN594" s="34"/>
      <c r="DO594" s="33" t="s">
        <v>227</v>
      </c>
      <c r="DP594" s="33"/>
      <c r="DQ594" s="33"/>
      <c r="DR594" s="33" t="s">
        <v>218</v>
      </c>
      <c r="DS594" s="33">
        <v>260</v>
      </c>
      <c r="DT594" s="33" t="s">
        <v>218</v>
      </c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8"/>
    </row>
    <row r="595" spans="2:137" ht="13.2">
      <c r="B595" s="30" t="str">
        <f t="shared" si="20"/>
        <v>2025/4</v>
      </c>
      <c r="C595" s="31" t="str">
        <f t="shared" si="21"/>
        <v/>
      </c>
      <c r="D595" s="32">
        <v>45771</v>
      </c>
      <c r="E595" s="33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3"/>
      <c r="R595" s="33"/>
      <c r="S595" s="33"/>
      <c r="T595" s="33"/>
      <c r="U595" s="35"/>
      <c r="V595" s="36"/>
      <c r="W595" s="37"/>
      <c r="X595" s="34"/>
      <c r="Y595" s="33"/>
      <c r="Z595" s="33"/>
      <c r="AA595" s="33"/>
      <c r="AB595" s="35"/>
      <c r="AC595" s="34"/>
      <c r="AD595" s="34"/>
      <c r="AE595" s="34"/>
      <c r="AF595" s="34"/>
      <c r="AG595" s="34"/>
      <c r="AH595" s="33"/>
      <c r="AI595" s="33"/>
      <c r="AJ595" s="34"/>
      <c r="AK595" s="33"/>
      <c r="AL595" s="33"/>
      <c r="AM595" s="33"/>
      <c r="AN595" s="34"/>
      <c r="AO595" s="34"/>
      <c r="AP595" s="33"/>
      <c r="AQ595" s="34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4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5"/>
      <c r="CC595" s="33"/>
      <c r="CD595" s="33"/>
      <c r="CE595" s="33"/>
      <c r="CF595" s="34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4"/>
      <c r="DA595" s="33"/>
      <c r="DB595" s="33"/>
      <c r="DC595" s="33"/>
      <c r="DD595" s="33"/>
      <c r="DE595" s="33"/>
      <c r="DF595" s="33"/>
      <c r="DH595" s="33"/>
      <c r="DI595" s="33"/>
      <c r="DJ595" s="33"/>
      <c r="DK595" s="33"/>
      <c r="DL595" s="33"/>
      <c r="DM595" s="34"/>
      <c r="DN595" s="34"/>
      <c r="DO595" s="33"/>
      <c r="DP595" s="33"/>
      <c r="DQ595" s="33" t="s">
        <v>217</v>
      </c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8"/>
    </row>
    <row r="596" spans="2:137" ht="13.2">
      <c r="B596" s="30" t="str">
        <f t="shared" si="20"/>
        <v>2025/4</v>
      </c>
      <c r="C596" s="31">
        <f t="shared" si="21"/>
        <v>2070</v>
      </c>
      <c r="D596" s="32">
        <v>45772</v>
      </c>
      <c r="E596" s="33">
        <v>300</v>
      </c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3"/>
      <c r="R596" s="33"/>
      <c r="S596" s="33"/>
      <c r="T596" s="33"/>
      <c r="U596" s="35"/>
      <c r="V596" s="36"/>
      <c r="W596" s="37"/>
      <c r="X596" s="34"/>
      <c r="Y596" s="33"/>
      <c r="Z596" s="33"/>
      <c r="AA596" s="33"/>
      <c r="AB596" s="35"/>
      <c r="AC596" s="34"/>
      <c r="AD596" s="34"/>
      <c r="AE596" s="34"/>
      <c r="AF596" s="34"/>
      <c r="AG596" s="34"/>
      <c r="AH596" s="33"/>
      <c r="AI596" s="33"/>
      <c r="AJ596" s="34"/>
      <c r="AK596" s="33"/>
      <c r="AL596" s="33"/>
      <c r="AM596" s="33"/>
      <c r="AN596" s="34"/>
      <c r="AO596" s="34"/>
      <c r="AP596" s="33"/>
      <c r="AQ596" s="34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4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5"/>
      <c r="CC596" s="33"/>
      <c r="CD596" s="33"/>
      <c r="CE596" s="33"/>
      <c r="CF596" s="34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4"/>
      <c r="DA596" s="33"/>
      <c r="DB596" s="33"/>
      <c r="DC596" s="33"/>
      <c r="DD596" s="33">
        <v>300</v>
      </c>
      <c r="DE596" s="33">
        <v>1200</v>
      </c>
      <c r="DF596" s="33"/>
      <c r="DG596" s="33"/>
      <c r="DH596" s="33">
        <v>270</v>
      </c>
      <c r="DI596" s="33"/>
      <c r="DJ596" s="33"/>
      <c r="DK596" s="33"/>
      <c r="DL596" s="33"/>
      <c r="DM596" s="34"/>
      <c r="DN596" s="34" t="s">
        <v>276</v>
      </c>
      <c r="DO596" s="33"/>
      <c r="DP596" s="33"/>
      <c r="DQ596" s="33"/>
      <c r="DR596" s="33"/>
      <c r="DS596" s="33"/>
      <c r="DT596" s="33"/>
      <c r="DU596" s="33" t="s">
        <v>271</v>
      </c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8"/>
    </row>
    <row r="597" spans="2:137" ht="13.2">
      <c r="B597" s="30" t="str">
        <f t="shared" si="20"/>
        <v>2025/4</v>
      </c>
      <c r="C597" s="31">
        <f t="shared" si="21"/>
        <v>1500</v>
      </c>
      <c r="D597" s="32">
        <v>45776</v>
      </c>
      <c r="E597" s="33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3"/>
      <c r="R597" s="33"/>
      <c r="S597" s="33"/>
      <c r="T597" s="33"/>
      <c r="U597" s="35"/>
      <c r="V597" s="36"/>
      <c r="W597" s="37"/>
      <c r="X597" s="34"/>
      <c r="Y597" s="33"/>
      <c r="Z597" s="33"/>
      <c r="AA597" s="33"/>
      <c r="AB597" s="35"/>
      <c r="AC597" s="34"/>
      <c r="AD597" s="34"/>
      <c r="AE597" s="34"/>
      <c r="AF597" s="34"/>
      <c r="AG597" s="34"/>
      <c r="AH597" s="33"/>
      <c r="AI597" s="33"/>
      <c r="AJ597" s="34"/>
      <c r="AK597" s="33"/>
      <c r="AL597" s="33"/>
      <c r="AM597" s="33"/>
      <c r="AN597" s="34"/>
      <c r="AO597" s="34"/>
      <c r="AP597" s="33"/>
      <c r="AQ597" s="34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4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5"/>
      <c r="CC597" s="33"/>
      <c r="CD597" s="33"/>
      <c r="CE597" s="33"/>
      <c r="CF597" s="34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4"/>
      <c r="DA597" s="33"/>
      <c r="DB597" s="33"/>
      <c r="DC597" s="33"/>
      <c r="DD597" s="33"/>
      <c r="DE597" s="33" t="s">
        <v>216</v>
      </c>
      <c r="DF597" s="33"/>
      <c r="DG597" s="33" t="s">
        <v>285</v>
      </c>
      <c r="DH597" s="33"/>
      <c r="DI597" s="33"/>
      <c r="DJ597" s="33"/>
      <c r="DK597" s="33"/>
      <c r="DL597" s="33"/>
      <c r="DM597" s="34"/>
      <c r="DN597" s="34"/>
      <c r="DO597" s="33"/>
      <c r="DP597" s="33"/>
      <c r="DQ597" s="33"/>
      <c r="DR597" s="33">
        <v>1500</v>
      </c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8"/>
    </row>
    <row r="598" spans="2:137" ht="13.2">
      <c r="B598" s="30" t="str">
        <f t="shared" si="20"/>
        <v>2025/4</v>
      </c>
      <c r="C598" s="31">
        <f t="shared" si="21"/>
        <v>1110</v>
      </c>
      <c r="D598" s="32">
        <v>45777</v>
      </c>
      <c r="E598" s="33">
        <v>300</v>
      </c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3"/>
      <c r="R598" s="33"/>
      <c r="S598" s="33"/>
      <c r="T598" s="33"/>
      <c r="U598" s="35"/>
      <c r="V598" s="36"/>
      <c r="W598" s="37"/>
      <c r="X598" s="34"/>
      <c r="Y598" s="33"/>
      <c r="Z598" s="33"/>
      <c r="AA598" s="33"/>
      <c r="AB598" s="35"/>
      <c r="AC598" s="34"/>
      <c r="AD598" s="34"/>
      <c r="AE598" s="34"/>
      <c r="AF598" s="34"/>
      <c r="AG598" s="34"/>
      <c r="AH598" s="33"/>
      <c r="AI598" s="33"/>
      <c r="AJ598" s="34"/>
      <c r="AK598" s="33"/>
      <c r="AL598" s="33"/>
      <c r="AM598" s="33"/>
      <c r="AN598" s="34"/>
      <c r="AO598" s="34"/>
      <c r="AP598" s="33"/>
      <c r="AQ598" s="34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4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5"/>
      <c r="CC598" s="33"/>
      <c r="CD598" s="33"/>
      <c r="CE598" s="33"/>
      <c r="CF598" s="34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4"/>
      <c r="DA598" s="33"/>
      <c r="DB598" s="33"/>
      <c r="DC598" s="33"/>
      <c r="DD598" s="33"/>
      <c r="DE598" s="33"/>
      <c r="DF598" s="33"/>
      <c r="DG598" s="33">
        <v>300</v>
      </c>
      <c r="DH598" s="33"/>
      <c r="DI598" s="33"/>
      <c r="DJ598" s="33"/>
      <c r="DK598" s="33"/>
      <c r="DL598" s="33"/>
      <c r="DM598" s="34">
        <v>250</v>
      </c>
      <c r="DN598" s="34"/>
      <c r="DO598" s="33" t="s">
        <v>227</v>
      </c>
      <c r="DP598" s="33"/>
      <c r="DQ598" s="33" t="s">
        <v>218</v>
      </c>
      <c r="DR598" s="33" t="s">
        <v>215</v>
      </c>
      <c r="DS598" s="33">
        <v>260</v>
      </c>
      <c r="DT598" s="33" t="s">
        <v>267</v>
      </c>
      <c r="DU598" s="33"/>
      <c r="DV598" s="41" t="s">
        <v>286</v>
      </c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8"/>
    </row>
    <row r="599" spans="2:137" ht="13.2">
      <c r="B599" s="30" t="str">
        <f t="shared" si="20"/>
        <v>2025/5</v>
      </c>
      <c r="C599" s="31">
        <f t="shared" si="21"/>
        <v>2933</v>
      </c>
      <c r="D599" s="32">
        <v>45778</v>
      </c>
      <c r="E599" s="33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3"/>
      <c r="R599" s="33"/>
      <c r="S599" s="33"/>
      <c r="T599" s="33"/>
      <c r="U599" s="35"/>
      <c r="V599" s="36"/>
      <c r="W599" s="37"/>
      <c r="X599" s="34"/>
      <c r="Y599" s="33"/>
      <c r="Z599" s="33"/>
      <c r="AA599" s="33"/>
      <c r="AB599" s="35"/>
      <c r="AC599" s="34"/>
      <c r="AD599" s="34"/>
      <c r="AE599" s="34"/>
      <c r="AF599" s="34"/>
      <c r="AG599" s="34"/>
      <c r="AH599" s="33"/>
      <c r="AI599" s="33"/>
      <c r="AJ599" s="34"/>
      <c r="AK599" s="33"/>
      <c r="AL599" s="33"/>
      <c r="AM599" s="33"/>
      <c r="AN599" s="34"/>
      <c r="AO599" s="34"/>
      <c r="AP599" s="33"/>
      <c r="AQ599" s="34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4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5"/>
      <c r="CC599" s="33"/>
      <c r="CD599" s="33"/>
      <c r="CE599" s="33"/>
      <c r="CF599" s="34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4"/>
      <c r="DA599" s="33"/>
      <c r="DB599" s="33"/>
      <c r="DC599" s="33"/>
      <c r="DD599" s="33"/>
      <c r="DE599" s="33"/>
      <c r="DF599" s="33"/>
      <c r="DG599" s="31">
        <v>1700</v>
      </c>
      <c r="DH599" s="33"/>
      <c r="DI599" s="33"/>
      <c r="DJ599" s="33"/>
      <c r="DK599" s="33"/>
      <c r="DL599" s="33"/>
      <c r="DM599" s="34"/>
      <c r="DN599" s="34"/>
      <c r="DO599" s="33"/>
      <c r="DP599" s="33" t="s">
        <v>217</v>
      </c>
      <c r="DQ599" s="33"/>
      <c r="DR599" s="33" t="s">
        <v>287</v>
      </c>
      <c r="DS599" s="33"/>
      <c r="DT599" s="33"/>
      <c r="DU599" s="33"/>
      <c r="DV599" s="33">
        <v>1233</v>
      </c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8"/>
    </row>
    <row r="600" spans="2:137" ht="13.2">
      <c r="B600" s="30" t="str">
        <f t="shared" si="20"/>
        <v>2025/5</v>
      </c>
      <c r="C600" s="31">
        <f t="shared" si="21"/>
        <v>670</v>
      </c>
      <c r="D600" s="32">
        <v>45779</v>
      </c>
      <c r="E600" s="33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3"/>
      <c r="R600" s="33"/>
      <c r="S600" s="33"/>
      <c r="T600" s="33"/>
      <c r="U600" s="35"/>
      <c r="V600" s="36"/>
      <c r="W600" s="37"/>
      <c r="X600" s="34"/>
      <c r="Y600" s="33"/>
      <c r="Z600" s="33"/>
      <c r="AA600" s="33"/>
      <c r="AB600" s="35"/>
      <c r="AC600" s="34"/>
      <c r="AD600" s="34"/>
      <c r="AE600" s="34"/>
      <c r="AF600" s="34"/>
      <c r="AG600" s="34"/>
      <c r="AH600" s="33"/>
      <c r="AI600" s="33"/>
      <c r="AJ600" s="34"/>
      <c r="AK600" s="33"/>
      <c r="AL600" s="33"/>
      <c r="AM600" s="33"/>
      <c r="AN600" s="34"/>
      <c r="AO600" s="34"/>
      <c r="AP600" s="33"/>
      <c r="AQ600" s="34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4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5"/>
      <c r="CC600" s="33"/>
      <c r="CD600" s="33"/>
      <c r="CE600" s="33"/>
      <c r="CF600" s="34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4"/>
      <c r="DA600" s="33"/>
      <c r="DB600" s="33"/>
      <c r="DC600" s="33" t="s">
        <v>288</v>
      </c>
      <c r="DD600" s="33"/>
      <c r="DE600" s="33"/>
      <c r="DF600" s="33"/>
      <c r="DG600" s="33" t="s">
        <v>289</v>
      </c>
      <c r="DH600" s="33">
        <v>270</v>
      </c>
      <c r="DI600" s="33"/>
      <c r="DJ600" s="33"/>
      <c r="DK600" s="33"/>
      <c r="DL600" s="33"/>
      <c r="DM600" s="34"/>
      <c r="DN600" s="34" t="s">
        <v>216</v>
      </c>
      <c r="DO600" s="33">
        <v>400</v>
      </c>
      <c r="DP600" s="33"/>
      <c r="DQ600" s="33"/>
      <c r="DR600" s="33"/>
      <c r="DS600" s="33"/>
      <c r="DT600" s="33"/>
      <c r="DU600" s="33" t="s">
        <v>283</v>
      </c>
      <c r="DV600" s="33" t="s">
        <v>290</v>
      </c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8"/>
    </row>
    <row r="601" spans="2:137" ht="13.2">
      <c r="B601" s="30" t="str">
        <f t="shared" si="20"/>
        <v>2025/5</v>
      </c>
      <c r="C601" s="31">
        <f t="shared" si="21"/>
        <v>5290</v>
      </c>
      <c r="D601" s="32">
        <v>45784</v>
      </c>
      <c r="E601" s="33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3"/>
      <c r="R601" s="33"/>
      <c r="S601" s="33"/>
      <c r="T601" s="33"/>
      <c r="U601" s="35"/>
      <c r="V601" s="36"/>
      <c r="W601" s="37"/>
      <c r="X601" s="34"/>
      <c r="Y601" s="33"/>
      <c r="Z601" s="33"/>
      <c r="AA601" s="33"/>
      <c r="AB601" s="35"/>
      <c r="AC601" s="34"/>
      <c r="AD601" s="34"/>
      <c r="AE601" s="34"/>
      <c r="AF601" s="34"/>
      <c r="AG601" s="34"/>
      <c r="AH601" s="33"/>
      <c r="AI601" s="33"/>
      <c r="AJ601" s="34"/>
      <c r="AK601" s="33"/>
      <c r="AL601" s="33"/>
      <c r="AM601" s="33"/>
      <c r="AN601" s="34"/>
      <c r="AO601" s="34"/>
      <c r="AP601" s="33"/>
      <c r="AQ601" s="34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4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5"/>
      <c r="CC601" s="33"/>
      <c r="CD601" s="33"/>
      <c r="CE601" s="33"/>
      <c r="CF601" s="34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4"/>
      <c r="DA601" s="33"/>
      <c r="DB601" s="33"/>
      <c r="DC601" s="33"/>
      <c r="DD601" s="33"/>
      <c r="DE601" s="33"/>
      <c r="DF601" s="33"/>
      <c r="DG601" s="33" t="s">
        <v>271</v>
      </c>
      <c r="DH601" s="33"/>
      <c r="DI601" s="33"/>
      <c r="DJ601" s="33"/>
      <c r="DK601" s="33"/>
      <c r="DL601" s="33"/>
      <c r="DM601" s="34"/>
      <c r="DN601" s="34"/>
      <c r="DO601" s="33"/>
      <c r="DP601" s="33">
        <v>1040</v>
      </c>
      <c r="DQ601" s="33">
        <v>1120</v>
      </c>
      <c r="DR601" s="33" t="s">
        <v>271</v>
      </c>
      <c r="DS601" s="33">
        <v>260</v>
      </c>
      <c r="DT601" s="33"/>
      <c r="DU601" s="33">
        <v>1120</v>
      </c>
      <c r="DV601" s="33" t="s">
        <v>291</v>
      </c>
      <c r="DW601" s="33"/>
      <c r="DX601" s="33"/>
      <c r="DY601" s="33"/>
      <c r="DZ601" s="33"/>
      <c r="EA601" s="33"/>
      <c r="EB601" s="33"/>
      <c r="EC601" s="33"/>
      <c r="ED601" s="33"/>
      <c r="EE601" s="33">
        <v>1750</v>
      </c>
      <c r="EF601" s="33"/>
      <c r="EG601" s="38"/>
    </row>
    <row r="602" spans="2:137" ht="13.2">
      <c r="B602" s="30" t="str">
        <f t="shared" si="20"/>
        <v>2025/5</v>
      </c>
      <c r="C602" s="31">
        <f t="shared" si="21"/>
        <v>450</v>
      </c>
      <c r="D602" s="32">
        <v>45785</v>
      </c>
      <c r="E602" s="33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3"/>
      <c r="R602" s="33"/>
      <c r="S602" s="33"/>
      <c r="T602" s="33"/>
      <c r="U602" s="35"/>
      <c r="V602" s="36"/>
      <c r="W602" s="37"/>
      <c r="X602" s="34"/>
      <c r="Y602" s="33"/>
      <c r="Z602" s="33"/>
      <c r="AA602" s="33"/>
      <c r="AB602" s="35"/>
      <c r="AC602" s="34"/>
      <c r="AD602" s="34"/>
      <c r="AE602" s="34"/>
      <c r="AF602" s="34"/>
      <c r="AG602" s="34"/>
      <c r="AH602" s="33"/>
      <c r="AI602" s="33"/>
      <c r="AJ602" s="34"/>
      <c r="AK602" s="33"/>
      <c r="AL602" s="33"/>
      <c r="AM602" s="33"/>
      <c r="AN602" s="34"/>
      <c r="AO602" s="34"/>
      <c r="AP602" s="33"/>
      <c r="AQ602" s="34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4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5"/>
      <c r="CC602" s="33"/>
      <c r="CD602" s="33"/>
      <c r="CE602" s="33"/>
      <c r="CF602" s="34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4"/>
      <c r="DA602" s="33"/>
      <c r="DB602" s="33"/>
      <c r="DC602" s="33"/>
      <c r="DD602" s="33" t="s">
        <v>292</v>
      </c>
      <c r="DE602" s="33" t="s">
        <v>271</v>
      </c>
      <c r="DF602" s="33"/>
      <c r="DG602" s="33"/>
      <c r="DH602" s="33"/>
      <c r="DI602" s="33"/>
      <c r="DJ602" s="33"/>
      <c r="DK602" s="33"/>
      <c r="DL602" s="33"/>
      <c r="DM602" s="34">
        <v>250</v>
      </c>
      <c r="DN602" s="34"/>
      <c r="DO602" s="33">
        <v>200</v>
      </c>
      <c r="DP602" s="33" t="s">
        <v>293</v>
      </c>
      <c r="DQ602" s="33" t="s">
        <v>294</v>
      </c>
      <c r="DR602" s="33"/>
      <c r="DS602" s="33"/>
      <c r="DT602" s="33"/>
      <c r="DU602" s="33"/>
      <c r="DV602" s="33" t="s">
        <v>271</v>
      </c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8"/>
    </row>
    <row r="603" spans="2:137" ht="13.2">
      <c r="B603" s="30" t="str">
        <f t="shared" si="20"/>
        <v>2025/5</v>
      </c>
      <c r="C603" s="31" t="str">
        <f t="shared" si="21"/>
        <v/>
      </c>
      <c r="D603" s="32">
        <v>45786</v>
      </c>
      <c r="E603" s="33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3"/>
      <c r="R603" s="33"/>
      <c r="S603" s="33"/>
      <c r="T603" s="33"/>
      <c r="U603" s="35"/>
      <c r="V603" s="36"/>
      <c r="W603" s="37"/>
      <c r="X603" s="34"/>
      <c r="Y603" s="33"/>
      <c r="Z603" s="33"/>
      <c r="AA603" s="33"/>
      <c r="AB603" s="35"/>
      <c r="AC603" s="34"/>
      <c r="AD603" s="34"/>
      <c r="AE603" s="34"/>
      <c r="AF603" s="34"/>
      <c r="AG603" s="34"/>
      <c r="AH603" s="33"/>
      <c r="AI603" s="33"/>
      <c r="AJ603" s="34"/>
      <c r="AK603" s="33"/>
      <c r="AL603" s="33"/>
      <c r="AM603" s="33"/>
      <c r="AN603" s="34"/>
      <c r="AO603" s="34"/>
      <c r="AP603" s="33"/>
      <c r="AQ603" s="34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4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5"/>
      <c r="CC603" s="33"/>
      <c r="CD603" s="33"/>
      <c r="CE603" s="33"/>
      <c r="CF603" s="34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4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4"/>
      <c r="DN603" s="34" t="s">
        <v>217</v>
      </c>
      <c r="DO603" s="33"/>
      <c r="DP603" s="33"/>
      <c r="DQ603" s="33"/>
      <c r="DR603" s="33"/>
      <c r="DS603" s="33"/>
      <c r="DT603" s="33"/>
      <c r="DU603" s="33" t="s">
        <v>276</v>
      </c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8"/>
    </row>
    <row r="604" spans="2:137" ht="13.2">
      <c r="B604" s="30" t="str">
        <f t="shared" si="20"/>
        <v>2025/5</v>
      </c>
      <c r="C604" s="31" t="str">
        <f t="shared" si="21"/>
        <v/>
      </c>
      <c r="D604" s="32">
        <v>45790</v>
      </c>
      <c r="E604" s="33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3"/>
      <c r="R604" s="33"/>
      <c r="S604" s="33"/>
      <c r="T604" s="33"/>
      <c r="U604" s="35"/>
      <c r="V604" s="36"/>
      <c r="W604" s="37"/>
      <c r="X604" s="34"/>
      <c r="Y604" s="33"/>
      <c r="Z604" s="33"/>
      <c r="AA604" s="33"/>
      <c r="AB604" s="35"/>
      <c r="AC604" s="34"/>
      <c r="AD604" s="34"/>
      <c r="AE604" s="34"/>
      <c r="AF604" s="34"/>
      <c r="AG604" s="34"/>
      <c r="AH604" s="33"/>
      <c r="AI604" s="33"/>
      <c r="AJ604" s="34"/>
      <c r="AK604" s="33"/>
      <c r="AL604" s="33"/>
      <c r="AM604" s="33"/>
      <c r="AN604" s="34"/>
      <c r="AO604" s="34"/>
      <c r="AP604" s="33"/>
      <c r="AQ604" s="34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4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5"/>
      <c r="CC604" s="33"/>
      <c r="CD604" s="33"/>
      <c r="CE604" s="33"/>
      <c r="CF604" s="34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4"/>
      <c r="DA604" s="33"/>
      <c r="DB604" s="33"/>
      <c r="DC604" s="33"/>
      <c r="DD604" s="33"/>
      <c r="DE604" s="33"/>
      <c r="DF604" s="33" t="s">
        <v>215</v>
      </c>
      <c r="DG604" s="33"/>
      <c r="DH604" s="33"/>
      <c r="DI604" s="33"/>
      <c r="DJ604" s="33"/>
      <c r="DK604" s="33"/>
      <c r="DL604" s="33"/>
      <c r="DM604" s="34"/>
      <c r="DN604" s="34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8"/>
    </row>
    <row r="605" spans="2:137" ht="13.2">
      <c r="B605" s="30" t="str">
        <f t="shared" si="20"/>
        <v>2025/5</v>
      </c>
      <c r="C605" s="31">
        <f t="shared" si="21"/>
        <v>2180</v>
      </c>
      <c r="D605" s="32">
        <v>45791</v>
      </c>
      <c r="E605" s="33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3"/>
      <c r="R605" s="33"/>
      <c r="S605" s="33"/>
      <c r="T605" s="33"/>
      <c r="U605" s="35"/>
      <c r="V605" s="36"/>
      <c r="W605" s="37"/>
      <c r="X605" s="34"/>
      <c r="Y605" s="33"/>
      <c r="Z605" s="33"/>
      <c r="AA605" s="33"/>
      <c r="AB605" s="35"/>
      <c r="AC605" s="34"/>
      <c r="AD605" s="34"/>
      <c r="AE605" s="34"/>
      <c r="AF605" s="34"/>
      <c r="AG605" s="34"/>
      <c r="AH605" s="33"/>
      <c r="AI605" s="33"/>
      <c r="AJ605" s="34"/>
      <c r="AK605" s="33"/>
      <c r="AL605" s="33"/>
      <c r="AM605" s="33"/>
      <c r="AN605" s="34"/>
      <c r="AO605" s="34"/>
      <c r="AP605" s="33"/>
      <c r="AQ605" s="34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4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5"/>
      <c r="CC605" s="33"/>
      <c r="CD605" s="33"/>
      <c r="CE605" s="33"/>
      <c r="CF605" s="34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4"/>
      <c r="DA605" s="33"/>
      <c r="DB605" s="33"/>
      <c r="DC605" s="33"/>
      <c r="DD605" s="33"/>
      <c r="DE605" s="33"/>
      <c r="DF605" s="33">
        <v>1200</v>
      </c>
      <c r="DG605" s="33" t="s">
        <v>218</v>
      </c>
      <c r="DH605" s="33">
        <v>270</v>
      </c>
      <c r="DI605" s="33"/>
      <c r="DJ605" s="33"/>
      <c r="DK605" s="33"/>
      <c r="DL605" s="33"/>
      <c r="DM605" s="34">
        <v>250</v>
      </c>
      <c r="DN605" s="34"/>
      <c r="DO605" s="33">
        <v>200</v>
      </c>
      <c r="DP605" s="33"/>
      <c r="DQ605" s="33"/>
      <c r="DR605" s="33" t="s">
        <v>283</v>
      </c>
      <c r="DS605" s="33">
        <v>260</v>
      </c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8"/>
    </row>
    <row r="606" spans="2:137" ht="13.2">
      <c r="B606" s="30" t="str">
        <f t="shared" si="20"/>
        <v>2025/5</v>
      </c>
      <c r="C606" s="31" t="str">
        <f t="shared" si="21"/>
        <v/>
      </c>
      <c r="D606" s="32">
        <v>45792</v>
      </c>
      <c r="E606" s="33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3"/>
      <c r="R606" s="33"/>
      <c r="S606" s="33"/>
      <c r="T606" s="33"/>
      <c r="U606" s="35"/>
      <c r="V606" s="36"/>
      <c r="W606" s="37"/>
      <c r="X606" s="34"/>
      <c r="Y606" s="33"/>
      <c r="Z606" s="33"/>
      <c r="AA606" s="33"/>
      <c r="AB606" s="35"/>
      <c r="AC606" s="34"/>
      <c r="AD606" s="34"/>
      <c r="AE606" s="34"/>
      <c r="AF606" s="34"/>
      <c r="AG606" s="34"/>
      <c r="AH606" s="33"/>
      <c r="AI606" s="33"/>
      <c r="AJ606" s="34"/>
      <c r="AK606" s="33"/>
      <c r="AL606" s="33"/>
      <c r="AM606" s="33"/>
      <c r="AN606" s="34"/>
      <c r="AO606" s="34"/>
      <c r="AP606" s="33"/>
      <c r="AQ606" s="34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4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5"/>
      <c r="CC606" s="33"/>
      <c r="CD606" s="33"/>
      <c r="CE606" s="33"/>
      <c r="CF606" s="34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4"/>
      <c r="DA606" s="33"/>
      <c r="DB606" s="33"/>
      <c r="DC606" s="33"/>
      <c r="DD606" s="33"/>
      <c r="DE606" s="33" t="s">
        <v>218</v>
      </c>
      <c r="DF606" s="33"/>
      <c r="DG606" s="33"/>
      <c r="DH606" s="33"/>
      <c r="DI606" s="33"/>
      <c r="DJ606" s="33"/>
      <c r="DK606" s="33"/>
      <c r="DL606" s="33"/>
      <c r="DM606" s="34"/>
      <c r="DN606" s="34"/>
      <c r="DO606" s="33"/>
      <c r="DP606" s="33" t="s">
        <v>215</v>
      </c>
      <c r="DQ606" s="33" t="s">
        <v>216</v>
      </c>
      <c r="DR606" s="33"/>
      <c r="DS606" s="33"/>
      <c r="DT606" s="33"/>
      <c r="DU606" s="33" t="s">
        <v>216</v>
      </c>
      <c r="DV606" s="33" t="s">
        <v>218</v>
      </c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8"/>
    </row>
    <row r="607" spans="2:137" ht="13.2">
      <c r="B607" s="30" t="str">
        <f t="shared" si="20"/>
        <v>2025/5</v>
      </c>
      <c r="C607" s="31" t="str">
        <f t="shared" si="21"/>
        <v/>
      </c>
      <c r="D607" s="32">
        <v>45796</v>
      </c>
      <c r="E607" s="33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3"/>
      <c r="R607" s="33"/>
      <c r="S607" s="33"/>
      <c r="T607" s="33"/>
      <c r="U607" s="35"/>
      <c r="V607" s="36"/>
      <c r="W607" s="37"/>
      <c r="X607" s="34"/>
      <c r="Y607" s="33"/>
      <c r="Z607" s="33"/>
      <c r="AA607" s="33"/>
      <c r="AB607" s="35"/>
      <c r="AC607" s="34"/>
      <c r="AD607" s="34"/>
      <c r="AE607" s="34"/>
      <c r="AF607" s="34"/>
      <c r="AG607" s="34"/>
      <c r="AH607" s="33"/>
      <c r="AI607" s="33"/>
      <c r="AJ607" s="34"/>
      <c r="AK607" s="33"/>
      <c r="AL607" s="33"/>
      <c r="AM607" s="33"/>
      <c r="AN607" s="34"/>
      <c r="AO607" s="34"/>
      <c r="AP607" s="33"/>
      <c r="AQ607" s="34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4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5"/>
      <c r="CC607" s="33"/>
      <c r="CD607" s="33"/>
      <c r="CE607" s="33"/>
      <c r="CF607" s="34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4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4"/>
      <c r="DN607" s="34"/>
      <c r="DO607" s="33"/>
      <c r="DP607" s="33"/>
      <c r="DQ607" s="33"/>
      <c r="DR607" s="33"/>
      <c r="DS607" s="33"/>
      <c r="DT607" s="33" t="s">
        <v>295</v>
      </c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8"/>
    </row>
    <row r="608" spans="2:137" ht="13.2">
      <c r="B608" s="30" t="str">
        <f t="shared" si="20"/>
        <v>2025/5</v>
      </c>
      <c r="C608" s="31">
        <f t="shared" si="21"/>
        <v>260</v>
      </c>
      <c r="D608" s="32">
        <v>45798</v>
      </c>
      <c r="E608" s="33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3"/>
      <c r="R608" s="33"/>
      <c r="S608" s="33"/>
      <c r="T608" s="33"/>
      <c r="U608" s="35"/>
      <c r="V608" s="36"/>
      <c r="W608" s="37"/>
      <c r="X608" s="34"/>
      <c r="Y608" s="33"/>
      <c r="Z608" s="33"/>
      <c r="AA608" s="33"/>
      <c r="AB608" s="35"/>
      <c r="AC608" s="34"/>
      <c r="AD608" s="34"/>
      <c r="AE608" s="34"/>
      <c r="AF608" s="34"/>
      <c r="AG608" s="34"/>
      <c r="AH608" s="33"/>
      <c r="AI608" s="33"/>
      <c r="AJ608" s="34"/>
      <c r="AK608" s="33"/>
      <c r="AL608" s="33"/>
      <c r="AM608" s="33"/>
      <c r="AN608" s="34"/>
      <c r="AO608" s="34"/>
      <c r="AP608" s="33"/>
      <c r="AQ608" s="34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4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5"/>
      <c r="CC608" s="33"/>
      <c r="CD608" s="33"/>
      <c r="CE608" s="33"/>
      <c r="CF608" s="34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4"/>
      <c r="DA608" s="33"/>
      <c r="DB608" s="33"/>
      <c r="DC608" s="33"/>
      <c r="DD608" s="33"/>
      <c r="DE608" s="33"/>
      <c r="DF608" s="33"/>
      <c r="DG608" s="33" t="s">
        <v>279</v>
      </c>
      <c r="DH608" s="33"/>
      <c r="DI608" s="33"/>
      <c r="DJ608" s="33"/>
      <c r="DK608" s="33"/>
      <c r="DL608" s="33"/>
      <c r="DM608" s="34"/>
      <c r="DN608" s="34"/>
      <c r="DO608" s="33" t="s">
        <v>227</v>
      </c>
      <c r="DP608" s="33"/>
      <c r="DQ608" s="33"/>
      <c r="DR608" s="33" t="s">
        <v>279</v>
      </c>
      <c r="DS608" s="33">
        <v>260</v>
      </c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8"/>
    </row>
    <row r="609" spans="2:137" ht="13.2">
      <c r="B609" s="30" t="str">
        <f t="shared" si="20"/>
        <v>2025/5</v>
      </c>
      <c r="C609" s="31">
        <f t="shared" si="21"/>
        <v>945</v>
      </c>
      <c r="D609" s="32">
        <v>45799</v>
      </c>
      <c r="E609" s="33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3"/>
      <c r="R609" s="33"/>
      <c r="S609" s="33"/>
      <c r="T609" s="33"/>
      <c r="U609" s="35"/>
      <c r="V609" s="36"/>
      <c r="W609" s="37"/>
      <c r="X609" s="34"/>
      <c r="Y609" s="33"/>
      <c r="Z609" s="33"/>
      <c r="AA609" s="33"/>
      <c r="AB609" s="35"/>
      <c r="AC609" s="34"/>
      <c r="AD609" s="34"/>
      <c r="AE609" s="34"/>
      <c r="AF609" s="34"/>
      <c r="AG609" s="34"/>
      <c r="AH609" s="33"/>
      <c r="AI609" s="33"/>
      <c r="AJ609" s="34"/>
      <c r="AK609" s="33"/>
      <c r="AL609" s="33"/>
      <c r="AM609" s="33"/>
      <c r="AN609" s="34"/>
      <c r="AO609" s="34"/>
      <c r="AP609" s="33"/>
      <c r="AQ609" s="34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4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5"/>
      <c r="CC609" s="33"/>
      <c r="CD609" s="33"/>
      <c r="CE609" s="33"/>
      <c r="CF609" s="34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4"/>
      <c r="DA609" s="33"/>
      <c r="DB609" s="33"/>
      <c r="DC609" s="33"/>
      <c r="DD609" s="33"/>
      <c r="DE609" s="33"/>
      <c r="DF609" s="33"/>
      <c r="DG609" s="33"/>
      <c r="DH609" s="33">
        <v>270</v>
      </c>
      <c r="DI609" s="33"/>
      <c r="DJ609" s="33"/>
      <c r="DK609" s="33"/>
      <c r="DL609" s="33"/>
      <c r="DM609" s="34"/>
      <c r="DN609" s="34">
        <v>675</v>
      </c>
      <c r="DO609" s="33"/>
      <c r="DP609" s="33" t="s">
        <v>216</v>
      </c>
      <c r="DQ609" s="33" t="s">
        <v>217</v>
      </c>
      <c r="DR609" s="33"/>
      <c r="DS609" s="33"/>
      <c r="DT609" s="33"/>
      <c r="DU609" s="33"/>
      <c r="DV609" s="33" t="s">
        <v>279</v>
      </c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8"/>
    </row>
    <row r="610" spans="2:137" ht="13.2">
      <c r="B610" s="30" t="str">
        <f t="shared" si="20"/>
        <v>2025/5</v>
      </c>
      <c r="C610" s="31">
        <f t="shared" si="21"/>
        <v>640</v>
      </c>
      <c r="D610" s="32">
        <v>45800</v>
      </c>
      <c r="E610" s="33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3"/>
      <c r="R610" s="33"/>
      <c r="S610" s="33"/>
      <c r="T610" s="33"/>
      <c r="U610" s="35"/>
      <c r="V610" s="36"/>
      <c r="W610" s="37"/>
      <c r="X610" s="34"/>
      <c r="Y610" s="33"/>
      <c r="Z610" s="33"/>
      <c r="AA610" s="33"/>
      <c r="AB610" s="35"/>
      <c r="AC610" s="34"/>
      <c r="AD610" s="34"/>
      <c r="AE610" s="34"/>
      <c r="AF610" s="34"/>
      <c r="AG610" s="34"/>
      <c r="AH610" s="33"/>
      <c r="AI610" s="33"/>
      <c r="AJ610" s="34"/>
      <c r="AK610" s="33"/>
      <c r="AL610" s="33"/>
      <c r="AM610" s="33"/>
      <c r="AN610" s="34"/>
      <c r="AO610" s="34"/>
      <c r="AP610" s="33"/>
      <c r="AQ610" s="34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4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5"/>
      <c r="CC610" s="33"/>
      <c r="CD610" s="33"/>
      <c r="CE610" s="33"/>
      <c r="CF610" s="34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4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4"/>
      <c r="DN610" s="34" t="s">
        <v>276</v>
      </c>
      <c r="DO610" s="33"/>
      <c r="DP610" s="33"/>
      <c r="DQ610" s="33"/>
      <c r="DR610" s="33"/>
      <c r="DS610" s="33"/>
      <c r="DT610" s="33">
        <v>640</v>
      </c>
      <c r="DU610" s="33" t="s">
        <v>217</v>
      </c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8"/>
    </row>
    <row r="611" spans="2:137" ht="13.2">
      <c r="B611" s="30" t="str">
        <f t="shared" si="20"/>
        <v>2025/5</v>
      </c>
      <c r="C611" s="31">
        <f t="shared" si="21"/>
        <v>530</v>
      </c>
      <c r="D611" s="32">
        <v>45805</v>
      </c>
      <c r="E611" s="33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3"/>
      <c r="R611" s="33"/>
      <c r="S611" s="33"/>
      <c r="T611" s="33"/>
      <c r="U611" s="35"/>
      <c r="V611" s="36"/>
      <c r="W611" s="37"/>
      <c r="X611" s="34"/>
      <c r="Y611" s="33"/>
      <c r="Z611" s="33"/>
      <c r="AA611" s="33"/>
      <c r="AB611" s="35"/>
      <c r="AC611" s="34"/>
      <c r="AD611" s="34"/>
      <c r="AE611" s="34"/>
      <c r="AF611" s="34"/>
      <c r="AG611" s="34"/>
      <c r="AH611" s="33"/>
      <c r="AI611" s="33"/>
      <c r="AJ611" s="34"/>
      <c r="AK611" s="33"/>
      <c r="AL611" s="33"/>
      <c r="AM611" s="33"/>
      <c r="AN611" s="34"/>
      <c r="AO611" s="34"/>
      <c r="AP611" s="33"/>
      <c r="AQ611" s="34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4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5"/>
      <c r="CC611" s="33"/>
      <c r="CD611" s="33"/>
      <c r="CE611" s="33"/>
      <c r="CF611" s="34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4"/>
      <c r="DA611" s="33"/>
      <c r="DB611" s="33"/>
      <c r="DC611" s="33"/>
      <c r="DD611" s="33"/>
      <c r="DE611" s="33"/>
      <c r="DF611" s="33" t="s">
        <v>216</v>
      </c>
      <c r="DG611" s="33" t="s">
        <v>280</v>
      </c>
      <c r="DH611" s="33">
        <v>270</v>
      </c>
      <c r="DI611" s="33"/>
      <c r="DJ611" s="33"/>
      <c r="DK611" s="33"/>
      <c r="DL611" s="33"/>
      <c r="DM611" s="34"/>
      <c r="DN611" s="34"/>
      <c r="DO611" s="33" t="s">
        <v>227</v>
      </c>
      <c r="DP611" s="33" t="s">
        <v>217</v>
      </c>
      <c r="DQ611" s="33"/>
      <c r="DR611" s="33" t="s">
        <v>276</v>
      </c>
      <c r="DS611" s="33">
        <v>260</v>
      </c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8"/>
    </row>
    <row r="612" spans="2:137" ht="13.2">
      <c r="B612" s="30" t="str">
        <f t="shared" si="20"/>
        <v>2025/5</v>
      </c>
      <c r="C612" s="31">
        <f t="shared" si="21"/>
        <v>1500</v>
      </c>
      <c r="D612" s="32">
        <v>45806</v>
      </c>
      <c r="E612" s="33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3"/>
      <c r="R612" s="33"/>
      <c r="S612" s="33"/>
      <c r="T612" s="33"/>
      <c r="U612" s="35"/>
      <c r="V612" s="36"/>
      <c r="W612" s="37"/>
      <c r="X612" s="34"/>
      <c r="Y612" s="33"/>
      <c r="Z612" s="33"/>
      <c r="AA612" s="33"/>
      <c r="AB612" s="35"/>
      <c r="AC612" s="34"/>
      <c r="AD612" s="34"/>
      <c r="AE612" s="34"/>
      <c r="AF612" s="34"/>
      <c r="AG612" s="34"/>
      <c r="AH612" s="33"/>
      <c r="AI612" s="33"/>
      <c r="AJ612" s="34"/>
      <c r="AK612" s="33"/>
      <c r="AL612" s="33"/>
      <c r="AM612" s="33"/>
      <c r="AN612" s="34"/>
      <c r="AO612" s="34"/>
      <c r="AP612" s="33"/>
      <c r="AQ612" s="34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4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5"/>
      <c r="CC612" s="33"/>
      <c r="CD612" s="33"/>
      <c r="CE612" s="33"/>
      <c r="CF612" s="34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4"/>
      <c r="DA612" s="33"/>
      <c r="DB612" s="33"/>
      <c r="DC612" s="33"/>
      <c r="DD612" s="33"/>
      <c r="DE612" s="33">
        <v>300</v>
      </c>
      <c r="DF612" s="33"/>
      <c r="DG612" s="33"/>
      <c r="DH612" s="33"/>
      <c r="DI612" s="33"/>
      <c r="DJ612" s="33"/>
      <c r="DK612" s="33"/>
      <c r="DL612" s="33"/>
      <c r="DM612" s="34"/>
      <c r="DN612" s="34"/>
      <c r="DO612" s="33"/>
      <c r="DP612" s="33"/>
      <c r="DQ612" s="33"/>
      <c r="DR612" s="33">
        <v>1200</v>
      </c>
      <c r="DS612" s="33"/>
      <c r="DT612" s="33"/>
      <c r="DU612" s="33"/>
      <c r="DV612" s="33" t="s">
        <v>280</v>
      </c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8"/>
    </row>
    <row r="613" spans="2:137" ht="13.2">
      <c r="B613" s="30" t="str">
        <f t="shared" si="20"/>
        <v>2025/5</v>
      </c>
      <c r="C613" s="31">
        <f t="shared" si="21"/>
        <v>1360</v>
      </c>
      <c r="D613" s="32">
        <v>45807</v>
      </c>
      <c r="E613" s="33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3"/>
      <c r="R613" s="33"/>
      <c r="S613" s="33"/>
      <c r="T613" s="33"/>
      <c r="U613" s="35"/>
      <c r="V613" s="36"/>
      <c r="W613" s="37"/>
      <c r="X613" s="34"/>
      <c r="Y613" s="33"/>
      <c r="Z613" s="33"/>
      <c r="AA613" s="33"/>
      <c r="AB613" s="35"/>
      <c r="AC613" s="34"/>
      <c r="AD613" s="34"/>
      <c r="AE613" s="34"/>
      <c r="AF613" s="34"/>
      <c r="AG613" s="34"/>
      <c r="AH613" s="33"/>
      <c r="AI613" s="33"/>
      <c r="AJ613" s="34"/>
      <c r="AK613" s="33"/>
      <c r="AL613" s="33"/>
      <c r="AM613" s="33"/>
      <c r="AN613" s="34"/>
      <c r="AO613" s="34"/>
      <c r="AP613" s="33"/>
      <c r="AQ613" s="34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4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5"/>
      <c r="CC613" s="33"/>
      <c r="CD613" s="33"/>
      <c r="CE613" s="33"/>
      <c r="CF613" s="34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4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4"/>
      <c r="DN613" s="34"/>
      <c r="DO613" s="33"/>
      <c r="DP613" s="33">
        <v>1040</v>
      </c>
      <c r="DQ613" s="33" t="s">
        <v>277</v>
      </c>
      <c r="DR613" s="33"/>
      <c r="DS613" s="33"/>
      <c r="DT613" s="33">
        <v>320</v>
      </c>
      <c r="DU613" s="33" t="s">
        <v>277</v>
      </c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8"/>
    </row>
    <row r="614" spans="2:137" ht="13.2">
      <c r="B614" s="30" t="str">
        <f t="shared" si="20"/>
        <v>2025/6</v>
      </c>
      <c r="C614" s="31">
        <f t="shared" si="21"/>
        <v>3643</v>
      </c>
      <c r="D614" s="32">
        <v>45812</v>
      </c>
      <c r="E614" s="33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3"/>
      <c r="R614" s="33"/>
      <c r="S614" s="33"/>
      <c r="T614" s="33"/>
      <c r="U614" s="35"/>
      <c r="V614" s="36"/>
      <c r="W614" s="37"/>
      <c r="X614" s="34"/>
      <c r="Y614" s="33"/>
      <c r="Z614" s="33"/>
      <c r="AA614" s="33"/>
      <c r="AB614" s="35"/>
      <c r="AC614" s="34"/>
      <c r="AD614" s="34"/>
      <c r="AE614" s="34"/>
      <c r="AF614" s="34"/>
      <c r="AG614" s="34"/>
      <c r="AH614" s="33"/>
      <c r="AI614" s="33"/>
      <c r="AJ614" s="34"/>
      <c r="AK614" s="33"/>
      <c r="AL614" s="33"/>
      <c r="AM614" s="33"/>
      <c r="AN614" s="34"/>
      <c r="AO614" s="34"/>
      <c r="AP614" s="33"/>
      <c r="AQ614" s="34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4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5"/>
      <c r="CC614" s="33"/>
      <c r="CD614" s="33"/>
      <c r="CE614" s="33"/>
      <c r="CF614" s="34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4"/>
      <c r="DA614" s="33"/>
      <c r="DB614" s="33"/>
      <c r="DC614" s="33"/>
      <c r="DD614" s="33"/>
      <c r="DE614" s="33"/>
      <c r="DF614" s="33" t="s">
        <v>217</v>
      </c>
      <c r="DG614" s="33" t="s">
        <v>281</v>
      </c>
      <c r="DH614" s="33"/>
      <c r="DI614" s="33"/>
      <c r="DJ614" s="33"/>
      <c r="DK614" s="33"/>
      <c r="DL614" s="33"/>
      <c r="DM614" s="34"/>
      <c r="DN614" s="34"/>
      <c r="DO614" s="33">
        <v>400</v>
      </c>
      <c r="DP614" s="33"/>
      <c r="DQ614" s="33"/>
      <c r="DR614" s="33" t="s">
        <v>216</v>
      </c>
      <c r="DS614" s="33">
        <v>260</v>
      </c>
      <c r="DT614" s="33"/>
      <c r="DU614" s="33"/>
      <c r="DV614" s="33">
        <v>1233</v>
      </c>
      <c r="DW614" s="33"/>
      <c r="DX614" s="33"/>
      <c r="DY614" s="33"/>
      <c r="DZ614" s="33"/>
      <c r="EA614" s="33"/>
      <c r="EB614" s="33"/>
      <c r="EC614" s="33"/>
      <c r="ED614" s="33"/>
      <c r="EE614" s="33">
        <v>1750</v>
      </c>
      <c r="EF614" s="33"/>
      <c r="EG614" s="38"/>
    </row>
    <row r="615" spans="2:137" ht="13.2">
      <c r="B615" s="30" t="str">
        <f t="shared" si="20"/>
        <v>2025/6</v>
      </c>
      <c r="C615" s="31">
        <f t="shared" si="21"/>
        <v>3020</v>
      </c>
      <c r="D615" s="32">
        <v>45813</v>
      </c>
      <c r="E615" s="33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3"/>
      <c r="R615" s="33"/>
      <c r="S615" s="33"/>
      <c r="T615" s="33"/>
      <c r="U615" s="35"/>
      <c r="V615" s="36"/>
      <c r="W615" s="37"/>
      <c r="X615" s="34"/>
      <c r="Y615" s="33"/>
      <c r="Z615" s="33"/>
      <c r="AA615" s="33"/>
      <c r="AB615" s="35"/>
      <c r="AC615" s="34"/>
      <c r="AD615" s="34"/>
      <c r="AE615" s="34"/>
      <c r="AF615" s="34"/>
      <c r="AG615" s="34"/>
      <c r="AH615" s="33"/>
      <c r="AI615" s="33"/>
      <c r="AJ615" s="34"/>
      <c r="AK615" s="33"/>
      <c r="AL615" s="33"/>
      <c r="AM615" s="33"/>
      <c r="AN615" s="34"/>
      <c r="AO615" s="34"/>
      <c r="AP615" s="33"/>
      <c r="AQ615" s="34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4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5"/>
      <c r="CC615" s="33"/>
      <c r="CD615" s="33"/>
      <c r="CE615" s="33"/>
      <c r="CF615" s="34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4"/>
      <c r="DA615" s="33"/>
      <c r="DB615" s="33"/>
      <c r="DC615" s="33"/>
      <c r="DD615" s="33"/>
      <c r="DE615" s="33"/>
      <c r="DF615" s="33"/>
      <c r="DG615" s="33">
        <v>1700</v>
      </c>
      <c r="DH615" s="33"/>
      <c r="DI615" s="33"/>
      <c r="DJ615" s="33"/>
      <c r="DK615" s="33"/>
      <c r="DL615" s="33"/>
      <c r="DM615" s="34"/>
      <c r="DN615" s="34"/>
      <c r="DO615" s="33">
        <v>200</v>
      </c>
      <c r="DP615" s="33" t="s">
        <v>277</v>
      </c>
      <c r="DQ615" s="33"/>
      <c r="DR615" s="33"/>
      <c r="DS615" s="33"/>
      <c r="DT615" s="33"/>
      <c r="DU615" s="33">
        <v>1120</v>
      </c>
      <c r="DV615" s="33" t="s">
        <v>281</v>
      </c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8"/>
    </row>
    <row r="616" spans="2:137" ht="13.2">
      <c r="B616" s="30" t="str">
        <f t="shared" si="20"/>
        <v>2025/6</v>
      </c>
      <c r="C616" s="31">
        <f t="shared" si="21"/>
        <v>1740</v>
      </c>
      <c r="D616" s="32">
        <v>45814</v>
      </c>
      <c r="E616" s="33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3"/>
      <c r="R616" s="33"/>
      <c r="S616" s="33"/>
      <c r="T616" s="33"/>
      <c r="U616" s="35"/>
      <c r="V616" s="36"/>
      <c r="W616" s="37"/>
      <c r="X616" s="34"/>
      <c r="Y616" s="33"/>
      <c r="Z616" s="33"/>
      <c r="AA616" s="33"/>
      <c r="AB616" s="35"/>
      <c r="AC616" s="34"/>
      <c r="AD616" s="34"/>
      <c r="AE616" s="34"/>
      <c r="AF616" s="34"/>
      <c r="AG616" s="34"/>
      <c r="AH616" s="33"/>
      <c r="AI616" s="33"/>
      <c r="AJ616" s="34"/>
      <c r="AK616" s="33"/>
      <c r="AL616" s="33"/>
      <c r="AM616" s="33"/>
      <c r="AN616" s="34"/>
      <c r="AO616" s="34"/>
      <c r="AP616" s="33"/>
      <c r="AQ616" s="34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4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5"/>
      <c r="CC616" s="33"/>
      <c r="CD616" s="33"/>
      <c r="CE616" s="33"/>
      <c r="CF616" s="34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4"/>
      <c r="DA616" s="33"/>
      <c r="DB616" s="33"/>
      <c r="DC616" s="33"/>
      <c r="DD616" s="33"/>
      <c r="DE616" s="33">
        <v>300</v>
      </c>
      <c r="DF616" s="33"/>
      <c r="DG616" s="33"/>
      <c r="DH616" s="33"/>
      <c r="DI616" s="33"/>
      <c r="DJ616" s="33"/>
      <c r="DK616" s="33"/>
      <c r="DL616" s="33"/>
      <c r="DM616" s="34"/>
      <c r="DN616" s="34" t="s">
        <v>269</v>
      </c>
      <c r="DO616" s="33"/>
      <c r="DP616" s="33"/>
      <c r="DQ616" s="33">
        <v>1120</v>
      </c>
      <c r="DR616" s="33"/>
      <c r="DS616" s="33"/>
      <c r="DT616" s="33">
        <v>320</v>
      </c>
      <c r="DU616" s="33" t="s">
        <v>215</v>
      </c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8"/>
    </row>
    <row r="617" spans="2:137" ht="13.2">
      <c r="B617" s="30" t="str">
        <f t="shared" si="20"/>
        <v>2025/6</v>
      </c>
      <c r="C617" s="31">
        <f t="shared" si="21"/>
        <v>300</v>
      </c>
      <c r="D617" s="32">
        <v>45818</v>
      </c>
      <c r="E617" s="33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3"/>
      <c r="R617" s="33"/>
      <c r="S617" s="33"/>
      <c r="T617" s="33"/>
      <c r="U617" s="35"/>
      <c r="V617" s="36"/>
      <c r="W617" s="37"/>
      <c r="X617" s="34"/>
      <c r="Y617" s="33"/>
      <c r="Z617" s="33"/>
      <c r="AA617" s="33"/>
      <c r="AB617" s="35"/>
      <c r="AC617" s="34"/>
      <c r="AD617" s="34"/>
      <c r="AE617" s="34"/>
      <c r="AF617" s="34"/>
      <c r="AG617" s="34"/>
      <c r="AH617" s="33"/>
      <c r="AI617" s="33"/>
      <c r="AJ617" s="34"/>
      <c r="AK617" s="33"/>
      <c r="AL617" s="33"/>
      <c r="AM617" s="33"/>
      <c r="AN617" s="34"/>
      <c r="AO617" s="34"/>
      <c r="AP617" s="33"/>
      <c r="AQ617" s="34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4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5"/>
      <c r="CC617" s="33"/>
      <c r="CD617" s="33"/>
      <c r="CE617" s="33"/>
      <c r="CF617" s="34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4"/>
      <c r="DA617" s="33"/>
      <c r="DB617" s="33"/>
      <c r="DC617" s="33"/>
      <c r="DD617" s="33"/>
      <c r="DE617" s="33"/>
      <c r="DF617" s="33"/>
      <c r="DG617" s="33"/>
      <c r="DH617" s="33"/>
      <c r="DI617" s="33">
        <v>300</v>
      </c>
      <c r="DJ617" s="33"/>
      <c r="DK617" s="33"/>
      <c r="DL617" s="33"/>
      <c r="DM617" s="34"/>
      <c r="DN617" s="34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8"/>
    </row>
    <row r="618" spans="2:137" ht="13.2">
      <c r="B618" s="30" t="str">
        <f t="shared" si="20"/>
        <v>2025/6</v>
      </c>
      <c r="C618" s="31">
        <f t="shared" si="21"/>
        <v>520</v>
      </c>
      <c r="D618" s="32">
        <v>45819</v>
      </c>
      <c r="E618" s="33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3"/>
      <c r="R618" s="33"/>
      <c r="S618" s="33"/>
      <c r="T618" s="33"/>
      <c r="U618" s="35"/>
      <c r="V618" s="36"/>
      <c r="W618" s="37"/>
      <c r="X618" s="34"/>
      <c r="Y618" s="33"/>
      <c r="Z618" s="33"/>
      <c r="AA618" s="33"/>
      <c r="AB618" s="35"/>
      <c r="AC618" s="34"/>
      <c r="AD618" s="34"/>
      <c r="AE618" s="34"/>
      <c r="AF618" s="34"/>
      <c r="AG618" s="34"/>
      <c r="AH618" s="33"/>
      <c r="AI618" s="33"/>
      <c r="AJ618" s="34"/>
      <c r="AK618" s="33"/>
      <c r="AL618" s="33"/>
      <c r="AM618" s="33"/>
      <c r="AN618" s="34"/>
      <c r="AO618" s="34"/>
      <c r="AP618" s="33"/>
      <c r="AQ618" s="34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4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5"/>
      <c r="CC618" s="33"/>
      <c r="CD618" s="33"/>
      <c r="CE618" s="33"/>
      <c r="CF618" s="34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4"/>
      <c r="DA618" s="33"/>
      <c r="DB618" s="33">
        <v>260</v>
      </c>
      <c r="DC618" s="33"/>
      <c r="DD618" s="33"/>
      <c r="DE618" s="33"/>
      <c r="DF618" s="33" t="s">
        <v>218</v>
      </c>
      <c r="DG618" s="33" t="s">
        <v>296</v>
      </c>
      <c r="DH618" s="33"/>
      <c r="DI618" s="33"/>
      <c r="DJ618" s="33"/>
      <c r="DK618" s="33"/>
      <c r="DL618" s="33"/>
      <c r="DM618" s="34"/>
      <c r="DN618" s="34"/>
      <c r="DO618" s="33"/>
      <c r="DP618" s="33"/>
      <c r="DQ618" s="33"/>
      <c r="DR618" s="33" t="s">
        <v>217</v>
      </c>
      <c r="DS618" s="33">
        <v>260</v>
      </c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8"/>
    </row>
    <row r="619" spans="2:137" ht="13.2">
      <c r="B619" s="30" t="str">
        <f t="shared" si="20"/>
        <v>2025/6</v>
      </c>
      <c r="C619" s="31">
        <f t="shared" si="21"/>
        <v>200</v>
      </c>
      <c r="D619" s="32">
        <v>45820</v>
      </c>
      <c r="E619" s="33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3"/>
      <c r="R619" s="33"/>
      <c r="S619" s="33"/>
      <c r="T619" s="33"/>
      <c r="U619" s="35"/>
      <c r="V619" s="36"/>
      <c r="W619" s="37"/>
      <c r="X619" s="34"/>
      <c r="Y619" s="33"/>
      <c r="Z619" s="33"/>
      <c r="AA619" s="33"/>
      <c r="AB619" s="35"/>
      <c r="AC619" s="34"/>
      <c r="AD619" s="34"/>
      <c r="AE619" s="34"/>
      <c r="AF619" s="34"/>
      <c r="AG619" s="34"/>
      <c r="AH619" s="33"/>
      <c r="AI619" s="33"/>
      <c r="AJ619" s="34"/>
      <c r="AK619" s="33"/>
      <c r="AL619" s="33"/>
      <c r="AM619" s="33"/>
      <c r="AN619" s="34"/>
      <c r="AO619" s="34"/>
      <c r="AP619" s="33"/>
      <c r="AQ619" s="34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4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5"/>
      <c r="CC619" s="33"/>
      <c r="CD619" s="33"/>
      <c r="CE619" s="33"/>
      <c r="CF619" s="34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4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4"/>
      <c r="DN619" s="34"/>
      <c r="DO619" s="33">
        <v>200</v>
      </c>
      <c r="DP619" s="33" t="s">
        <v>215</v>
      </c>
      <c r="DQ619" s="33" t="s">
        <v>215</v>
      </c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8"/>
    </row>
    <row r="620" spans="2:137" ht="13.2">
      <c r="B620" s="30" t="str">
        <f t="shared" si="20"/>
        <v>2025/6</v>
      </c>
      <c r="C620" s="31">
        <f t="shared" si="21"/>
        <v>590</v>
      </c>
      <c r="D620" s="32">
        <v>45821</v>
      </c>
      <c r="E620" s="33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3"/>
      <c r="R620" s="33"/>
      <c r="S620" s="33"/>
      <c r="T620" s="33"/>
      <c r="U620" s="35"/>
      <c r="V620" s="36"/>
      <c r="W620" s="37"/>
      <c r="X620" s="34"/>
      <c r="Y620" s="33"/>
      <c r="Z620" s="33"/>
      <c r="AA620" s="33"/>
      <c r="AB620" s="35"/>
      <c r="AC620" s="34"/>
      <c r="AD620" s="34"/>
      <c r="AE620" s="34"/>
      <c r="AF620" s="34"/>
      <c r="AG620" s="34"/>
      <c r="AH620" s="33"/>
      <c r="AI620" s="33"/>
      <c r="AJ620" s="34"/>
      <c r="AK620" s="33"/>
      <c r="AL620" s="33"/>
      <c r="AM620" s="33"/>
      <c r="AN620" s="34"/>
      <c r="AO620" s="34"/>
      <c r="AP620" s="33"/>
      <c r="AQ620" s="34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4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5"/>
      <c r="CC620" s="33"/>
      <c r="CD620" s="33"/>
      <c r="CE620" s="33"/>
      <c r="CF620" s="34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4"/>
      <c r="DA620" s="33"/>
      <c r="DB620" s="33"/>
      <c r="DC620" s="33"/>
      <c r="DD620" s="33"/>
      <c r="DE620" s="33"/>
      <c r="DF620" s="33"/>
      <c r="DG620" s="33"/>
      <c r="DH620" s="33">
        <v>270</v>
      </c>
      <c r="DI620" s="33"/>
      <c r="DJ620" s="33"/>
      <c r="DK620" s="33"/>
      <c r="DL620" s="33"/>
      <c r="DM620" s="34"/>
      <c r="DN620" s="34" t="s">
        <v>271</v>
      </c>
      <c r="DO620" s="33"/>
      <c r="DP620" s="33"/>
      <c r="DQ620" s="33" t="s">
        <v>216</v>
      </c>
      <c r="DR620" s="33"/>
      <c r="DS620" s="33"/>
      <c r="DT620" s="33">
        <v>320</v>
      </c>
      <c r="DU620" s="33" t="s">
        <v>216</v>
      </c>
      <c r="DV620" s="33" t="s">
        <v>296</v>
      </c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8"/>
    </row>
    <row r="621" spans="2:137" ht="13.2">
      <c r="B621" s="30" t="str">
        <f t="shared" si="20"/>
        <v>2025/6</v>
      </c>
      <c r="C621" s="31">
        <f t="shared" si="21"/>
        <v>320</v>
      </c>
      <c r="D621" s="32">
        <v>45825</v>
      </c>
      <c r="E621" s="33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3"/>
      <c r="R621" s="33"/>
      <c r="S621" s="33"/>
      <c r="T621" s="33"/>
      <c r="U621" s="35"/>
      <c r="V621" s="36"/>
      <c r="W621" s="37"/>
      <c r="X621" s="34"/>
      <c r="Y621" s="33"/>
      <c r="Z621" s="33"/>
      <c r="AA621" s="33"/>
      <c r="AB621" s="35"/>
      <c r="AC621" s="34"/>
      <c r="AD621" s="34"/>
      <c r="AE621" s="34"/>
      <c r="AF621" s="34"/>
      <c r="AG621" s="34"/>
      <c r="AH621" s="33"/>
      <c r="AI621" s="33"/>
      <c r="AJ621" s="34"/>
      <c r="AK621" s="33"/>
      <c r="AL621" s="33"/>
      <c r="AM621" s="33"/>
      <c r="AN621" s="34"/>
      <c r="AO621" s="34"/>
      <c r="AP621" s="33"/>
      <c r="AQ621" s="34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4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5"/>
      <c r="CC621" s="33"/>
      <c r="CD621" s="33"/>
      <c r="CE621" s="33"/>
      <c r="CF621" s="34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4"/>
      <c r="DA621" s="33"/>
      <c r="DB621" s="33"/>
      <c r="DC621" s="33"/>
      <c r="DD621" s="33"/>
      <c r="DE621" s="33"/>
      <c r="DF621" s="33"/>
      <c r="DG621" s="33" t="s">
        <v>297</v>
      </c>
      <c r="DH621" s="33"/>
      <c r="DI621" s="33"/>
      <c r="DJ621" s="33"/>
      <c r="DK621" s="33"/>
      <c r="DL621" s="33"/>
      <c r="DM621" s="34"/>
      <c r="DN621" s="34"/>
      <c r="DO621" s="33"/>
      <c r="DP621" s="33"/>
      <c r="DQ621" s="33"/>
      <c r="DR621" s="33"/>
      <c r="DS621" s="33"/>
      <c r="DT621" s="33">
        <v>320</v>
      </c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8"/>
    </row>
    <row r="622" spans="2:137" ht="13.2">
      <c r="B622" s="30" t="str">
        <f t="shared" si="20"/>
        <v>2025/6</v>
      </c>
      <c r="C622" s="31">
        <f t="shared" si="21"/>
        <v>910</v>
      </c>
      <c r="D622" s="32">
        <v>45826</v>
      </c>
      <c r="E622" s="33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3"/>
      <c r="R622" s="33"/>
      <c r="S622" s="33"/>
      <c r="T622" s="33"/>
      <c r="U622" s="35"/>
      <c r="V622" s="36"/>
      <c r="W622" s="37"/>
      <c r="X622" s="34"/>
      <c r="Y622" s="33"/>
      <c r="Z622" s="33"/>
      <c r="AA622" s="33"/>
      <c r="AB622" s="35"/>
      <c r="AC622" s="34"/>
      <c r="AD622" s="34"/>
      <c r="AE622" s="34"/>
      <c r="AF622" s="34"/>
      <c r="AG622" s="34"/>
      <c r="AH622" s="33"/>
      <c r="AI622" s="33"/>
      <c r="AJ622" s="34"/>
      <c r="AK622" s="33"/>
      <c r="AL622" s="33"/>
      <c r="AM622" s="33"/>
      <c r="AN622" s="34"/>
      <c r="AO622" s="34"/>
      <c r="AP622" s="33"/>
      <c r="AQ622" s="34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4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5"/>
      <c r="CC622" s="33"/>
      <c r="CD622" s="33"/>
      <c r="CE622" s="33"/>
      <c r="CF622" s="34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4"/>
      <c r="DA622" s="33"/>
      <c r="DB622" s="33"/>
      <c r="DC622" s="33"/>
      <c r="DD622" s="33"/>
      <c r="DE622" s="33"/>
      <c r="DF622" s="33"/>
      <c r="DG622" s="33"/>
      <c r="DH622" s="33"/>
      <c r="DI622" s="33">
        <v>300</v>
      </c>
      <c r="DJ622" s="33"/>
      <c r="DK622" s="33">
        <v>350</v>
      </c>
      <c r="DL622" s="33"/>
      <c r="DM622" s="34"/>
      <c r="DN622" s="34"/>
      <c r="DO622" s="33"/>
      <c r="DP622" s="33"/>
      <c r="DQ622" s="33"/>
      <c r="DR622" s="33" t="s">
        <v>218</v>
      </c>
      <c r="DS622" s="33">
        <v>260</v>
      </c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8"/>
    </row>
    <row r="623" spans="2:137" ht="13.2">
      <c r="B623" s="30" t="str">
        <f t="shared" si="20"/>
        <v>2025/6</v>
      </c>
      <c r="C623" s="31" t="str">
        <f t="shared" si="21"/>
        <v/>
      </c>
      <c r="D623" s="32">
        <v>45827</v>
      </c>
      <c r="E623" s="33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3"/>
      <c r="R623" s="33"/>
      <c r="S623" s="33"/>
      <c r="T623" s="33"/>
      <c r="U623" s="35"/>
      <c r="V623" s="36"/>
      <c r="W623" s="37"/>
      <c r="X623" s="34"/>
      <c r="Y623" s="33"/>
      <c r="Z623" s="33"/>
      <c r="AA623" s="33"/>
      <c r="AB623" s="35"/>
      <c r="AC623" s="34"/>
      <c r="AD623" s="34"/>
      <c r="AE623" s="34"/>
      <c r="AF623" s="34"/>
      <c r="AG623" s="34"/>
      <c r="AH623" s="33"/>
      <c r="AI623" s="33"/>
      <c r="AJ623" s="34"/>
      <c r="AK623" s="33"/>
      <c r="AL623" s="33"/>
      <c r="AM623" s="33"/>
      <c r="AN623" s="34"/>
      <c r="AO623" s="34"/>
      <c r="AP623" s="33"/>
      <c r="AQ623" s="34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4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5"/>
      <c r="CC623" s="33"/>
      <c r="CD623" s="33"/>
      <c r="CE623" s="33"/>
      <c r="CF623" s="34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4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4"/>
      <c r="DN623" s="34"/>
      <c r="DO623" s="33"/>
      <c r="DP623" s="33" t="s">
        <v>216</v>
      </c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8"/>
    </row>
    <row r="624" spans="2:137" ht="13.2">
      <c r="B624" s="30" t="str">
        <f t="shared" si="20"/>
        <v>2025/6</v>
      </c>
      <c r="C624" s="31">
        <f t="shared" si="21"/>
        <v>1720</v>
      </c>
      <c r="D624" s="32">
        <v>45828</v>
      </c>
      <c r="E624" s="33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3"/>
      <c r="R624" s="33"/>
      <c r="S624" s="33"/>
      <c r="T624" s="33"/>
      <c r="U624" s="35"/>
      <c r="V624" s="36"/>
      <c r="W624" s="37"/>
      <c r="X624" s="34"/>
      <c r="Y624" s="33"/>
      <c r="Z624" s="33"/>
      <c r="AA624" s="33"/>
      <c r="AB624" s="35"/>
      <c r="AC624" s="34"/>
      <c r="AD624" s="34"/>
      <c r="AE624" s="34"/>
      <c r="AF624" s="34"/>
      <c r="AG624" s="34"/>
      <c r="AH624" s="33"/>
      <c r="AI624" s="33"/>
      <c r="AJ624" s="34"/>
      <c r="AK624" s="33"/>
      <c r="AL624" s="33"/>
      <c r="AM624" s="33"/>
      <c r="AN624" s="34"/>
      <c r="AO624" s="34"/>
      <c r="AP624" s="33"/>
      <c r="AQ624" s="34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4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5"/>
      <c r="CC624" s="33"/>
      <c r="CD624" s="33"/>
      <c r="CE624" s="33"/>
      <c r="CF624" s="34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4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4"/>
      <c r="DN624" s="34" t="s">
        <v>276</v>
      </c>
      <c r="DO624" s="33">
        <v>200</v>
      </c>
      <c r="DP624" s="33"/>
      <c r="DQ624" s="33" t="s">
        <v>217</v>
      </c>
      <c r="DR624" s="33">
        <v>1200</v>
      </c>
      <c r="DS624" s="33"/>
      <c r="DT624" s="33">
        <v>320</v>
      </c>
      <c r="DU624" s="33" t="s">
        <v>217</v>
      </c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8"/>
    </row>
    <row r="625" spans="2:137" ht="13.2">
      <c r="B625" s="30" t="str">
        <f t="shared" si="20"/>
        <v>2025/6</v>
      </c>
      <c r="C625" s="31">
        <f t="shared" si="21"/>
        <v>560</v>
      </c>
      <c r="D625" s="32">
        <v>45833</v>
      </c>
      <c r="E625" s="33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3"/>
      <c r="R625" s="33"/>
      <c r="S625" s="33"/>
      <c r="T625" s="33"/>
      <c r="U625" s="35"/>
      <c r="V625" s="36"/>
      <c r="W625" s="37"/>
      <c r="X625" s="34"/>
      <c r="Y625" s="33"/>
      <c r="Z625" s="33"/>
      <c r="AA625" s="33"/>
      <c r="AB625" s="35"/>
      <c r="AC625" s="34"/>
      <c r="AD625" s="34"/>
      <c r="AE625" s="34"/>
      <c r="AF625" s="34"/>
      <c r="AG625" s="34"/>
      <c r="AH625" s="33"/>
      <c r="AI625" s="33"/>
      <c r="AJ625" s="34"/>
      <c r="AK625" s="33"/>
      <c r="AL625" s="33"/>
      <c r="AM625" s="33"/>
      <c r="AN625" s="34"/>
      <c r="AO625" s="34"/>
      <c r="AP625" s="33"/>
      <c r="AQ625" s="34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4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5"/>
      <c r="CC625" s="33"/>
      <c r="CD625" s="33"/>
      <c r="CE625" s="33"/>
      <c r="CF625" s="34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4"/>
      <c r="DA625" s="33"/>
      <c r="DB625" s="33"/>
      <c r="DC625" s="33"/>
      <c r="DD625" s="33"/>
      <c r="DE625" s="33"/>
      <c r="DF625" s="33"/>
      <c r="DG625" s="33" t="s">
        <v>273</v>
      </c>
      <c r="DH625" s="33"/>
      <c r="DI625" s="33">
        <v>300</v>
      </c>
      <c r="DJ625" s="33"/>
      <c r="DK625" s="33"/>
      <c r="DL625" s="33"/>
      <c r="DM625" s="34"/>
      <c r="DN625" s="34"/>
      <c r="DO625" s="33"/>
      <c r="DP625" s="33"/>
      <c r="DQ625" s="33"/>
      <c r="DR625" s="33" t="s">
        <v>215</v>
      </c>
      <c r="DS625" s="33">
        <v>260</v>
      </c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8"/>
    </row>
    <row r="626" spans="2:137" ht="13.2">
      <c r="B626" s="30" t="str">
        <f t="shared" si="20"/>
        <v>2025/6</v>
      </c>
      <c r="C626" s="31">
        <f t="shared" si="21"/>
        <v>1025</v>
      </c>
      <c r="D626" s="32">
        <v>45834</v>
      </c>
      <c r="E626" s="33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3"/>
      <c r="R626" s="33"/>
      <c r="S626" s="33"/>
      <c r="T626" s="33"/>
      <c r="U626" s="35"/>
      <c r="V626" s="36"/>
      <c r="W626" s="37"/>
      <c r="X626" s="34"/>
      <c r="Y626" s="33"/>
      <c r="Z626" s="33"/>
      <c r="AA626" s="33"/>
      <c r="AB626" s="35"/>
      <c r="AC626" s="34"/>
      <c r="AD626" s="34"/>
      <c r="AE626" s="34"/>
      <c r="AF626" s="34"/>
      <c r="AG626" s="34"/>
      <c r="AH626" s="33"/>
      <c r="AI626" s="33"/>
      <c r="AJ626" s="34"/>
      <c r="AK626" s="33"/>
      <c r="AL626" s="33"/>
      <c r="AM626" s="33"/>
      <c r="AN626" s="34"/>
      <c r="AO626" s="34"/>
      <c r="AP626" s="33"/>
      <c r="AQ626" s="34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4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5"/>
      <c r="CC626" s="33"/>
      <c r="CD626" s="33"/>
      <c r="CE626" s="33"/>
      <c r="CF626" s="34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4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>
        <v>350</v>
      </c>
      <c r="DL626" s="33"/>
      <c r="DM626" s="34"/>
      <c r="DN626" s="34">
        <v>675</v>
      </c>
      <c r="DO626" s="33" t="s">
        <v>227</v>
      </c>
      <c r="DP626" s="33" t="s">
        <v>298</v>
      </c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8"/>
    </row>
    <row r="627" spans="2:137" ht="13.2">
      <c r="B627" s="30" t="str">
        <f t="shared" si="20"/>
        <v>2025/6</v>
      </c>
      <c r="C627" s="31">
        <f t="shared" si="21"/>
        <v>320</v>
      </c>
      <c r="D627" s="32">
        <v>45835</v>
      </c>
      <c r="E627" s="33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3"/>
      <c r="R627" s="33"/>
      <c r="S627" s="33"/>
      <c r="T627" s="33"/>
      <c r="U627" s="35"/>
      <c r="V627" s="36"/>
      <c r="W627" s="37"/>
      <c r="X627" s="34"/>
      <c r="Y627" s="33"/>
      <c r="Z627" s="33"/>
      <c r="AA627" s="33"/>
      <c r="AB627" s="35"/>
      <c r="AC627" s="34"/>
      <c r="AD627" s="34"/>
      <c r="AE627" s="34"/>
      <c r="AF627" s="34"/>
      <c r="AG627" s="34"/>
      <c r="AH627" s="33"/>
      <c r="AI627" s="33"/>
      <c r="AJ627" s="34"/>
      <c r="AK627" s="33"/>
      <c r="AL627" s="33"/>
      <c r="AM627" s="33"/>
      <c r="AN627" s="34"/>
      <c r="AO627" s="34"/>
      <c r="AP627" s="33"/>
      <c r="AQ627" s="34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4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5"/>
      <c r="CC627" s="33"/>
      <c r="CD627" s="33"/>
      <c r="CE627" s="33"/>
      <c r="CF627" s="34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4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4"/>
      <c r="DN627" s="34" t="s">
        <v>269</v>
      </c>
      <c r="DO627" s="33"/>
      <c r="DP627" s="33"/>
      <c r="DQ627" s="33"/>
      <c r="DR627" s="33"/>
      <c r="DS627" s="33"/>
      <c r="DT627" s="33">
        <v>320</v>
      </c>
      <c r="DU627" s="33" t="s">
        <v>218</v>
      </c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8"/>
    </row>
    <row r="628" spans="2:137" ht="13.2">
      <c r="B628" s="30" t="str">
        <f t="shared" si="20"/>
        <v>2025/7</v>
      </c>
      <c r="C628" s="31">
        <f t="shared" si="21"/>
        <v>300</v>
      </c>
      <c r="D628" s="32">
        <v>45840</v>
      </c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  <c r="CA628" s="32"/>
      <c r="CB628" s="32"/>
      <c r="CC628" s="32"/>
      <c r="CD628" s="32"/>
      <c r="CE628" s="32"/>
      <c r="CF628" s="32"/>
      <c r="CG628" s="32"/>
      <c r="CH628" s="32"/>
      <c r="CI628" s="32"/>
      <c r="CJ628" s="32"/>
      <c r="CK628" s="32"/>
      <c r="CL628" s="32"/>
      <c r="CM628" s="32"/>
      <c r="CN628" s="32"/>
      <c r="CO628" s="32"/>
      <c r="CP628" s="32"/>
      <c r="CQ628" s="32"/>
      <c r="CR628" s="32"/>
      <c r="CS628" s="32"/>
      <c r="CT628" s="32"/>
      <c r="CU628" s="32"/>
      <c r="CV628" s="32"/>
      <c r="CW628" s="32"/>
      <c r="CX628" s="32"/>
      <c r="CY628" s="32"/>
      <c r="CZ628" s="32"/>
      <c r="DA628" s="32"/>
      <c r="DB628" s="32"/>
      <c r="DC628" s="32"/>
      <c r="DD628" s="32"/>
      <c r="DE628" s="32"/>
      <c r="DF628" s="32"/>
      <c r="DG628" s="33"/>
      <c r="DH628" s="33"/>
      <c r="DI628" s="33">
        <v>300</v>
      </c>
      <c r="DJ628" s="33"/>
      <c r="DK628" s="33"/>
      <c r="DL628" s="33"/>
      <c r="DM628" s="32"/>
      <c r="DN628" s="32"/>
      <c r="DO628" s="33"/>
      <c r="DP628" s="33"/>
      <c r="DQ628" s="33" t="s">
        <v>283</v>
      </c>
      <c r="DR628" s="33" t="s">
        <v>216</v>
      </c>
      <c r="DS628" s="33"/>
      <c r="DT628" s="33"/>
      <c r="DU628" s="33"/>
      <c r="DV628" s="33"/>
      <c r="DW628" s="33"/>
      <c r="DX628" s="33"/>
      <c r="DY628" s="32"/>
      <c r="DZ628" s="33"/>
      <c r="EA628" s="33"/>
      <c r="EB628" s="33"/>
      <c r="EC628" s="33"/>
      <c r="ED628" s="33"/>
      <c r="EE628" s="33"/>
      <c r="EF628" s="33"/>
      <c r="EG628" s="38"/>
    </row>
    <row r="629" spans="2:137" ht="13.2">
      <c r="B629" s="30" t="str">
        <f t="shared" si="20"/>
        <v>2025/7</v>
      </c>
      <c r="C629" s="31">
        <f t="shared" si="21"/>
        <v>1870</v>
      </c>
      <c r="D629" s="32">
        <v>45841</v>
      </c>
      <c r="E629" s="33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3"/>
      <c r="R629" s="33"/>
      <c r="S629" s="33"/>
      <c r="T629" s="33"/>
      <c r="U629" s="35"/>
      <c r="V629" s="36"/>
      <c r="W629" s="37"/>
      <c r="X629" s="34"/>
      <c r="Y629" s="33"/>
      <c r="Z629" s="33"/>
      <c r="AA629" s="33"/>
      <c r="AB629" s="35"/>
      <c r="AC629" s="34"/>
      <c r="AD629" s="34"/>
      <c r="AE629" s="34"/>
      <c r="AF629" s="34"/>
      <c r="AG629" s="34"/>
      <c r="AH629" s="33"/>
      <c r="AI629" s="33"/>
      <c r="AJ629" s="34"/>
      <c r="AK629" s="33"/>
      <c r="AL629" s="33"/>
      <c r="AM629" s="33"/>
      <c r="AN629" s="34"/>
      <c r="AO629" s="34"/>
      <c r="AP629" s="33"/>
      <c r="AQ629" s="34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4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5"/>
      <c r="CC629" s="33"/>
      <c r="CD629" s="33"/>
      <c r="CE629" s="33"/>
      <c r="CF629" s="34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4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>
        <v>350</v>
      </c>
      <c r="DL629" s="33"/>
      <c r="DM629" s="34"/>
      <c r="DN629" s="34" t="s">
        <v>271</v>
      </c>
      <c r="DO629" s="33">
        <v>400</v>
      </c>
      <c r="DP629" s="33" t="s">
        <v>218</v>
      </c>
      <c r="DQ629" s="33">
        <v>1120</v>
      </c>
      <c r="DR629" s="33"/>
      <c r="DS629" s="33"/>
      <c r="DT629" s="33" t="s">
        <v>227</v>
      </c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8"/>
    </row>
    <row r="630" spans="2:137" ht="13.2">
      <c r="B630" s="30" t="str">
        <f t="shared" si="20"/>
        <v>2025/7</v>
      </c>
      <c r="C630" s="31">
        <f t="shared" si="21"/>
        <v>2310</v>
      </c>
      <c r="D630" s="32">
        <v>45847</v>
      </c>
      <c r="E630" s="33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3"/>
      <c r="R630" s="33"/>
      <c r="S630" s="33"/>
      <c r="T630" s="33"/>
      <c r="U630" s="35"/>
      <c r="V630" s="36"/>
      <c r="W630" s="37"/>
      <c r="X630" s="34"/>
      <c r="Y630" s="33"/>
      <c r="Z630" s="33"/>
      <c r="AA630" s="33"/>
      <c r="AB630" s="35"/>
      <c r="AC630" s="34"/>
      <c r="AD630" s="34"/>
      <c r="AE630" s="34"/>
      <c r="AF630" s="34"/>
      <c r="AG630" s="34"/>
      <c r="AH630" s="33"/>
      <c r="AI630" s="33"/>
      <c r="AJ630" s="34"/>
      <c r="AK630" s="33"/>
      <c r="AL630" s="33"/>
      <c r="AM630" s="33"/>
      <c r="AN630" s="34"/>
      <c r="AO630" s="34"/>
      <c r="AP630" s="33"/>
      <c r="AQ630" s="34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4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5"/>
      <c r="CC630" s="33"/>
      <c r="CD630" s="33"/>
      <c r="CE630" s="33"/>
      <c r="CF630" s="34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4"/>
      <c r="DA630" s="33"/>
      <c r="DB630" s="33"/>
      <c r="DC630" s="33"/>
      <c r="DD630" s="33"/>
      <c r="DE630" s="33"/>
      <c r="DF630" s="33"/>
      <c r="DG630" s="33"/>
      <c r="DH630" s="33"/>
      <c r="DI630" s="33">
        <v>300</v>
      </c>
      <c r="DJ630" s="33"/>
      <c r="DK630" s="33"/>
      <c r="DL630" s="33"/>
      <c r="DM630" s="34"/>
      <c r="DN630" s="34"/>
      <c r="DO630" s="33"/>
      <c r="DP630" s="33"/>
      <c r="DQ630" s="33" t="s">
        <v>215</v>
      </c>
      <c r="DR630" s="33" t="s">
        <v>217</v>
      </c>
      <c r="DS630" s="33">
        <v>260</v>
      </c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>
        <v>1750</v>
      </c>
      <c r="EF630" s="33"/>
      <c r="EG630" s="38"/>
    </row>
    <row r="631" spans="2:137" ht="13.2">
      <c r="B631" s="30" t="str">
        <f t="shared" si="20"/>
        <v>2025/7</v>
      </c>
      <c r="C631" s="31">
        <f t="shared" si="21"/>
        <v>870</v>
      </c>
      <c r="D631" s="32">
        <v>45848</v>
      </c>
      <c r="E631" s="33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3"/>
      <c r="R631" s="33"/>
      <c r="S631" s="33"/>
      <c r="T631" s="33"/>
      <c r="U631" s="35"/>
      <c r="V631" s="36"/>
      <c r="W631" s="37"/>
      <c r="X631" s="34"/>
      <c r="Y631" s="33"/>
      <c r="Z631" s="33"/>
      <c r="AA631" s="33"/>
      <c r="AB631" s="35"/>
      <c r="AC631" s="34"/>
      <c r="AD631" s="34"/>
      <c r="AE631" s="34"/>
      <c r="AF631" s="34"/>
      <c r="AG631" s="34"/>
      <c r="AH631" s="33"/>
      <c r="AI631" s="33"/>
      <c r="AJ631" s="34"/>
      <c r="AK631" s="33"/>
      <c r="AL631" s="33"/>
      <c r="AM631" s="33"/>
      <c r="AN631" s="34"/>
      <c r="AO631" s="34"/>
      <c r="AP631" s="33"/>
      <c r="AQ631" s="34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4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5"/>
      <c r="CC631" s="33"/>
      <c r="CD631" s="33"/>
      <c r="CE631" s="33"/>
      <c r="CF631" s="34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4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>
        <v>350</v>
      </c>
      <c r="DL631" s="33"/>
      <c r="DM631" s="34"/>
      <c r="DN631" s="34"/>
      <c r="DO631" s="33">
        <v>200</v>
      </c>
      <c r="DP631" s="33" t="s">
        <v>299</v>
      </c>
      <c r="DQ631" s="33"/>
      <c r="DR631" s="33"/>
      <c r="DS631" s="33"/>
      <c r="DT631" s="33">
        <v>320</v>
      </c>
      <c r="DU631" s="33"/>
      <c r="DV631" s="33" t="s">
        <v>300</v>
      </c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8"/>
    </row>
    <row r="632" spans="2:137" ht="13.2">
      <c r="B632" s="30" t="str">
        <f t="shared" si="20"/>
        <v>2025/7</v>
      </c>
      <c r="C632" s="31">
        <f t="shared" si="21"/>
        <v>1233</v>
      </c>
      <c r="D632" s="32">
        <v>45849</v>
      </c>
      <c r="E632" s="33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3"/>
      <c r="R632" s="33"/>
      <c r="S632" s="33"/>
      <c r="T632" s="33"/>
      <c r="U632" s="35"/>
      <c r="V632" s="36"/>
      <c r="W632" s="37"/>
      <c r="X632" s="34"/>
      <c r="Y632" s="33"/>
      <c r="Z632" s="33"/>
      <c r="AA632" s="33"/>
      <c r="AB632" s="35"/>
      <c r="AC632" s="34"/>
      <c r="AD632" s="34"/>
      <c r="AE632" s="34"/>
      <c r="AF632" s="34"/>
      <c r="AG632" s="34"/>
      <c r="AH632" s="33"/>
      <c r="AI632" s="33"/>
      <c r="AJ632" s="34"/>
      <c r="AK632" s="33"/>
      <c r="AL632" s="33"/>
      <c r="AM632" s="33"/>
      <c r="AN632" s="34"/>
      <c r="AO632" s="34"/>
      <c r="AP632" s="33"/>
      <c r="AQ632" s="34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4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5"/>
      <c r="CC632" s="33"/>
      <c r="CD632" s="33"/>
      <c r="CE632" s="33"/>
      <c r="CF632" s="34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4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4"/>
      <c r="DN632" s="34" t="s">
        <v>283</v>
      </c>
      <c r="DO632" s="33"/>
      <c r="DP632" s="33"/>
      <c r="DQ632" s="33" t="s">
        <v>216</v>
      </c>
      <c r="DR632" s="33"/>
      <c r="DS632" s="33"/>
      <c r="DT632" s="33"/>
      <c r="DU632" s="33" t="s">
        <v>215</v>
      </c>
      <c r="DV632" s="33">
        <v>1233</v>
      </c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8"/>
    </row>
    <row r="633" spans="2:137" ht="13.2">
      <c r="B633" s="30" t="str">
        <f t="shared" si="20"/>
        <v>2025/7</v>
      </c>
      <c r="C633" s="31">
        <f t="shared" si="21"/>
        <v>3320</v>
      </c>
      <c r="D633" s="32">
        <v>45854</v>
      </c>
      <c r="E633" s="33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3"/>
      <c r="R633" s="33"/>
      <c r="S633" s="33"/>
      <c r="T633" s="33"/>
      <c r="U633" s="35"/>
      <c r="V633" s="36"/>
      <c r="W633" s="37"/>
      <c r="X633" s="34"/>
      <c r="Y633" s="33"/>
      <c r="Z633" s="33"/>
      <c r="AA633" s="33"/>
      <c r="AB633" s="35"/>
      <c r="AC633" s="34"/>
      <c r="AD633" s="34"/>
      <c r="AE633" s="34"/>
      <c r="AF633" s="34"/>
      <c r="AG633" s="34"/>
      <c r="AH633" s="33"/>
      <c r="AI633" s="33"/>
      <c r="AJ633" s="34"/>
      <c r="AK633" s="33"/>
      <c r="AL633" s="33"/>
      <c r="AM633" s="33"/>
      <c r="AN633" s="34"/>
      <c r="AO633" s="34"/>
      <c r="AP633" s="33"/>
      <c r="AQ633" s="34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4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5"/>
      <c r="CC633" s="33"/>
      <c r="CD633" s="33"/>
      <c r="CE633" s="33"/>
      <c r="CF633" s="34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4"/>
      <c r="DA633" s="33"/>
      <c r="DB633" s="33"/>
      <c r="DC633" s="33"/>
      <c r="DD633" s="33"/>
      <c r="DE633" s="33"/>
      <c r="DF633" s="33"/>
      <c r="DG633" s="33"/>
      <c r="DH633" s="33"/>
      <c r="DI633" s="33">
        <v>900</v>
      </c>
      <c r="DJ633" s="33"/>
      <c r="DK633" s="33"/>
      <c r="DL633" s="33"/>
      <c r="DM633" s="34"/>
      <c r="DN633" s="34"/>
      <c r="DO633" s="33"/>
      <c r="DP633" s="33">
        <v>1040</v>
      </c>
      <c r="DQ633" s="33"/>
      <c r="DR633" s="33" t="s">
        <v>218</v>
      </c>
      <c r="DS633" s="33">
        <v>260</v>
      </c>
      <c r="DT633" s="33" t="s">
        <v>227</v>
      </c>
      <c r="DU633" s="33">
        <v>1120</v>
      </c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8"/>
    </row>
    <row r="634" spans="2:137" ht="13.2">
      <c r="B634" s="30" t="str">
        <f t="shared" si="20"/>
        <v>2025/7</v>
      </c>
      <c r="C634" s="31">
        <f t="shared" si="21"/>
        <v>1450</v>
      </c>
      <c r="D634" s="32">
        <v>45855</v>
      </c>
      <c r="E634" s="33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3"/>
      <c r="R634" s="33"/>
      <c r="S634" s="33"/>
      <c r="T634" s="33"/>
      <c r="U634" s="35"/>
      <c r="V634" s="36"/>
      <c r="W634" s="37"/>
      <c r="X634" s="34"/>
      <c r="Y634" s="33"/>
      <c r="Z634" s="33"/>
      <c r="AA634" s="33"/>
      <c r="AB634" s="35"/>
      <c r="AC634" s="34"/>
      <c r="AD634" s="34"/>
      <c r="AE634" s="34"/>
      <c r="AF634" s="34"/>
      <c r="AG634" s="34"/>
      <c r="AH634" s="33"/>
      <c r="AI634" s="33"/>
      <c r="AJ634" s="34"/>
      <c r="AK634" s="33"/>
      <c r="AL634" s="33"/>
      <c r="AM634" s="33"/>
      <c r="AN634" s="34"/>
      <c r="AO634" s="34"/>
      <c r="AP634" s="33"/>
      <c r="AQ634" s="34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4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5"/>
      <c r="CC634" s="33"/>
      <c r="CD634" s="33"/>
      <c r="CE634" s="33"/>
      <c r="CF634" s="34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4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>
        <v>350</v>
      </c>
      <c r="DL634" s="33"/>
      <c r="DM634" s="34"/>
      <c r="DN634" s="34">
        <v>900</v>
      </c>
      <c r="DO634" s="33">
        <v>200</v>
      </c>
      <c r="DP634" s="33"/>
      <c r="DQ634" s="33" t="s">
        <v>271</v>
      </c>
      <c r="DR634" s="33"/>
      <c r="DS634" s="33"/>
      <c r="DT634" s="33"/>
      <c r="DU634" s="33" t="s">
        <v>216</v>
      </c>
      <c r="DV634" s="33" t="s">
        <v>215</v>
      </c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8"/>
    </row>
    <row r="635" spans="2:137" ht="13.2">
      <c r="B635" s="30" t="str">
        <f t="shared" si="20"/>
        <v>2025/7</v>
      </c>
      <c r="C635" s="31">
        <f t="shared" si="21"/>
        <v>1120</v>
      </c>
      <c r="D635" s="32">
        <v>45856</v>
      </c>
      <c r="E635" s="33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3"/>
      <c r="R635" s="33"/>
      <c r="S635" s="33"/>
      <c r="T635" s="33"/>
      <c r="U635" s="35"/>
      <c r="V635" s="36"/>
      <c r="W635" s="37"/>
      <c r="X635" s="34"/>
      <c r="Y635" s="33"/>
      <c r="Z635" s="33"/>
      <c r="AA635" s="33"/>
      <c r="AB635" s="35"/>
      <c r="AC635" s="34"/>
      <c r="AD635" s="34"/>
      <c r="AE635" s="34"/>
      <c r="AF635" s="34"/>
      <c r="AG635" s="34"/>
      <c r="AH635" s="33"/>
      <c r="AI635" s="33"/>
      <c r="AJ635" s="34"/>
      <c r="AK635" s="33"/>
      <c r="AL635" s="33"/>
      <c r="AM635" s="33"/>
      <c r="AN635" s="34"/>
      <c r="AO635" s="34"/>
      <c r="AP635" s="33"/>
      <c r="AQ635" s="34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4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5"/>
      <c r="CC635" s="33"/>
      <c r="CD635" s="33"/>
      <c r="CE635" s="33"/>
      <c r="CF635" s="34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4"/>
      <c r="DA635" s="33"/>
      <c r="DB635" s="33"/>
      <c r="DC635" s="33"/>
      <c r="DD635" s="33"/>
      <c r="DE635" s="33"/>
      <c r="DF635" s="33"/>
      <c r="DG635" s="33"/>
      <c r="DH635" s="33"/>
      <c r="DI635" s="33" t="s">
        <v>215</v>
      </c>
      <c r="DJ635" s="33"/>
      <c r="DK635" s="33"/>
      <c r="DL635" s="33"/>
      <c r="DM635" s="34"/>
      <c r="DN635" s="34" t="s">
        <v>276</v>
      </c>
      <c r="DO635" s="33"/>
      <c r="DP635" s="33" t="s">
        <v>216</v>
      </c>
      <c r="DQ635" s="33"/>
      <c r="DR635" s="33"/>
      <c r="DS635" s="33"/>
      <c r="DT635" s="33"/>
      <c r="DU635" s="33"/>
      <c r="DV635" s="33">
        <v>1120</v>
      </c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8"/>
    </row>
    <row r="636" spans="2:137" ht="13.2">
      <c r="B636" s="30" t="str">
        <f t="shared" si="20"/>
        <v>2025/7</v>
      </c>
      <c r="C636" s="31">
        <f t="shared" si="21"/>
        <v>260</v>
      </c>
      <c r="D636" s="32">
        <v>45861</v>
      </c>
      <c r="E636" s="33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3"/>
      <c r="R636" s="33"/>
      <c r="S636" s="33"/>
      <c r="T636" s="33"/>
      <c r="U636" s="35"/>
      <c r="V636" s="36"/>
      <c r="W636" s="37"/>
      <c r="X636" s="34"/>
      <c r="Y636" s="33"/>
      <c r="Z636" s="33"/>
      <c r="AA636" s="33"/>
      <c r="AB636" s="35"/>
      <c r="AC636" s="34"/>
      <c r="AD636" s="34"/>
      <c r="AE636" s="34"/>
      <c r="AF636" s="34"/>
      <c r="AG636" s="34"/>
      <c r="AH636" s="33"/>
      <c r="AI636" s="33"/>
      <c r="AJ636" s="34"/>
      <c r="AK636" s="33"/>
      <c r="AL636" s="33"/>
      <c r="AM636" s="33"/>
      <c r="AN636" s="34"/>
      <c r="AO636" s="34"/>
      <c r="AP636" s="33"/>
      <c r="AQ636" s="34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4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5"/>
      <c r="CC636" s="33"/>
      <c r="CD636" s="33"/>
      <c r="CE636" s="33"/>
      <c r="CF636" s="34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4"/>
      <c r="DA636" s="33"/>
      <c r="DB636" s="33"/>
      <c r="DC636" s="33"/>
      <c r="DD636" s="33"/>
      <c r="DE636" s="33"/>
      <c r="DF636" s="33"/>
      <c r="DG636" s="33"/>
      <c r="DH636" s="33"/>
      <c r="DI636" s="33" t="s">
        <v>269</v>
      </c>
      <c r="DJ636" s="33"/>
      <c r="DK636" s="33"/>
      <c r="DL636" s="33"/>
      <c r="DM636" s="34"/>
      <c r="DN636" s="34" t="s">
        <v>269</v>
      </c>
      <c r="DO636" s="33"/>
      <c r="DP636" s="33" t="s">
        <v>217</v>
      </c>
      <c r="DQ636" s="33"/>
      <c r="DR636" s="33"/>
      <c r="DS636" s="33">
        <v>260</v>
      </c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8"/>
    </row>
    <row r="637" spans="2:137" ht="13.2">
      <c r="B637" s="30" t="str">
        <f t="shared" si="20"/>
        <v>2025/7</v>
      </c>
      <c r="C637" s="31">
        <f t="shared" si="21"/>
        <v>350</v>
      </c>
      <c r="D637" s="32">
        <v>45862</v>
      </c>
      <c r="E637" s="33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3"/>
      <c r="R637" s="33"/>
      <c r="S637" s="33"/>
      <c r="T637" s="33"/>
      <c r="U637" s="35"/>
      <c r="V637" s="36"/>
      <c r="W637" s="37"/>
      <c r="X637" s="34"/>
      <c r="Y637" s="33"/>
      <c r="Z637" s="33"/>
      <c r="AA637" s="33"/>
      <c r="AB637" s="35"/>
      <c r="AC637" s="34"/>
      <c r="AD637" s="34"/>
      <c r="AE637" s="34"/>
      <c r="AF637" s="34"/>
      <c r="AG637" s="34"/>
      <c r="AH637" s="33"/>
      <c r="AI637" s="33"/>
      <c r="AJ637" s="34"/>
      <c r="AK637" s="33"/>
      <c r="AL637" s="33"/>
      <c r="AM637" s="33"/>
      <c r="AN637" s="34"/>
      <c r="AO637" s="34"/>
      <c r="AP637" s="33"/>
      <c r="AQ637" s="34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4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5"/>
      <c r="CC637" s="33"/>
      <c r="CD637" s="33"/>
      <c r="CE637" s="33"/>
      <c r="CF637" s="34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4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>
        <v>350</v>
      </c>
      <c r="DL637" s="33"/>
      <c r="DM637" s="34"/>
      <c r="DN637" s="34"/>
      <c r="DO637" s="33" t="s">
        <v>227</v>
      </c>
      <c r="DP637" s="33"/>
      <c r="DQ637" s="33"/>
      <c r="DR637" s="33" t="s">
        <v>215</v>
      </c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8"/>
    </row>
    <row r="638" spans="2:137" ht="13.2">
      <c r="B638" s="30" t="str">
        <f t="shared" si="20"/>
        <v>2025/7</v>
      </c>
      <c r="C638" s="31" t="str">
        <f t="shared" si="21"/>
        <v/>
      </c>
      <c r="D638" s="32">
        <v>45863</v>
      </c>
      <c r="E638" s="33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3"/>
      <c r="R638" s="33"/>
      <c r="S638" s="33"/>
      <c r="T638" s="33"/>
      <c r="U638" s="35"/>
      <c r="V638" s="36"/>
      <c r="W638" s="37"/>
      <c r="X638" s="34"/>
      <c r="Y638" s="33"/>
      <c r="Z638" s="33"/>
      <c r="AA638" s="33"/>
      <c r="AB638" s="35"/>
      <c r="AC638" s="34"/>
      <c r="AD638" s="34"/>
      <c r="AE638" s="34"/>
      <c r="AF638" s="34"/>
      <c r="AG638" s="34"/>
      <c r="AH638" s="33"/>
      <c r="AI638" s="33"/>
      <c r="AJ638" s="34"/>
      <c r="AK638" s="33"/>
      <c r="AL638" s="33"/>
      <c r="AM638" s="33"/>
      <c r="AN638" s="34"/>
      <c r="AO638" s="34"/>
      <c r="AP638" s="33"/>
      <c r="AQ638" s="34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4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5"/>
      <c r="CC638" s="33"/>
      <c r="CD638" s="33"/>
      <c r="CE638" s="33"/>
      <c r="CF638" s="34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4"/>
      <c r="DA638" s="33"/>
      <c r="DB638" s="33"/>
      <c r="DC638" s="33"/>
      <c r="DD638" s="33"/>
      <c r="DE638" s="33"/>
      <c r="DF638" s="33"/>
      <c r="DG638" s="33" t="s">
        <v>284</v>
      </c>
      <c r="DH638" s="33"/>
      <c r="DI638" s="33"/>
      <c r="DJ638" s="33"/>
      <c r="DK638" s="33"/>
      <c r="DL638" s="33"/>
      <c r="DM638" s="34"/>
      <c r="DN638" s="34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8"/>
    </row>
    <row r="639" spans="2:137" ht="13.2">
      <c r="B639" s="30" t="str">
        <f t="shared" si="20"/>
        <v>2025/8</v>
      </c>
      <c r="C639" s="31">
        <f t="shared" si="21"/>
        <v>1750</v>
      </c>
      <c r="D639" s="32">
        <v>45876</v>
      </c>
      <c r="E639" s="33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3"/>
      <c r="R639" s="33"/>
      <c r="S639" s="33"/>
      <c r="T639" s="33"/>
      <c r="U639" s="35"/>
      <c r="V639" s="36"/>
      <c r="W639" s="37"/>
      <c r="X639" s="34"/>
      <c r="Y639" s="33"/>
      <c r="Z639" s="33"/>
      <c r="AA639" s="33"/>
      <c r="AB639" s="35"/>
      <c r="AC639" s="34"/>
      <c r="AD639" s="34"/>
      <c r="AE639" s="34"/>
      <c r="AF639" s="34"/>
      <c r="AG639" s="34"/>
      <c r="AH639" s="33"/>
      <c r="AI639" s="33"/>
      <c r="AJ639" s="34"/>
      <c r="AK639" s="33"/>
      <c r="AL639" s="33"/>
      <c r="AM639" s="33"/>
      <c r="AN639" s="34"/>
      <c r="AO639" s="34"/>
      <c r="AP639" s="33"/>
      <c r="AQ639" s="34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4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5"/>
      <c r="CC639" s="33"/>
      <c r="CD639" s="33"/>
      <c r="CE639" s="33"/>
      <c r="CF639" s="34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4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4"/>
      <c r="DN639" s="34"/>
      <c r="DO639" s="33"/>
      <c r="DP639" s="33"/>
      <c r="DQ639" s="33"/>
      <c r="DR639" s="33"/>
      <c r="DS639" s="33"/>
      <c r="DT639" s="33"/>
      <c r="DU639" s="33"/>
      <c r="DV639" s="33" t="s">
        <v>301</v>
      </c>
      <c r="DW639" s="33"/>
      <c r="DX639" s="33"/>
      <c r="DY639" s="33"/>
      <c r="DZ639" s="33"/>
      <c r="EA639" s="33"/>
      <c r="EB639" s="33"/>
      <c r="EC639" s="33"/>
      <c r="ED639" s="33"/>
      <c r="EE639" s="33">
        <v>1750</v>
      </c>
      <c r="EF639" s="33"/>
      <c r="EG639" s="38"/>
    </row>
    <row r="640" spans="2:137" ht="13.2">
      <c r="B640" s="30" t="str">
        <f t="shared" si="20"/>
        <v>2025/8</v>
      </c>
      <c r="C640" s="31">
        <f t="shared" si="21"/>
        <v>1540</v>
      </c>
      <c r="D640" s="32">
        <v>45882</v>
      </c>
      <c r="E640" s="33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3"/>
      <c r="R640" s="33"/>
      <c r="S640" s="33"/>
      <c r="T640" s="33"/>
      <c r="U640" s="35"/>
      <c r="V640" s="36"/>
      <c r="W640" s="37"/>
      <c r="X640" s="34"/>
      <c r="Y640" s="33"/>
      <c r="Z640" s="33"/>
      <c r="AA640" s="33"/>
      <c r="AB640" s="35"/>
      <c r="AC640" s="34"/>
      <c r="AD640" s="34"/>
      <c r="AE640" s="34"/>
      <c r="AF640" s="34"/>
      <c r="AG640" s="34"/>
      <c r="AH640" s="33"/>
      <c r="AI640" s="33"/>
      <c r="AJ640" s="34"/>
      <c r="AK640" s="33"/>
      <c r="AL640" s="33"/>
      <c r="AM640" s="33"/>
      <c r="AN640" s="34"/>
      <c r="AO640" s="34"/>
      <c r="AP640" s="33"/>
      <c r="AQ640" s="34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4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5"/>
      <c r="CC640" s="33"/>
      <c r="CD640" s="33"/>
      <c r="CE640" s="33"/>
      <c r="CF640" s="34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4"/>
      <c r="DA640" s="33"/>
      <c r="DB640" s="33"/>
      <c r="DC640" s="33"/>
      <c r="DD640" s="33"/>
      <c r="DE640" s="33"/>
      <c r="DF640" s="33"/>
      <c r="DG640" s="33"/>
      <c r="DH640" s="33"/>
      <c r="DI640" s="33" t="s">
        <v>217</v>
      </c>
      <c r="DJ640" s="33">
        <v>300</v>
      </c>
      <c r="DK640" s="33"/>
      <c r="DL640" s="33"/>
      <c r="DM640" s="34"/>
      <c r="DN640" s="34"/>
      <c r="DO640" s="33">
        <v>200</v>
      </c>
      <c r="DP640" s="33">
        <v>1040</v>
      </c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8"/>
    </row>
    <row r="641" spans="2:137" ht="13.2">
      <c r="B641" s="30" t="str">
        <f t="shared" si="20"/>
        <v>2025/8</v>
      </c>
      <c r="C641" s="31">
        <f t="shared" si="21"/>
        <v>350</v>
      </c>
      <c r="D641" s="32">
        <v>45883</v>
      </c>
      <c r="E641" s="33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3"/>
      <c r="R641" s="33"/>
      <c r="S641" s="33"/>
      <c r="T641" s="33"/>
      <c r="U641" s="35"/>
      <c r="V641" s="36"/>
      <c r="W641" s="37"/>
      <c r="X641" s="34"/>
      <c r="Y641" s="33"/>
      <c r="Z641" s="33"/>
      <c r="AA641" s="33"/>
      <c r="AB641" s="35"/>
      <c r="AC641" s="34"/>
      <c r="AD641" s="34"/>
      <c r="AE641" s="34"/>
      <c r="AF641" s="34"/>
      <c r="AG641" s="34"/>
      <c r="AH641" s="33"/>
      <c r="AI641" s="33"/>
      <c r="AJ641" s="34"/>
      <c r="AK641" s="33"/>
      <c r="AL641" s="33"/>
      <c r="AM641" s="33"/>
      <c r="AN641" s="34"/>
      <c r="AO641" s="34"/>
      <c r="AP641" s="33"/>
      <c r="AQ641" s="34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4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5"/>
      <c r="CC641" s="33"/>
      <c r="CD641" s="33"/>
      <c r="CE641" s="33"/>
      <c r="CF641" s="34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4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>
        <v>350</v>
      </c>
      <c r="DL641" s="33"/>
      <c r="DM641" s="34"/>
      <c r="DN641" s="34"/>
      <c r="DO641" s="33"/>
      <c r="DP641" s="33"/>
      <c r="DQ641" s="33"/>
      <c r="DR641" s="33" t="s">
        <v>216</v>
      </c>
      <c r="DS641" s="33"/>
      <c r="DT641" s="33"/>
      <c r="DU641" s="33"/>
      <c r="DV641" s="33" t="s">
        <v>271</v>
      </c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8"/>
    </row>
    <row r="642" spans="2:137" ht="13.2">
      <c r="B642" s="30" t="str">
        <f t="shared" si="20"/>
        <v>2025/8</v>
      </c>
      <c r="C642" s="31">
        <f t="shared" si="21"/>
        <v>600</v>
      </c>
      <c r="D642" s="32">
        <v>45888</v>
      </c>
      <c r="E642" s="33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3"/>
      <c r="R642" s="33"/>
      <c r="S642" s="33"/>
      <c r="T642" s="33"/>
      <c r="U642" s="35"/>
      <c r="V642" s="36"/>
      <c r="W642" s="37"/>
      <c r="X642" s="34"/>
      <c r="Y642" s="33"/>
      <c r="Z642" s="33"/>
      <c r="AA642" s="33"/>
      <c r="AB642" s="35"/>
      <c r="AC642" s="34"/>
      <c r="AD642" s="34"/>
      <c r="AE642" s="34"/>
      <c r="AF642" s="34"/>
      <c r="AG642" s="34"/>
      <c r="AH642" s="33"/>
      <c r="AI642" s="33"/>
      <c r="AJ642" s="34"/>
      <c r="AK642" s="33"/>
      <c r="AL642" s="33"/>
      <c r="AM642" s="33"/>
      <c r="AN642" s="34"/>
      <c r="AO642" s="34"/>
      <c r="AP642" s="33"/>
      <c r="AQ642" s="34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4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5"/>
      <c r="CC642" s="33"/>
      <c r="CD642" s="33"/>
      <c r="CE642" s="33"/>
      <c r="CF642" s="34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4"/>
      <c r="DA642" s="33"/>
      <c r="DB642" s="33"/>
      <c r="DC642" s="33"/>
      <c r="DD642" s="33"/>
      <c r="DE642" s="33"/>
      <c r="DF642" s="33"/>
      <c r="DG642" s="33"/>
      <c r="DH642" s="33"/>
      <c r="DI642" s="33">
        <v>600</v>
      </c>
      <c r="DJ642" s="33"/>
      <c r="DK642" s="33"/>
      <c r="DL642" s="33"/>
      <c r="DM642" s="34"/>
      <c r="DN642" s="34"/>
      <c r="DO642" s="33"/>
      <c r="DP642" s="33"/>
      <c r="DQ642" s="33"/>
      <c r="DR642" s="33" t="s">
        <v>271</v>
      </c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8"/>
    </row>
    <row r="643" spans="2:137" ht="13.2">
      <c r="B643" s="30" t="str">
        <f t="shared" si="20"/>
        <v>2025/8</v>
      </c>
      <c r="C643" s="31">
        <f t="shared" si="21"/>
        <v>350</v>
      </c>
      <c r="D643" s="32">
        <v>45889</v>
      </c>
      <c r="E643" s="33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3"/>
      <c r="R643" s="33"/>
      <c r="S643" s="33"/>
      <c r="T643" s="33"/>
      <c r="U643" s="35"/>
      <c r="V643" s="36"/>
      <c r="W643" s="37"/>
      <c r="X643" s="34"/>
      <c r="Y643" s="33"/>
      <c r="Z643" s="33"/>
      <c r="AA643" s="33"/>
      <c r="AB643" s="35"/>
      <c r="AC643" s="34"/>
      <c r="AD643" s="34"/>
      <c r="AE643" s="34"/>
      <c r="AF643" s="34"/>
      <c r="AG643" s="34"/>
      <c r="AH643" s="33"/>
      <c r="AI643" s="33"/>
      <c r="AJ643" s="34"/>
      <c r="AK643" s="33"/>
      <c r="AL643" s="33"/>
      <c r="AM643" s="33"/>
      <c r="AN643" s="34"/>
      <c r="AO643" s="34"/>
      <c r="AP643" s="33"/>
      <c r="AQ643" s="34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4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5"/>
      <c r="CC643" s="33"/>
      <c r="CD643" s="33"/>
      <c r="CE643" s="33"/>
      <c r="CF643" s="34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4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>
        <v>350</v>
      </c>
      <c r="DL643" s="33"/>
      <c r="DM643" s="34"/>
      <c r="DN643" s="34" t="s">
        <v>271</v>
      </c>
      <c r="DO643" s="33"/>
      <c r="DP643" s="33"/>
      <c r="DQ643" s="33"/>
      <c r="DR643" s="33"/>
      <c r="DS643" s="33"/>
      <c r="DT643" s="33"/>
      <c r="DU643" s="33"/>
      <c r="DV643" s="33" t="s">
        <v>283</v>
      </c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8"/>
    </row>
    <row r="644" spans="2:137" ht="13.2">
      <c r="B644" s="30" t="str">
        <f t="shared" ref="B644:B700" si="22">IF(D644&gt;0, CONCATENATE(YEAR(D644),"/",MONTH(D644)),"")</f>
        <v>2025/8</v>
      </c>
      <c r="C644" s="31">
        <f t="shared" ref="C644:C707" si="23">IF(SUM(E644:EG644)=0,"",SUM(E644:EG644))</f>
        <v>1770</v>
      </c>
      <c r="D644" s="32">
        <v>45890</v>
      </c>
      <c r="E644" s="33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3"/>
      <c r="R644" s="33"/>
      <c r="S644" s="33"/>
      <c r="T644" s="33"/>
      <c r="U644" s="35"/>
      <c r="V644" s="36"/>
      <c r="W644" s="37"/>
      <c r="X644" s="34"/>
      <c r="Y644" s="33"/>
      <c r="Z644" s="33"/>
      <c r="AA644" s="33"/>
      <c r="AB644" s="35"/>
      <c r="AC644" s="34"/>
      <c r="AD644" s="34"/>
      <c r="AE644" s="34"/>
      <c r="AF644" s="34"/>
      <c r="AG644" s="34"/>
      <c r="AH644" s="33"/>
      <c r="AI644" s="33"/>
      <c r="AJ644" s="34"/>
      <c r="AK644" s="33"/>
      <c r="AL644" s="33"/>
      <c r="AM644" s="33"/>
      <c r="AN644" s="34"/>
      <c r="AO644" s="34"/>
      <c r="AP644" s="33"/>
      <c r="AQ644" s="34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4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5"/>
      <c r="CC644" s="33"/>
      <c r="CD644" s="33"/>
      <c r="CE644" s="33"/>
      <c r="CF644" s="34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4"/>
      <c r="DA644" s="33"/>
      <c r="DB644" s="33"/>
      <c r="DC644" s="33"/>
      <c r="DD644" s="33"/>
      <c r="DE644" s="33"/>
      <c r="DF644" s="33"/>
      <c r="DG644" s="33"/>
      <c r="DH644" s="33">
        <v>270</v>
      </c>
      <c r="DI644" s="33" t="s">
        <v>276</v>
      </c>
      <c r="DJ644" s="33">
        <v>300</v>
      </c>
      <c r="DK644" s="33"/>
      <c r="DL644" s="33"/>
      <c r="DM644" s="34"/>
      <c r="DN644" s="34"/>
      <c r="DO644" s="33" t="s">
        <v>227</v>
      </c>
      <c r="DP644" s="33"/>
      <c r="DQ644" s="33"/>
      <c r="DR644" s="33">
        <v>1200</v>
      </c>
      <c r="DS644" s="33"/>
      <c r="DT644" s="33"/>
      <c r="DU644" s="33" t="s">
        <v>217</v>
      </c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8"/>
    </row>
    <row r="645" spans="2:137" ht="13.2">
      <c r="B645" s="30" t="str">
        <f t="shared" si="22"/>
        <v>2025/8</v>
      </c>
      <c r="C645" s="31">
        <f t="shared" si="23"/>
        <v>350</v>
      </c>
      <c r="D645" s="32">
        <v>45896</v>
      </c>
      <c r="E645" s="33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3"/>
      <c r="R645" s="33"/>
      <c r="S645" s="33"/>
      <c r="T645" s="33"/>
      <c r="U645" s="35"/>
      <c r="V645" s="36"/>
      <c r="W645" s="37"/>
      <c r="X645" s="34"/>
      <c r="Y645" s="33"/>
      <c r="Z645" s="33"/>
      <c r="AA645" s="33"/>
      <c r="AB645" s="35"/>
      <c r="AC645" s="34"/>
      <c r="AD645" s="34"/>
      <c r="AE645" s="34"/>
      <c r="AF645" s="34"/>
      <c r="AG645" s="34"/>
      <c r="AH645" s="33"/>
      <c r="AI645" s="33"/>
      <c r="AJ645" s="34"/>
      <c r="AK645" s="33"/>
      <c r="AL645" s="33"/>
      <c r="AM645" s="33"/>
      <c r="AN645" s="34"/>
      <c r="AO645" s="34"/>
      <c r="AP645" s="33"/>
      <c r="AQ645" s="34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4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5"/>
      <c r="CC645" s="33"/>
      <c r="CD645" s="33"/>
      <c r="CE645" s="33"/>
      <c r="CF645" s="34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4"/>
      <c r="DA645" s="33"/>
      <c r="DB645" s="33"/>
      <c r="DC645" s="33"/>
      <c r="DD645" s="33"/>
      <c r="DE645" s="33"/>
      <c r="DF645" s="33"/>
      <c r="DG645" s="33"/>
      <c r="DH645" s="33"/>
      <c r="DI645" s="33" t="s">
        <v>216</v>
      </c>
      <c r="DJ645" s="33"/>
      <c r="DK645" s="33">
        <v>350</v>
      </c>
      <c r="DL645" s="33"/>
      <c r="DM645" s="34"/>
      <c r="DN645" s="34" t="s">
        <v>283</v>
      </c>
      <c r="DO645" s="33"/>
      <c r="DP645" s="33" t="s">
        <v>277</v>
      </c>
      <c r="DQ645" s="33"/>
      <c r="DR645" s="33"/>
      <c r="DS645" s="33"/>
      <c r="DT645" s="33"/>
      <c r="DU645" s="33"/>
      <c r="DV645" s="33" t="s">
        <v>276</v>
      </c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8"/>
    </row>
    <row r="646" spans="2:137" ht="13.2">
      <c r="B646" s="30" t="str">
        <f t="shared" si="22"/>
        <v>2025/8</v>
      </c>
      <c r="C646" s="31">
        <f t="shared" si="23"/>
        <v>1420</v>
      </c>
      <c r="D646" s="32">
        <v>45897</v>
      </c>
      <c r="E646" s="33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3"/>
      <c r="R646" s="33"/>
      <c r="S646" s="33"/>
      <c r="T646" s="33"/>
      <c r="U646" s="35"/>
      <c r="V646" s="36"/>
      <c r="W646" s="37"/>
      <c r="X646" s="34"/>
      <c r="Y646" s="33"/>
      <c r="Z646" s="33"/>
      <c r="AA646" s="33"/>
      <c r="AB646" s="35"/>
      <c r="AC646" s="34"/>
      <c r="AD646" s="34"/>
      <c r="AE646" s="34"/>
      <c r="AF646" s="34"/>
      <c r="AG646" s="34"/>
      <c r="AH646" s="33"/>
      <c r="AI646" s="33"/>
      <c r="AJ646" s="34"/>
      <c r="AK646" s="33"/>
      <c r="AL646" s="33"/>
      <c r="AM646" s="33"/>
      <c r="AN646" s="34"/>
      <c r="AO646" s="34"/>
      <c r="AP646" s="33"/>
      <c r="AQ646" s="34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4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5"/>
      <c r="CC646" s="33"/>
      <c r="CD646" s="33"/>
      <c r="CE646" s="33"/>
      <c r="CF646" s="34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4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>
        <v>300</v>
      </c>
      <c r="DK646" s="33"/>
      <c r="DL646" s="33"/>
      <c r="DM646" s="34"/>
      <c r="DN646" s="34"/>
      <c r="DO646" s="33"/>
      <c r="DP646" s="33"/>
      <c r="DQ646" s="33"/>
      <c r="DR646" s="33" t="s">
        <v>283</v>
      </c>
      <c r="DS646" s="33"/>
      <c r="DT646" s="33"/>
      <c r="DU646" s="33"/>
      <c r="DV646" s="33">
        <v>1120</v>
      </c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8"/>
    </row>
    <row r="647" spans="2:137" ht="13.2">
      <c r="B647" s="30" t="str">
        <f t="shared" si="22"/>
        <v>2025/8</v>
      </c>
      <c r="C647" s="31">
        <f t="shared" si="23"/>
        <v>670</v>
      </c>
      <c r="D647" s="32">
        <v>45898</v>
      </c>
      <c r="E647" s="33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3"/>
      <c r="R647" s="33"/>
      <c r="S647" s="33"/>
      <c r="T647" s="33"/>
      <c r="U647" s="35"/>
      <c r="V647" s="36"/>
      <c r="W647" s="37"/>
      <c r="X647" s="34"/>
      <c r="Y647" s="33"/>
      <c r="Z647" s="33"/>
      <c r="AA647" s="33"/>
      <c r="AB647" s="35"/>
      <c r="AC647" s="34"/>
      <c r="AD647" s="34"/>
      <c r="AE647" s="34"/>
      <c r="AF647" s="34"/>
      <c r="AG647" s="34"/>
      <c r="AH647" s="33"/>
      <c r="AI647" s="33"/>
      <c r="AJ647" s="34"/>
      <c r="AK647" s="33"/>
      <c r="AL647" s="33"/>
      <c r="AM647" s="33"/>
      <c r="AN647" s="34"/>
      <c r="AO647" s="34"/>
      <c r="AP647" s="33"/>
      <c r="AQ647" s="34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4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5"/>
      <c r="CC647" s="33"/>
      <c r="CD647" s="33"/>
      <c r="CE647" s="33"/>
      <c r="CF647" s="34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4"/>
      <c r="DA647" s="33"/>
      <c r="DB647" s="33"/>
      <c r="DC647" s="33"/>
      <c r="DD647" s="33"/>
      <c r="DE647" s="33"/>
      <c r="DF647" s="33"/>
      <c r="DG647" s="33"/>
      <c r="DH647" s="33">
        <v>270</v>
      </c>
      <c r="DI647" s="33"/>
      <c r="DJ647" s="33"/>
      <c r="DK647" s="33"/>
      <c r="DL647" s="33"/>
      <c r="DM647" s="34"/>
      <c r="DN647" s="34"/>
      <c r="DO647" s="33">
        <v>400</v>
      </c>
      <c r="DP647" s="33"/>
      <c r="DQ647" s="33"/>
      <c r="DR647" s="33"/>
      <c r="DS647" s="33"/>
      <c r="DT647" s="33"/>
      <c r="DU647" s="33" t="s">
        <v>218</v>
      </c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8"/>
    </row>
    <row r="648" spans="2:137" ht="13.2">
      <c r="B648" s="30" t="str">
        <f t="shared" si="22"/>
        <v>2025/9</v>
      </c>
      <c r="C648" s="31">
        <f t="shared" si="23"/>
        <v>350</v>
      </c>
      <c r="D648" s="32">
        <v>45903</v>
      </c>
      <c r="E648" s="33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3"/>
      <c r="R648" s="33"/>
      <c r="S648" s="33"/>
      <c r="T648" s="33"/>
      <c r="U648" s="35"/>
      <c r="V648" s="36"/>
      <c r="W648" s="37"/>
      <c r="X648" s="34"/>
      <c r="Y648" s="33"/>
      <c r="Z648" s="33"/>
      <c r="AA648" s="33"/>
      <c r="AB648" s="35"/>
      <c r="AC648" s="34"/>
      <c r="AD648" s="34"/>
      <c r="AE648" s="34"/>
      <c r="AF648" s="34"/>
      <c r="AG648" s="34"/>
      <c r="AH648" s="33"/>
      <c r="AI648" s="33"/>
      <c r="AJ648" s="34"/>
      <c r="AK648" s="33"/>
      <c r="AL648" s="33"/>
      <c r="AM648" s="33"/>
      <c r="AN648" s="34"/>
      <c r="AO648" s="34"/>
      <c r="AP648" s="33"/>
      <c r="AQ648" s="34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4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5"/>
      <c r="CC648" s="33"/>
      <c r="CD648" s="33"/>
      <c r="CE648" s="33"/>
      <c r="CF648" s="34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4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>
        <v>350</v>
      </c>
      <c r="DL648" s="33"/>
      <c r="DM648" s="34"/>
      <c r="DN648" s="34" t="s">
        <v>302</v>
      </c>
      <c r="DO648" s="33"/>
      <c r="DP648" s="33"/>
      <c r="DQ648" s="33"/>
      <c r="DR648" s="33"/>
      <c r="DS648" s="33"/>
      <c r="DT648" s="33"/>
      <c r="DU648" s="33"/>
      <c r="DV648" s="33" t="s">
        <v>216</v>
      </c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8"/>
    </row>
    <row r="649" spans="2:137" ht="13.2">
      <c r="B649" s="30" t="str">
        <f t="shared" si="22"/>
        <v>2025/9</v>
      </c>
      <c r="C649" s="31">
        <f t="shared" si="23"/>
        <v>300</v>
      </c>
      <c r="D649" s="32">
        <v>45904</v>
      </c>
      <c r="E649" s="33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3"/>
      <c r="R649" s="33"/>
      <c r="S649" s="33"/>
      <c r="T649" s="33"/>
      <c r="U649" s="35"/>
      <c r="V649" s="36"/>
      <c r="W649" s="37"/>
      <c r="X649" s="34"/>
      <c r="Y649" s="33"/>
      <c r="Z649" s="33"/>
      <c r="AA649" s="33"/>
      <c r="AB649" s="35"/>
      <c r="AC649" s="34"/>
      <c r="AD649" s="34"/>
      <c r="AE649" s="34"/>
      <c r="AF649" s="34"/>
      <c r="AG649" s="34"/>
      <c r="AH649" s="33"/>
      <c r="AI649" s="33"/>
      <c r="AJ649" s="34"/>
      <c r="AK649" s="33"/>
      <c r="AL649" s="33"/>
      <c r="AM649" s="33"/>
      <c r="AN649" s="34"/>
      <c r="AO649" s="34"/>
      <c r="AP649" s="33"/>
      <c r="AQ649" s="34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4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5"/>
      <c r="CC649" s="33"/>
      <c r="CD649" s="33"/>
      <c r="CE649" s="33"/>
      <c r="CF649" s="34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4"/>
      <c r="DA649" s="33"/>
      <c r="DB649" s="33"/>
      <c r="DC649" s="33"/>
      <c r="DD649" s="33"/>
      <c r="DE649" s="33"/>
      <c r="DF649" s="33"/>
      <c r="DG649" s="33"/>
      <c r="DH649" s="33"/>
      <c r="DI649" s="33" t="s">
        <v>215</v>
      </c>
      <c r="DJ649" s="33">
        <v>300</v>
      </c>
      <c r="DK649" s="33"/>
      <c r="DL649" s="33"/>
      <c r="DM649" s="34"/>
      <c r="DN649" s="34"/>
      <c r="DO649" s="33"/>
      <c r="DP649" s="33"/>
      <c r="DQ649" s="33" t="s">
        <v>218</v>
      </c>
      <c r="DR649" s="33" t="s">
        <v>276</v>
      </c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8"/>
    </row>
    <row r="650" spans="2:137" ht="13.2">
      <c r="B650" s="30" t="str">
        <f t="shared" si="22"/>
        <v>2025/9</v>
      </c>
      <c r="C650" s="31">
        <f t="shared" si="23"/>
        <v>3250</v>
      </c>
      <c r="D650" s="32">
        <v>45905</v>
      </c>
      <c r="E650" s="33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3"/>
      <c r="R650" s="33"/>
      <c r="S650" s="33"/>
      <c r="T650" s="33"/>
      <c r="U650" s="35"/>
      <c r="V650" s="36"/>
      <c r="W650" s="37"/>
      <c r="X650" s="34"/>
      <c r="Y650" s="33"/>
      <c r="Z650" s="33"/>
      <c r="AA650" s="33"/>
      <c r="AB650" s="35"/>
      <c r="AC650" s="34"/>
      <c r="AD650" s="34"/>
      <c r="AE650" s="34"/>
      <c r="AF650" s="34"/>
      <c r="AG650" s="34"/>
      <c r="AH650" s="33"/>
      <c r="AI650" s="33"/>
      <c r="AJ650" s="34"/>
      <c r="AK650" s="33"/>
      <c r="AL650" s="33"/>
      <c r="AM650" s="33"/>
      <c r="AN650" s="34"/>
      <c r="AO650" s="34"/>
      <c r="AP650" s="33"/>
      <c r="AQ650" s="34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4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5"/>
      <c r="CC650" s="33"/>
      <c r="CD650" s="33"/>
      <c r="CE650" s="33"/>
      <c r="CF650" s="34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4"/>
      <c r="DA650" s="33"/>
      <c r="DB650" s="33"/>
      <c r="DC650" s="33"/>
      <c r="DD650" s="33"/>
      <c r="DE650" s="33"/>
      <c r="DF650" s="33"/>
      <c r="DG650" s="33"/>
      <c r="DH650" s="33"/>
      <c r="DI650" s="33">
        <v>1200</v>
      </c>
      <c r="DJ650" s="33"/>
      <c r="DK650" s="33"/>
      <c r="DL650" s="33"/>
      <c r="DM650" s="34"/>
      <c r="DN650" s="34"/>
      <c r="DO650" s="33"/>
      <c r="DP650" s="33" t="s">
        <v>299</v>
      </c>
      <c r="DQ650" s="33" t="s">
        <v>276</v>
      </c>
      <c r="DR650" s="33"/>
      <c r="DS650" s="33"/>
      <c r="DT650" s="33"/>
      <c r="DU650" s="33" t="s">
        <v>276</v>
      </c>
      <c r="DV650" s="33"/>
      <c r="DW650" s="33">
        <v>300</v>
      </c>
      <c r="DX650" s="33"/>
      <c r="DY650" s="33"/>
      <c r="DZ650" s="33"/>
      <c r="EA650" s="33"/>
      <c r="EB650" s="33"/>
      <c r="EC650" s="33"/>
      <c r="ED650" s="33"/>
      <c r="EE650" s="33">
        <v>1750</v>
      </c>
      <c r="EF650" s="33"/>
      <c r="EG650" s="38"/>
    </row>
    <row r="651" spans="2:137" ht="13.2">
      <c r="B651" s="30" t="str">
        <f t="shared" si="22"/>
        <v>2025/9</v>
      </c>
      <c r="C651" s="31">
        <f t="shared" si="23"/>
        <v>2670</v>
      </c>
      <c r="D651" s="32">
        <v>45910</v>
      </c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32"/>
      <c r="CT651" s="32"/>
      <c r="CU651" s="32"/>
      <c r="CV651" s="32"/>
      <c r="CW651" s="32"/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3"/>
      <c r="DI651" s="33"/>
      <c r="DJ651" s="33"/>
      <c r="DK651" s="33">
        <v>350</v>
      </c>
      <c r="DL651" s="33"/>
      <c r="DM651" s="32"/>
      <c r="DN651" s="32"/>
      <c r="DO651" s="33"/>
      <c r="DP651" s="33" t="s">
        <v>216</v>
      </c>
      <c r="DQ651" s="33">
        <v>1120</v>
      </c>
      <c r="DR651" s="33">
        <v>1200</v>
      </c>
      <c r="DS651" s="33"/>
      <c r="DT651" s="33"/>
      <c r="DU651" s="33"/>
      <c r="DV651" s="33" t="s">
        <v>217</v>
      </c>
      <c r="DW651" s="33"/>
      <c r="DX651" s="33"/>
      <c r="DY651" s="32"/>
      <c r="DZ651" s="33"/>
      <c r="EA651" s="33"/>
      <c r="EB651" s="33"/>
      <c r="EC651" s="33"/>
      <c r="ED651" s="33"/>
      <c r="EE651" s="33"/>
      <c r="EF651" s="33"/>
      <c r="EG651" s="38"/>
    </row>
    <row r="652" spans="2:137" ht="13.2">
      <c r="B652" s="30" t="str">
        <f t="shared" si="22"/>
        <v>2025/9</v>
      </c>
      <c r="C652" s="31">
        <f t="shared" si="23"/>
        <v>500</v>
      </c>
      <c r="D652" s="32">
        <v>45911</v>
      </c>
      <c r="E652" s="33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3"/>
      <c r="R652" s="33"/>
      <c r="S652" s="33"/>
      <c r="T652" s="33"/>
      <c r="U652" s="35"/>
      <c r="V652" s="36"/>
      <c r="W652" s="37"/>
      <c r="X652" s="34"/>
      <c r="Y652" s="33"/>
      <c r="Z652" s="33"/>
      <c r="AA652" s="33"/>
      <c r="AB652" s="35"/>
      <c r="AC652" s="34"/>
      <c r="AD652" s="34"/>
      <c r="AE652" s="34"/>
      <c r="AF652" s="34"/>
      <c r="AG652" s="34"/>
      <c r="AH652" s="33"/>
      <c r="AI652" s="33"/>
      <c r="AJ652" s="34"/>
      <c r="AK652" s="33"/>
      <c r="AL652" s="33"/>
      <c r="AM652" s="33"/>
      <c r="AN652" s="34"/>
      <c r="AO652" s="34"/>
      <c r="AP652" s="33"/>
      <c r="AQ652" s="34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4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5"/>
      <c r="CC652" s="33"/>
      <c r="CD652" s="33"/>
      <c r="CE652" s="33"/>
      <c r="CF652" s="34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4"/>
      <c r="DA652" s="33"/>
      <c r="DB652" s="33"/>
      <c r="DC652" s="33"/>
      <c r="DD652" s="33"/>
      <c r="DE652" s="33"/>
      <c r="DF652" s="33"/>
      <c r="DG652" s="33"/>
      <c r="DH652" s="33"/>
      <c r="DI652" s="33" t="s">
        <v>216</v>
      </c>
      <c r="DJ652" s="33">
        <v>300</v>
      </c>
      <c r="DK652" s="33"/>
      <c r="DL652" s="33"/>
      <c r="DM652" s="34"/>
      <c r="DN652" s="34"/>
      <c r="DO652" s="33">
        <v>200</v>
      </c>
      <c r="DP652" s="33"/>
      <c r="DQ652" s="33" t="s">
        <v>216</v>
      </c>
      <c r="DR652" s="33" t="s">
        <v>269</v>
      </c>
      <c r="DS652" s="33"/>
      <c r="DT652" s="33"/>
      <c r="DU652" s="33" t="s">
        <v>269</v>
      </c>
      <c r="DV652" s="33"/>
      <c r="DW652" s="33" t="s">
        <v>215</v>
      </c>
      <c r="DX652" s="33"/>
      <c r="DY652" s="33"/>
      <c r="DZ652" s="33"/>
      <c r="EA652" s="33"/>
      <c r="EB652" s="33"/>
      <c r="EC652" s="33"/>
      <c r="ED652" s="33"/>
      <c r="EE652" s="33"/>
      <c r="EF652" s="33"/>
      <c r="EG652" s="38"/>
    </row>
    <row r="653" spans="2:137" ht="13.2">
      <c r="B653" s="30" t="str">
        <f t="shared" si="22"/>
        <v>2025/9</v>
      </c>
      <c r="C653" s="31">
        <f t="shared" si="23"/>
        <v>2855</v>
      </c>
      <c r="D653" s="32">
        <v>45917</v>
      </c>
      <c r="E653" s="33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3"/>
      <c r="R653" s="33"/>
      <c r="S653" s="33"/>
      <c r="T653" s="33"/>
      <c r="U653" s="35"/>
      <c r="V653" s="36"/>
      <c r="W653" s="37"/>
      <c r="X653" s="34"/>
      <c r="Y653" s="33"/>
      <c r="Z653" s="33"/>
      <c r="AA653" s="33"/>
      <c r="AB653" s="35"/>
      <c r="AC653" s="34"/>
      <c r="AD653" s="34"/>
      <c r="AE653" s="34"/>
      <c r="AF653" s="34"/>
      <c r="AG653" s="34"/>
      <c r="AH653" s="33"/>
      <c r="AI653" s="33"/>
      <c r="AJ653" s="34"/>
      <c r="AK653" s="33"/>
      <c r="AL653" s="33"/>
      <c r="AM653" s="33"/>
      <c r="AN653" s="34"/>
      <c r="AO653" s="34"/>
      <c r="AP653" s="33"/>
      <c r="AQ653" s="34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4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5"/>
      <c r="CC653" s="33"/>
      <c r="CD653" s="33"/>
      <c r="CE653" s="33"/>
      <c r="CF653" s="34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4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>
        <v>350</v>
      </c>
      <c r="DL653" s="33"/>
      <c r="DM653" s="34"/>
      <c r="DN653" s="34">
        <v>1125</v>
      </c>
      <c r="DO653" s="33"/>
      <c r="DP653" s="33" t="s">
        <v>217</v>
      </c>
      <c r="DQ653" s="33"/>
      <c r="DR653" s="33"/>
      <c r="DS653" s="33">
        <v>260</v>
      </c>
      <c r="DT653" s="33" t="s">
        <v>227</v>
      </c>
      <c r="DU653" s="33">
        <v>1120</v>
      </c>
      <c r="DV653" s="33" t="s">
        <v>218</v>
      </c>
      <c r="DW653" s="33"/>
      <c r="DX653" s="33" t="s">
        <v>303</v>
      </c>
      <c r="DY653" s="33"/>
      <c r="DZ653" s="33"/>
      <c r="EA653" s="33"/>
      <c r="EB653" s="33"/>
      <c r="EC653" s="33"/>
      <c r="ED653" s="33"/>
      <c r="EE653" s="33"/>
      <c r="EF653" s="33"/>
      <c r="EG653" s="38"/>
    </row>
    <row r="654" spans="2:137" ht="13.2">
      <c r="B654" s="30" t="str">
        <f t="shared" si="22"/>
        <v>2025/9</v>
      </c>
      <c r="C654" s="31">
        <f t="shared" si="23"/>
        <v>2050</v>
      </c>
      <c r="D654" s="32">
        <v>45918</v>
      </c>
      <c r="E654" s="33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3"/>
      <c r="R654" s="33"/>
      <c r="S654" s="33"/>
      <c r="T654" s="33"/>
      <c r="U654" s="35"/>
      <c r="V654" s="36"/>
      <c r="W654" s="37"/>
      <c r="X654" s="34"/>
      <c r="Y654" s="33"/>
      <c r="Z654" s="33"/>
      <c r="AA654" s="33"/>
      <c r="AB654" s="35"/>
      <c r="AC654" s="34"/>
      <c r="AD654" s="34"/>
      <c r="AE654" s="34"/>
      <c r="AF654" s="34"/>
      <c r="AG654" s="34"/>
      <c r="AH654" s="33"/>
      <c r="AI654" s="33"/>
      <c r="AJ654" s="34"/>
      <c r="AK654" s="33"/>
      <c r="AL654" s="33"/>
      <c r="AM654" s="33"/>
      <c r="AN654" s="34"/>
      <c r="AO654" s="34"/>
      <c r="AP654" s="33"/>
      <c r="AQ654" s="34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4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5"/>
      <c r="CC654" s="33"/>
      <c r="CD654" s="33"/>
      <c r="CE654" s="33"/>
      <c r="CF654" s="34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4"/>
      <c r="DA654" s="33"/>
      <c r="DB654" s="33"/>
      <c r="DC654" s="33"/>
      <c r="DD654" s="33"/>
      <c r="DE654" s="33"/>
      <c r="DF654" s="33"/>
      <c r="DG654" s="33"/>
      <c r="DH654" s="33"/>
      <c r="DI654" s="33" t="s">
        <v>217</v>
      </c>
      <c r="DJ654" s="33"/>
      <c r="DK654" s="33"/>
      <c r="DL654" s="33"/>
      <c r="DM654" s="34"/>
      <c r="DN654" s="34"/>
      <c r="DO654" s="33">
        <v>200</v>
      </c>
      <c r="DP654" s="33"/>
      <c r="DQ654" s="33"/>
      <c r="DR654" s="33" t="s">
        <v>217</v>
      </c>
      <c r="DS654" s="33"/>
      <c r="DT654" s="33"/>
      <c r="DU654" s="33" t="s">
        <v>217</v>
      </c>
      <c r="DV654" s="33"/>
      <c r="DW654" s="33" t="s">
        <v>216</v>
      </c>
      <c r="DX654" s="33">
        <v>1850</v>
      </c>
      <c r="DY654" s="33"/>
      <c r="DZ654" s="33"/>
      <c r="EA654" s="33"/>
      <c r="EB654" s="33"/>
      <c r="EC654" s="33"/>
      <c r="ED654" s="33"/>
      <c r="EE654" s="33"/>
      <c r="EF654" s="33"/>
      <c r="EG654" s="38"/>
    </row>
    <row r="655" spans="2:137" ht="13.2">
      <c r="B655" s="30" t="str">
        <f t="shared" si="22"/>
        <v>2025/9</v>
      </c>
      <c r="C655" s="31">
        <f t="shared" si="23"/>
        <v>1200</v>
      </c>
      <c r="D655" s="32">
        <v>45919</v>
      </c>
      <c r="E655" s="33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3"/>
      <c r="R655" s="33"/>
      <c r="S655" s="33"/>
      <c r="T655" s="33"/>
      <c r="U655" s="35"/>
      <c r="V655" s="36"/>
      <c r="W655" s="37"/>
      <c r="X655" s="34"/>
      <c r="Y655" s="33"/>
      <c r="Z655" s="33"/>
      <c r="AA655" s="33"/>
      <c r="AB655" s="35"/>
      <c r="AC655" s="34"/>
      <c r="AD655" s="34"/>
      <c r="AE655" s="34"/>
      <c r="AF655" s="34"/>
      <c r="AG655" s="34"/>
      <c r="AH655" s="33"/>
      <c r="AI655" s="33"/>
      <c r="AJ655" s="34"/>
      <c r="AK655" s="33"/>
      <c r="AL655" s="33"/>
      <c r="AM655" s="33"/>
      <c r="AN655" s="34"/>
      <c r="AO655" s="34"/>
      <c r="AP655" s="33"/>
      <c r="AQ655" s="34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4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5"/>
      <c r="CC655" s="33"/>
      <c r="CD655" s="33"/>
      <c r="CE655" s="33"/>
      <c r="CF655" s="34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4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4"/>
      <c r="DN655" s="34"/>
      <c r="DO655" s="33"/>
      <c r="DP655" s="33"/>
      <c r="DQ655" s="33"/>
      <c r="DR655" s="33"/>
      <c r="DS655" s="33"/>
      <c r="DT655" s="33"/>
      <c r="DU655" s="33"/>
      <c r="DV655" s="33"/>
      <c r="DW655" s="33">
        <v>1200</v>
      </c>
      <c r="DX655" s="33" t="s">
        <v>215</v>
      </c>
      <c r="DY655" s="33"/>
      <c r="DZ655" s="33"/>
      <c r="EA655" s="33"/>
      <c r="EB655" s="33"/>
      <c r="EC655" s="33"/>
      <c r="ED655" s="33"/>
      <c r="EE655" s="33"/>
      <c r="EF655" s="33"/>
      <c r="EG655" s="38"/>
    </row>
    <row r="656" spans="2:137" ht="13.2">
      <c r="B656" s="30" t="str">
        <f t="shared" si="22"/>
        <v>2025/9</v>
      </c>
      <c r="C656" s="31">
        <f t="shared" si="23"/>
        <v>260</v>
      </c>
      <c r="D656" s="32">
        <v>45924</v>
      </c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  <c r="CA656" s="32"/>
      <c r="CB656" s="32"/>
      <c r="CC656" s="32"/>
      <c r="CD656" s="32"/>
      <c r="CE656" s="32"/>
      <c r="CF656" s="32"/>
      <c r="CG656" s="32"/>
      <c r="CH656" s="32"/>
      <c r="CI656" s="32"/>
      <c r="CJ656" s="32"/>
      <c r="CK656" s="32"/>
      <c r="CL656" s="32"/>
      <c r="CM656" s="32"/>
      <c r="CN656" s="32"/>
      <c r="CO656" s="32"/>
      <c r="CP656" s="32"/>
      <c r="CQ656" s="32"/>
      <c r="CR656" s="32"/>
      <c r="CS656" s="32"/>
      <c r="CT656" s="32"/>
      <c r="CU656" s="32"/>
      <c r="CV656" s="32"/>
      <c r="CW656" s="32"/>
      <c r="CX656" s="32"/>
      <c r="CY656" s="32"/>
      <c r="CZ656" s="32"/>
      <c r="DA656" s="32"/>
      <c r="DB656" s="32"/>
      <c r="DC656" s="32"/>
      <c r="DD656" s="32"/>
      <c r="DE656" s="32"/>
      <c r="DF656" s="32"/>
      <c r="DG656" s="32"/>
      <c r="DH656" s="33"/>
      <c r="DI656" s="33"/>
      <c r="DJ656" s="33"/>
      <c r="DK656" s="33"/>
      <c r="DL656" s="33"/>
      <c r="DM656" s="32"/>
      <c r="DN656" s="46" t="s">
        <v>276</v>
      </c>
      <c r="DO656" s="33"/>
      <c r="DP656" s="33" t="s">
        <v>304</v>
      </c>
      <c r="DQ656" s="33"/>
      <c r="DR656" s="33"/>
      <c r="DS656" s="33">
        <v>260</v>
      </c>
      <c r="DT656" s="33"/>
      <c r="DU656" s="33"/>
      <c r="DV656" s="33" t="s">
        <v>276</v>
      </c>
      <c r="DW656" s="33"/>
      <c r="DX656" s="33" t="s">
        <v>216</v>
      </c>
      <c r="DY656" s="32"/>
      <c r="DZ656" s="33"/>
      <c r="EA656" s="33"/>
      <c r="EB656" s="33"/>
      <c r="EC656" s="33"/>
      <c r="ED656" s="33"/>
      <c r="EE656" s="33"/>
      <c r="EF656" s="33"/>
      <c r="EG656" s="38"/>
    </row>
    <row r="657" spans="2:137" ht="13.2">
      <c r="B657" s="30" t="str">
        <f t="shared" si="22"/>
        <v>2025/9</v>
      </c>
      <c r="C657" s="31">
        <f t="shared" si="23"/>
        <v>300</v>
      </c>
      <c r="D657" s="32">
        <v>45925</v>
      </c>
      <c r="E657" s="33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3"/>
      <c r="R657" s="33"/>
      <c r="S657" s="33"/>
      <c r="T657" s="33"/>
      <c r="U657" s="35"/>
      <c r="V657" s="36"/>
      <c r="W657" s="37"/>
      <c r="X657" s="34"/>
      <c r="Y657" s="33"/>
      <c r="Z657" s="33"/>
      <c r="AA657" s="33"/>
      <c r="AB657" s="35"/>
      <c r="AC657" s="34"/>
      <c r="AD657" s="34"/>
      <c r="AE657" s="34"/>
      <c r="AF657" s="34"/>
      <c r="AG657" s="34"/>
      <c r="AH657" s="33"/>
      <c r="AI657" s="33"/>
      <c r="AJ657" s="34"/>
      <c r="AK657" s="33"/>
      <c r="AL657" s="33"/>
      <c r="AM657" s="33"/>
      <c r="AN657" s="34"/>
      <c r="AO657" s="34"/>
      <c r="AP657" s="33"/>
      <c r="AQ657" s="34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4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5"/>
      <c r="CC657" s="33"/>
      <c r="CD657" s="33"/>
      <c r="CE657" s="33"/>
      <c r="CF657" s="34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4"/>
      <c r="DA657" s="33"/>
      <c r="DB657" s="33"/>
      <c r="DC657" s="33"/>
      <c r="DD657" s="33"/>
      <c r="DE657" s="33"/>
      <c r="DF657" s="33"/>
      <c r="DG657" s="33"/>
      <c r="DH657" s="33"/>
      <c r="DI657" s="33" t="s">
        <v>283</v>
      </c>
      <c r="DJ657" s="33">
        <v>300</v>
      </c>
      <c r="DK657" s="33"/>
      <c r="DL657" s="33"/>
      <c r="DM657" s="34"/>
      <c r="DN657" s="34"/>
      <c r="DO657" s="33" t="s">
        <v>227</v>
      </c>
      <c r="DP657" s="33"/>
      <c r="DQ657" s="33"/>
      <c r="DR657" s="33" t="s">
        <v>218</v>
      </c>
      <c r="DS657" s="33"/>
      <c r="DT657" s="33"/>
      <c r="DU657" s="33" t="s">
        <v>218</v>
      </c>
      <c r="DV657" s="33"/>
      <c r="DW657" s="33" t="s">
        <v>271</v>
      </c>
      <c r="DX657" s="33"/>
      <c r="DY657" s="33"/>
      <c r="DZ657" s="33"/>
      <c r="EA657" s="33"/>
      <c r="EB657" s="33"/>
      <c r="EC657" s="33"/>
      <c r="ED657" s="33"/>
      <c r="EE657" s="33"/>
      <c r="EF657" s="33"/>
      <c r="EG657" s="38"/>
    </row>
    <row r="658" spans="2:137" ht="13.2">
      <c r="B658" s="30" t="str">
        <f t="shared" si="22"/>
        <v>2025/10</v>
      </c>
      <c r="C658" s="31">
        <f t="shared" si="23"/>
        <v>4010</v>
      </c>
      <c r="D658" s="32">
        <v>45931</v>
      </c>
      <c r="E658" s="33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3"/>
      <c r="R658" s="33"/>
      <c r="S658" s="33"/>
      <c r="T658" s="33"/>
      <c r="U658" s="35"/>
      <c r="V658" s="36"/>
      <c r="W658" s="37"/>
      <c r="X658" s="34"/>
      <c r="Y658" s="33"/>
      <c r="Z658" s="33"/>
      <c r="AA658" s="33"/>
      <c r="AB658" s="35"/>
      <c r="AC658" s="34"/>
      <c r="AD658" s="34"/>
      <c r="AE658" s="34"/>
      <c r="AF658" s="34"/>
      <c r="AG658" s="34"/>
      <c r="AH658" s="33"/>
      <c r="AI658" s="33"/>
      <c r="AJ658" s="34"/>
      <c r="AK658" s="33"/>
      <c r="AL658" s="33"/>
      <c r="AM658" s="33"/>
      <c r="AN658" s="34"/>
      <c r="AO658" s="34"/>
      <c r="AP658" s="33"/>
      <c r="AQ658" s="34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4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5"/>
      <c r="CC658" s="33"/>
      <c r="CD658" s="33"/>
      <c r="CE658" s="33"/>
      <c r="CF658" s="34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4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 t="s">
        <v>305</v>
      </c>
      <c r="DK658" s="33">
        <v>350</v>
      </c>
      <c r="DL658" s="33"/>
      <c r="DM658" s="34"/>
      <c r="DN658" s="34"/>
      <c r="DO658" s="33"/>
      <c r="DP658" s="33">
        <v>1040</v>
      </c>
      <c r="DQ658" s="33" t="s">
        <v>217</v>
      </c>
      <c r="DR658" s="33">
        <v>1200</v>
      </c>
      <c r="DS658" s="33"/>
      <c r="DT658" s="33">
        <v>300</v>
      </c>
      <c r="DU658" s="33">
        <v>1120</v>
      </c>
      <c r="DV658" s="33" t="s">
        <v>269</v>
      </c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8"/>
    </row>
    <row r="659" spans="2:137" ht="13.2">
      <c r="B659" s="30" t="str">
        <f t="shared" si="22"/>
        <v>2025/10</v>
      </c>
      <c r="C659" s="31">
        <f t="shared" si="23"/>
        <v>1820</v>
      </c>
      <c r="D659" s="32">
        <v>45932</v>
      </c>
      <c r="E659" s="33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3"/>
      <c r="R659" s="33"/>
      <c r="S659" s="33"/>
      <c r="T659" s="33"/>
      <c r="U659" s="35"/>
      <c r="V659" s="36"/>
      <c r="W659" s="37"/>
      <c r="X659" s="34"/>
      <c r="Y659" s="33"/>
      <c r="Z659" s="33"/>
      <c r="AA659" s="33"/>
      <c r="AB659" s="35"/>
      <c r="AC659" s="34"/>
      <c r="AD659" s="34"/>
      <c r="AE659" s="34"/>
      <c r="AF659" s="34"/>
      <c r="AG659" s="34"/>
      <c r="AH659" s="33"/>
      <c r="AI659" s="33"/>
      <c r="AJ659" s="34"/>
      <c r="AK659" s="33"/>
      <c r="AL659" s="33"/>
      <c r="AM659" s="33"/>
      <c r="AN659" s="34"/>
      <c r="AO659" s="34"/>
      <c r="AP659" s="33"/>
      <c r="AQ659" s="34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4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5"/>
      <c r="CC659" s="33"/>
      <c r="CD659" s="33"/>
      <c r="CE659" s="33"/>
      <c r="CF659" s="34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4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>
        <v>300</v>
      </c>
      <c r="DM659" s="34"/>
      <c r="DN659" s="34"/>
      <c r="DO659" s="33">
        <v>400</v>
      </c>
      <c r="DP659" s="33"/>
      <c r="DQ659" s="33" t="s">
        <v>218</v>
      </c>
      <c r="DR659" s="33" t="s">
        <v>276</v>
      </c>
      <c r="DS659" s="33"/>
      <c r="DT659" s="33" t="s">
        <v>227</v>
      </c>
      <c r="DU659" s="33" t="s">
        <v>215</v>
      </c>
      <c r="DV659" s="33">
        <v>1120</v>
      </c>
      <c r="DW659" s="33" t="s">
        <v>218</v>
      </c>
      <c r="DX659" s="33"/>
      <c r="DY659" s="33"/>
      <c r="DZ659" s="33"/>
      <c r="EA659" s="33"/>
      <c r="EB659" s="33"/>
      <c r="EC659" s="33"/>
      <c r="ED659" s="33"/>
      <c r="EE659" s="33"/>
      <c r="EF659" s="33"/>
      <c r="EG659" s="38"/>
    </row>
    <row r="660" spans="2:137" ht="13.2">
      <c r="B660" s="30" t="str">
        <f t="shared" si="22"/>
        <v>2025/10</v>
      </c>
      <c r="C660" s="31">
        <f t="shared" si="23"/>
        <v>1460</v>
      </c>
      <c r="D660" s="32">
        <v>45933</v>
      </c>
      <c r="E660" s="33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3"/>
      <c r="R660" s="33"/>
      <c r="S660" s="33"/>
      <c r="T660" s="33"/>
      <c r="U660" s="35"/>
      <c r="V660" s="36"/>
      <c r="W660" s="37"/>
      <c r="X660" s="34"/>
      <c r="Y660" s="33"/>
      <c r="Z660" s="33"/>
      <c r="AA660" s="33"/>
      <c r="AB660" s="35"/>
      <c r="AC660" s="34"/>
      <c r="AD660" s="34"/>
      <c r="AE660" s="34"/>
      <c r="AF660" s="34"/>
      <c r="AG660" s="34"/>
      <c r="AH660" s="33"/>
      <c r="AI660" s="33"/>
      <c r="AJ660" s="34"/>
      <c r="AK660" s="33"/>
      <c r="AL660" s="33"/>
      <c r="AM660" s="33"/>
      <c r="AN660" s="34"/>
      <c r="AO660" s="34"/>
      <c r="AP660" s="33"/>
      <c r="AQ660" s="34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4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5"/>
      <c r="CC660" s="33"/>
      <c r="CD660" s="33"/>
      <c r="CE660" s="33"/>
      <c r="CF660" s="34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4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4"/>
      <c r="DN660" s="34"/>
      <c r="DO660" s="33"/>
      <c r="DP660" s="33"/>
      <c r="DQ660" s="33"/>
      <c r="DR660" s="33"/>
      <c r="DS660" s="33">
        <v>260</v>
      </c>
      <c r="DT660" s="33"/>
      <c r="DU660" s="33"/>
      <c r="DV660" s="33" t="s">
        <v>306</v>
      </c>
      <c r="DW660" s="33">
        <v>1200</v>
      </c>
      <c r="DX660" s="33" t="s">
        <v>217</v>
      </c>
      <c r="DY660" s="33"/>
      <c r="DZ660" s="33"/>
      <c r="EA660" s="33"/>
      <c r="EB660" s="33"/>
      <c r="EC660" s="33"/>
      <c r="ED660" s="33"/>
      <c r="EE660" s="33"/>
      <c r="EF660" s="33"/>
      <c r="EG660" s="38"/>
    </row>
    <row r="661" spans="2:137" ht="13.2">
      <c r="B661" s="30" t="str">
        <f t="shared" si="22"/>
        <v>2025/10</v>
      </c>
      <c r="C661" s="31">
        <f t="shared" si="23"/>
        <v>3620</v>
      </c>
      <c r="D661" s="32">
        <v>45938</v>
      </c>
      <c r="E661" s="33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3"/>
      <c r="R661" s="33"/>
      <c r="S661" s="33"/>
      <c r="T661" s="33"/>
      <c r="U661" s="35"/>
      <c r="V661" s="36"/>
      <c r="W661" s="37"/>
      <c r="X661" s="34"/>
      <c r="Y661" s="33"/>
      <c r="Z661" s="33"/>
      <c r="AA661" s="33"/>
      <c r="AB661" s="35"/>
      <c r="AC661" s="34"/>
      <c r="AD661" s="34"/>
      <c r="AE661" s="34"/>
      <c r="AF661" s="34"/>
      <c r="AG661" s="34"/>
      <c r="AH661" s="33"/>
      <c r="AI661" s="33"/>
      <c r="AJ661" s="34"/>
      <c r="AK661" s="33"/>
      <c r="AL661" s="33"/>
      <c r="AM661" s="33"/>
      <c r="AN661" s="34"/>
      <c r="AO661" s="34"/>
      <c r="AP661" s="33"/>
      <c r="AQ661" s="34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4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5"/>
      <c r="CC661" s="33"/>
      <c r="CD661" s="33"/>
      <c r="CE661" s="33"/>
      <c r="CF661" s="34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4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>
        <v>350</v>
      </c>
      <c r="DL661" s="33"/>
      <c r="DM661" s="34"/>
      <c r="DN661" s="33" t="s">
        <v>216</v>
      </c>
      <c r="DO661" s="33"/>
      <c r="DP661" s="33"/>
      <c r="DQ661" s="33">
        <v>1120</v>
      </c>
      <c r="DR661" s="33"/>
      <c r="DS661" s="33"/>
      <c r="DT661" s="33">
        <v>300</v>
      </c>
      <c r="DU661" s="33"/>
      <c r="DV661" s="33"/>
      <c r="DW661" s="33"/>
      <c r="DX661" s="33">
        <v>1850</v>
      </c>
      <c r="DY661" s="33"/>
      <c r="DZ661" s="33"/>
      <c r="EA661" s="33"/>
      <c r="EB661" s="33"/>
      <c r="EC661" s="33"/>
      <c r="ED661" s="33"/>
      <c r="EE661" s="33"/>
      <c r="EF661" s="33"/>
      <c r="EG661" s="38"/>
    </row>
    <row r="662" spans="2:137" ht="13.2">
      <c r="B662" s="30" t="str">
        <f t="shared" si="22"/>
        <v>2025/10</v>
      </c>
      <c r="C662" s="31" t="str">
        <f t="shared" si="23"/>
        <v/>
      </c>
      <c r="D662" s="32">
        <v>45939</v>
      </c>
      <c r="E662" s="33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3"/>
      <c r="R662" s="33"/>
      <c r="S662" s="33"/>
      <c r="T662" s="33"/>
      <c r="U662" s="35"/>
      <c r="V662" s="36"/>
      <c r="W662" s="37"/>
      <c r="X662" s="34"/>
      <c r="Y662" s="33"/>
      <c r="Z662" s="33"/>
      <c r="AA662" s="33"/>
      <c r="AB662" s="35"/>
      <c r="AC662" s="34"/>
      <c r="AD662" s="34"/>
      <c r="AE662" s="34"/>
      <c r="AF662" s="34"/>
      <c r="AG662" s="34"/>
      <c r="AH662" s="33"/>
      <c r="AI662" s="33"/>
      <c r="AJ662" s="34"/>
      <c r="AK662" s="33"/>
      <c r="AL662" s="33"/>
      <c r="AM662" s="33"/>
      <c r="AN662" s="34"/>
      <c r="AO662" s="34"/>
      <c r="AP662" s="33"/>
      <c r="AQ662" s="34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4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5"/>
      <c r="CC662" s="33"/>
      <c r="CD662" s="33"/>
      <c r="CE662" s="33"/>
      <c r="CF662" s="34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4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4"/>
      <c r="DN662" s="34"/>
      <c r="DO662" s="33"/>
      <c r="DP662" s="33"/>
      <c r="DQ662" s="33" t="s">
        <v>276</v>
      </c>
      <c r="DR662" s="33" t="s">
        <v>216</v>
      </c>
      <c r="DS662" s="33"/>
      <c r="DT662" s="33" t="s">
        <v>227</v>
      </c>
      <c r="DU662" s="33" t="s">
        <v>216</v>
      </c>
      <c r="DV662" s="33"/>
      <c r="DW662" s="33" t="s">
        <v>215</v>
      </c>
      <c r="DX662" s="33" t="s">
        <v>307</v>
      </c>
      <c r="DY662" s="33"/>
      <c r="DZ662" s="33"/>
      <c r="EA662" s="33"/>
      <c r="EB662" s="33"/>
      <c r="EC662" s="33"/>
      <c r="ED662" s="33"/>
      <c r="EE662" s="33"/>
      <c r="EF662" s="33"/>
      <c r="EG662" s="38"/>
    </row>
    <row r="663" spans="2:137" ht="13.2">
      <c r="B663" s="30" t="str">
        <f t="shared" si="22"/>
        <v>2025/10</v>
      </c>
      <c r="C663" s="31">
        <f t="shared" si="23"/>
        <v>460</v>
      </c>
      <c r="D663" s="32">
        <v>45940</v>
      </c>
      <c r="E663" s="33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3"/>
      <c r="R663" s="33"/>
      <c r="S663" s="33"/>
      <c r="T663" s="33"/>
      <c r="U663" s="35"/>
      <c r="V663" s="36"/>
      <c r="W663" s="37"/>
      <c r="X663" s="34"/>
      <c r="Y663" s="33"/>
      <c r="Z663" s="33"/>
      <c r="AA663" s="33"/>
      <c r="AB663" s="35"/>
      <c r="AC663" s="34"/>
      <c r="AD663" s="34"/>
      <c r="AE663" s="34"/>
      <c r="AF663" s="34"/>
      <c r="AG663" s="34"/>
      <c r="AH663" s="33"/>
      <c r="AI663" s="33"/>
      <c r="AJ663" s="34"/>
      <c r="AK663" s="33"/>
      <c r="AL663" s="33"/>
      <c r="AM663" s="33"/>
      <c r="AN663" s="34"/>
      <c r="AO663" s="34"/>
      <c r="AP663" s="33"/>
      <c r="AQ663" s="34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4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5"/>
      <c r="CC663" s="33"/>
      <c r="CD663" s="33"/>
      <c r="CE663" s="33"/>
      <c r="CF663" s="34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4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4"/>
      <c r="DN663" s="34"/>
      <c r="DO663" s="33">
        <v>200</v>
      </c>
      <c r="DP663" s="33"/>
      <c r="DQ663" s="33"/>
      <c r="DR663" s="33"/>
      <c r="DS663" s="33">
        <v>260</v>
      </c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8"/>
    </row>
    <row r="664" spans="2:137" ht="13.2">
      <c r="B664" s="30" t="str">
        <f t="shared" si="22"/>
        <v>2025/10</v>
      </c>
      <c r="C664" s="31">
        <f t="shared" si="23"/>
        <v>2100</v>
      </c>
      <c r="D664" s="32">
        <v>45945</v>
      </c>
      <c r="E664" s="33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3"/>
      <c r="R664" s="33"/>
      <c r="S664" s="33"/>
      <c r="T664" s="33"/>
      <c r="U664" s="35"/>
      <c r="V664" s="36"/>
      <c r="W664" s="37"/>
      <c r="X664" s="34"/>
      <c r="Y664" s="33"/>
      <c r="Z664" s="33"/>
      <c r="AA664" s="33"/>
      <c r="AB664" s="35"/>
      <c r="AC664" s="34"/>
      <c r="AD664" s="34"/>
      <c r="AE664" s="34"/>
      <c r="AF664" s="34"/>
      <c r="AG664" s="34"/>
      <c r="AH664" s="33"/>
      <c r="AI664" s="33"/>
      <c r="AJ664" s="34"/>
      <c r="AK664" s="33"/>
      <c r="AL664" s="33"/>
      <c r="AM664" s="33"/>
      <c r="AN664" s="34"/>
      <c r="AO664" s="34"/>
      <c r="AP664" s="33"/>
      <c r="AQ664" s="34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4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5"/>
      <c r="CC664" s="33"/>
      <c r="CD664" s="33"/>
      <c r="CE664" s="33"/>
      <c r="CF664" s="34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4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>
        <v>350</v>
      </c>
      <c r="DL664" s="33"/>
      <c r="DM664" s="34"/>
      <c r="DN664" s="34" t="s">
        <v>271</v>
      </c>
      <c r="DO664" s="33"/>
      <c r="DP664" s="33" t="s">
        <v>215</v>
      </c>
      <c r="DQ664" s="33"/>
      <c r="DR664" s="33"/>
      <c r="DS664" s="33"/>
      <c r="DT664" s="33"/>
      <c r="DU664" s="33"/>
      <c r="DV664" s="33" t="s">
        <v>218</v>
      </c>
      <c r="DW664" s="33"/>
      <c r="DX664" s="33"/>
      <c r="DY664" s="33"/>
      <c r="DZ664" s="33"/>
      <c r="EA664" s="33"/>
      <c r="EB664" s="33"/>
      <c r="EC664" s="33"/>
      <c r="ED664" s="33"/>
      <c r="EE664" s="33">
        <v>1750</v>
      </c>
      <c r="EF664" s="33"/>
      <c r="EG664" s="38"/>
    </row>
    <row r="665" spans="2:137" ht="13.2">
      <c r="B665" s="30" t="str">
        <f t="shared" si="22"/>
        <v>2025/10</v>
      </c>
      <c r="C665" s="31">
        <f t="shared" si="23"/>
        <v>900</v>
      </c>
      <c r="D665" s="32">
        <v>45946</v>
      </c>
      <c r="E665" s="33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3"/>
      <c r="R665" s="33"/>
      <c r="S665" s="33"/>
      <c r="T665" s="33"/>
      <c r="U665" s="35"/>
      <c r="V665" s="36"/>
      <c r="W665" s="37"/>
      <c r="X665" s="34"/>
      <c r="Y665" s="33"/>
      <c r="Z665" s="33"/>
      <c r="AA665" s="33"/>
      <c r="AB665" s="35"/>
      <c r="AC665" s="34"/>
      <c r="AD665" s="34"/>
      <c r="AE665" s="34"/>
      <c r="AF665" s="34"/>
      <c r="AG665" s="34"/>
      <c r="AH665" s="33"/>
      <c r="AI665" s="33"/>
      <c r="AJ665" s="34"/>
      <c r="AK665" s="33"/>
      <c r="AL665" s="33"/>
      <c r="AM665" s="33"/>
      <c r="AN665" s="34"/>
      <c r="AO665" s="34"/>
      <c r="AP665" s="33"/>
      <c r="AQ665" s="34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4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5"/>
      <c r="CC665" s="33"/>
      <c r="CD665" s="33"/>
      <c r="CE665" s="33"/>
      <c r="CF665" s="34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4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>
        <v>300</v>
      </c>
      <c r="DM665" s="34"/>
      <c r="DN665" s="34"/>
      <c r="DO665" s="33"/>
      <c r="DP665" s="33"/>
      <c r="DQ665" s="33"/>
      <c r="DR665" s="33" t="s">
        <v>217</v>
      </c>
      <c r="DS665" s="33"/>
      <c r="DT665" s="33">
        <v>600</v>
      </c>
      <c r="DU665" s="33" t="s">
        <v>217</v>
      </c>
      <c r="DV665" s="33"/>
      <c r="DW665" s="33" t="s">
        <v>216</v>
      </c>
      <c r="DX665" s="33"/>
      <c r="DY665" s="33"/>
      <c r="DZ665" s="33"/>
      <c r="EA665" s="33"/>
      <c r="EB665" s="33"/>
      <c r="EC665" s="33"/>
      <c r="ED665" s="33"/>
      <c r="EE665" s="33"/>
      <c r="EF665" s="33"/>
      <c r="EG665" s="38"/>
    </row>
    <row r="666" spans="2:137" ht="13.2">
      <c r="B666" s="30" t="str">
        <f t="shared" si="22"/>
        <v>2025/10</v>
      </c>
      <c r="C666" s="31">
        <f t="shared" si="23"/>
        <v>2055</v>
      </c>
      <c r="D666" s="32">
        <v>45947</v>
      </c>
      <c r="E666" s="33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3"/>
      <c r="R666" s="33"/>
      <c r="S666" s="33"/>
      <c r="T666" s="33"/>
      <c r="U666" s="35"/>
      <c r="V666" s="36"/>
      <c r="W666" s="37"/>
      <c r="X666" s="34"/>
      <c r="Y666" s="33"/>
      <c r="Z666" s="33"/>
      <c r="AA666" s="33"/>
      <c r="AB666" s="35"/>
      <c r="AC666" s="34"/>
      <c r="AD666" s="34"/>
      <c r="AE666" s="34"/>
      <c r="AF666" s="34"/>
      <c r="AG666" s="34"/>
      <c r="AH666" s="33"/>
      <c r="AI666" s="33"/>
      <c r="AJ666" s="34"/>
      <c r="AK666" s="33"/>
      <c r="AL666" s="33"/>
      <c r="AM666" s="33"/>
      <c r="AN666" s="34"/>
      <c r="AO666" s="34"/>
      <c r="AP666" s="33"/>
      <c r="AQ666" s="34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4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5"/>
      <c r="CC666" s="33"/>
      <c r="CD666" s="33"/>
      <c r="CE666" s="33"/>
      <c r="CF666" s="34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4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4"/>
      <c r="DN666" s="34">
        <v>675</v>
      </c>
      <c r="DO666" s="33" t="s">
        <v>227</v>
      </c>
      <c r="DP666" s="33"/>
      <c r="DQ666" s="33"/>
      <c r="DR666" s="33"/>
      <c r="DS666" s="33">
        <v>260</v>
      </c>
      <c r="DT666" s="33"/>
      <c r="DU666" s="33"/>
      <c r="DV666" s="33">
        <v>1120</v>
      </c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8"/>
    </row>
    <row r="667" spans="2:137" ht="13.2">
      <c r="B667" s="30" t="str">
        <f t="shared" si="22"/>
        <v>2025/10</v>
      </c>
      <c r="C667" s="31">
        <f t="shared" si="23"/>
        <v>400</v>
      </c>
      <c r="D667" s="32">
        <v>45952</v>
      </c>
      <c r="E667" s="33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3"/>
      <c r="R667" s="33"/>
      <c r="S667" s="33"/>
      <c r="T667" s="33"/>
      <c r="U667" s="35"/>
      <c r="V667" s="36"/>
      <c r="W667" s="37"/>
      <c r="X667" s="34"/>
      <c r="Y667" s="33"/>
      <c r="Z667" s="33"/>
      <c r="AA667" s="33"/>
      <c r="AB667" s="35"/>
      <c r="AC667" s="34"/>
      <c r="AD667" s="34"/>
      <c r="AE667" s="34"/>
      <c r="AF667" s="34"/>
      <c r="AG667" s="34"/>
      <c r="AH667" s="33"/>
      <c r="AI667" s="33"/>
      <c r="AJ667" s="34"/>
      <c r="AK667" s="33"/>
      <c r="AL667" s="33"/>
      <c r="AM667" s="33"/>
      <c r="AN667" s="34"/>
      <c r="AO667" s="34"/>
      <c r="AP667" s="33"/>
      <c r="AQ667" s="34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4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5"/>
      <c r="CC667" s="33"/>
      <c r="CD667" s="33"/>
      <c r="CE667" s="33"/>
      <c r="CF667" s="34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4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4"/>
      <c r="DN667" s="34" t="s">
        <v>276</v>
      </c>
      <c r="DO667" s="33">
        <v>400</v>
      </c>
      <c r="DP667" s="33" t="s">
        <v>308</v>
      </c>
      <c r="DQ667" s="33" t="s">
        <v>216</v>
      </c>
      <c r="DR667" s="33" t="s">
        <v>218</v>
      </c>
      <c r="DS667" s="33"/>
      <c r="DT667" s="33"/>
      <c r="DU667" s="33"/>
      <c r="DV667" s="33" t="s">
        <v>215</v>
      </c>
      <c r="DW667" s="33"/>
      <c r="DX667" s="33" t="s">
        <v>218</v>
      </c>
      <c r="DY667" s="33"/>
      <c r="DZ667" s="33"/>
      <c r="EA667" s="33"/>
      <c r="EB667" s="33"/>
      <c r="EC667" s="33"/>
      <c r="ED667" s="33"/>
      <c r="EE667" s="33"/>
      <c r="EF667" s="33"/>
      <c r="EG667" s="38"/>
    </row>
    <row r="668" spans="2:137" ht="13.2">
      <c r="B668" s="30" t="str">
        <f t="shared" si="22"/>
        <v>2025/10</v>
      </c>
      <c r="C668" s="31">
        <f t="shared" si="23"/>
        <v>250</v>
      </c>
      <c r="D668" s="32">
        <v>45953</v>
      </c>
      <c r="E668" s="33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3"/>
      <c r="R668" s="33"/>
      <c r="S668" s="33"/>
      <c r="T668" s="33"/>
      <c r="U668" s="35"/>
      <c r="V668" s="36"/>
      <c r="W668" s="37"/>
      <c r="X668" s="34"/>
      <c r="Y668" s="33"/>
      <c r="Z668" s="33"/>
      <c r="AA668" s="33"/>
      <c r="AB668" s="35"/>
      <c r="AC668" s="34"/>
      <c r="AD668" s="34"/>
      <c r="AE668" s="34"/>
      <c r="AF668" s="34"/>
      <c r="AG668" s="34"/>
      <c r="AH668" s="33"/>
      <c r="AI668" s="33"/>
      <c r="AJ668" s="34"/>
      <c r="AK668" s="33"/>
      <c r="AL668" s="33"/>
      <c r="AM668" s="33"/>
      <c r="AN668" s="34"/>
      <c r="AO668" s="34"/>
      <c r="AP668" s="33"/>
      <c r="AQ668" s="34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4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5"/>
      <c r="CC668" s="33"/>
      <c r="CD668" s="33"/>
      <c r="CE668" s="33"/>
      <c r="CF668" s="34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4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4">
        <v>250</v>
      </c>
      <c r="DN668" s="34"/>
      <c r="DO668" s="33"/>
      <c r="DP668" s="33"/>
      <c r="DQ668" s="33"/>
      <c r="DR668" s="33"/>
      <c r="DS668" s="33"/>
      <c r="DT668" s="33"/>
      <c r="DU668" s="33" t="s">
        <v>218</v>
      </c>
      <c r="DV668" s="33"/>
      <c r="DW668" s="33" t="s">
        <v>217</v>
      </c>
      <c r="DX668" s="33"/>
      <c r="DY668" s="33"/>
      <c r="DZ668" s="33"/>
      <c r="EA668" s="33"/>
      <c r="EB668" s="33"/>
      <c r="EC668" s="33"/>
      <c r="ED668" s="33"/>
      <c r="EE668" s="33"/>
      <c r="EF668" s="33"/>
      <c r="EG668" s="38"/>
    </row>
    <row r="669" spans="2:137" ht="13.2">
      <c r="B669" s="30" t="str">
        <f t="shared" si="22"/>
        <v>2025/10</v>
      </c>
      <c r="C669" s="31">
        <f t="shared" si="23"/>
        <v>350</v>
      </c>
      <c r="D669" s="32">
        <v>45959</v>
      </c>
      <c r="E669" s="33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3"/>
      <c r="R669" s="33"/>
      <c r="S669" s="33"/>
      <c r="T669" s="33"/>
      <c r="U669" s="35"/>
      <c r="V669" s="36"/>
      <c r="W669" s="37"/>
      <c r="X669" s="34"/>
      <c r="Y669" s="33"/>
      <c r="Z669" s="33"/>
      <c r="AA669" s="33"/>
      <c r="AB669" s="35"/>
      <c r="AC669" s="34"/>
      <c r="AD669" s="34"/>
      <c r="AE669" s="34"/>
      <c r="AF669" s="34"/>
      <c r="AG669" s="34"/>
      <c r="AH669" s="33"/>
      <c r="AI669" s="33"/>
      <c r="AJ669" s="34"/>
      <c r="AK669" s="33"/>
      <c r="AL669" s="33"/>
      <c r="AM669" s="33"/>
      <c r="AN669" s="34"/>
      <c r="AO669" s="34"/>
      <c r="AP669" s="33"/>
      <c r="AQ669" s="34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4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5"/>
      <c r="CC669" s="33"/>
      <c r="CD669" s="33"/>
      <c r="CE669" s="33"/>
      <c r="CF669" s="34"/>
      <c r="CG669" s="33"/>
      <c r="CH669" s="33"/>
      <c r="CI669" s="33"/>
      <c r="CJ669" s="33"/>
      <c r="CK669" s="33"/>
      <c r="CL669" s="33"/>
      <c r="CM669" s="33"/>
      <c r="CN669" s="33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4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>
        <v>350</v>
      </c>
      <c r="DL669" s="33"/>
      <c r="DM669" s="34"/>
      <c r="DN669" s="34" t="s">
        <v>216</v>
      </c>
      <c r="DO669" s="33"/>
      <c r="DP669" s="33" t="s">
        <v>217</v>
      </c>
      <c r="DQ669" s="33"/>
      <c r="DR669" s="33"/>
      <c r="DS669" s="33"/>
      <c r="DT669" s="33"/>
      <c r="DU669" s="33"/>
      <c r="DV669" s="33" t="s">
        <v>216</v>
      </c>
      <c r="DW669" s="33"/>
      <c r="DX669" s="33" t="s">
        <v>279</v>
      </c>
      <c r="DY669" s="33"/>
      <c r="DZ669" s="33"/>
      <c r="EA669" s="33"/>
      <c r="EB669" s="33"/>
      <c r="EC669" s="33"/>
      <c r="ED669" s="33"/>
      <c r="EE669" s="33"/>
      <c r="EF669" s="33"/>
      <c r="EG669" s="38"/>
    </row>
    <row r="670" spans="2:137" ht="13.2">
      <c r="B670" s="30" t="str">
        <f t="shared" si="22"/>
        <v>2025/10</v>
      </c>
      <c r="C670" s="31">
        <f t="shared" si="23"/>
        <v>600</v>
      </c>
      <c r="D670" s="32">
        <v>45960</v>
      </c>
      <c r="E670" s="33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3"/>
      <c r="R670" s="33"/>
      <c r="S670" s="33"/>
      <c r="T670" s="33"/>
      <c r="U670" s="35"/>
      <c r="V670" s="36"/>
      <c r="W670" s="37"/>
      <c r="X670" s="34"/>
      <c r="Y670" s="33"/>
      <c r="Z670" s="33"/>
      <c r="AA670" s="33"/>
      <c r="AB670" s="35"/>
      <c r="AC670" s="34"/>
      <c r="AD670" s="34"/>
      <c r="AE670" s="34"/>
      <c r="AF670" s="34"/>
      <c r="AG670" s="34"/>
      <c r="AH670" s="33"/>
      <c r="AI670" s="33"/>
      <c r="AJ670" s="34"/>
      <c r="AK670" s="33"/>
      <c r="AL670" s="33"/>
      <c r="AM670" s="33"/>
      <c r="AN670" s="34"/>
      <c r="AO670" s="34"/>
      <c r="AP670" s="33"/>
      <c r="AQ670" s="34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4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5"/>
      <c r="CC670" s="33"/>
      <c r="CD670" s="33"/>
      <c r="CE670" s="33"/>
      <c r="CF670" s="34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4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>
        <v>300</v>
      </c>
      <c r="DM670" s="34"/>
      <c r="DN670" s="34"/>
      <c r="DO670" s="33"/>
      <c r="DP670" s="33"/>
      <c r="DQ670" s="33"/>
      <c r="DR670" s="33" t="s">
        <v>276</v>
      </c>
      <c r="DS670" s="33"/>
      <c r="DT670" s="33"/>
      <c r="DU670" s="33" t="s">
        <v>215</v>
      </c>
      <c r="DV670" s="33"/>
      <c r="DW670" s="33" t="s">
        <v>218</v>
      </c>
      <c r="DX670" s="33"/>
      <c r="DY670" s="33">
        <v>300</v>
      </c>
      <c r="DZ670" s="33"/>
      <c r="EA670" s="33" t="s">
        <v>215</v>
      </c>
      <c r="EB670" s="33"/>
      <c r="EC670" s="33"/>
      <c r="ED670" s="33"/>
      <c r="EE670" s="33"/>
      <c r="EF670" s="33"/>
      <c r="EG670" s="38"/>
    </row>
    <row r="671" spans="2:137" ht="13.2">
      <c r="B671" s="30" t="str">
        <f t="shared" si="22"/>
        <v>2025/10</v>
      </c>
      <c r="C671" s="31">
        <f t="shared" si="23"/>
        <v>2750</v>
      </c>
      <c r="D671" s="32">
        <v>45961</v>
      </c>
      <c r="E671" s="33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3"/>
      <c r="R671" s="33"/>
      <c r="S671" s="33"/>
      <c r="T671" s="33"/>
      <c r="U671" s="35"/>
      <c r="V671" s="36"/>
      <c r="W671" s="37"/>
      <c r="X671" s="34"/>
      <c r="Y671" s="33"/>
      <c r="Z671" s="33"/>
      <c r="AA671" s="33"/>
      <c r="AB671" s="35"/>
      <c r="AC671" s="34"/>
      <c r="AD671" s="34"/>
      <c r="AE671" s="34"/>
      <c r="AF671" s="34"/>
      <c r="AG671" s="34"/>
      <c r="AH671" s="33"/>
      <c r="AI671" s="33"/>
      <c r="AJ671" s="34"/>
      <c r="AK671" s="33"/>
      <c r="AL671" s="33"/>
      <c r="AM671" s="33"/>
      <c r="AN671" s="34"/>
      <c r="AO671" s="34"/>
      <c r="AP671" s="33"/>
      <c r="AQ671" s="34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4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5"/>
      <c r="CC671" s="33"/>
      <c r="CD671" s="33"/>
      <c r="CE671" s="33"/>
      <c r="CF671" s="34"/>
      <c r="CG671" s="33"/>
      <c r="CH671" s="33"/>
      <c r="CI671" s="33"/>
      <c r="CJ671" s="33"/>
      <c r="CK671" s="33"/>
      <c r="CL671" s="33"/>
      <c r="CM671" s="33"/>
      <c r="CN671" s="33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4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4">
        <v>250</v>
      </c>
      <c r="DN671" s="34"/>
      <c r="DO671" s="33"/>
      <c r="DP671" s="33">
        <v>1040</v>
      </c>
      <c r="DQ671" s="33"/>
      <c r="DR671" s="33"/>
      <c r="DS671" s="33">
        <v>260</v>
      </c>
      <c r="DT671" s="33"/>
      <c r="DU671" s="33"/>
      <c r="DV671" s="33"/>
      <c r="DW671" s="33"/>
      <c r="DX671" s="33"/>
      <c r="DY671" s="33"/>
      <c r="DZ671" s="33">
        <v>1200</v>
      </c>
      <c r="EA671" s="33"/>
      <c r="EB671" s="33"/>
      <c r="EC671" s="33"/>
      <c r="ED671" s="33"/>
      <c r="EE671" s="33"/>
      <c r="EF671" s="33"/>
      <c r="EG671" s="38"/>
    </row>
    <row r="672" spans="2:137" ht="13.2">
      <c r="B672" s="30" t="str">
        <f t="shared" si="22"/>
        <v>2025/11</v>
      </c>
      <c r="C672" s="31">
        <f t="shared" si="23"/>
        <v>6390</v>
      </c>
      <c r="D672" s="32">
        <v>45966</v>
      </c>
      <c r="E672" s="33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3"/>
      <c r="R672" s="33"/>
      <c r="S672" s="33"/>
      <c r="T672" s="33"/>
      <c r="U672" s="35"/>
      <c r="V672" s="36"/>
      <c r="W672" s="37"/>
      <c r="X672" s="34"/>
      <c r="Y672" s="33"/>
      <c r="Z672" s="33"/>
      <c r="AA672" s="33"/>
      <c r="AB672" s="35"/>
      <c r="AC672" s="34"/>
      <c r="AD672" s="34"/>
      <c r="AE672" s="34"/>
      <c r="AF672" s="34"/>
      <c r="AG672" s="34"/>
      <c r="AH672" s="33"/>
      <c r="AI672" s="33"/>
      <c r="AJ672" s="34"/>
      <c r="AK672" s="33"/>
      <c r="AL672" s="33"/>
      <c r="AM672" s="33"/>
      <c r="AN672" s="34"/>
      <c r="AO672" s="34"/>
      <c r="AP672" s="33"/>
      <c r="AQ672" s="34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4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5"/>
      <c r="CC672" s="33"/>
      <c r="CD672" s="33"/>
      <c r="CE672" s="33"/>
      <c r="CF672" s="34"/>
      <c r="CG672" s="33"/>
      <c r="CH672" s="33"/>
      <c r="CI672" s="33"/>
      <c r="CJ672" s="33"/>
      <c r="CK672" s="33"/>
      <c r="CL672" s="33"/>
      <c r="CM672" s="33"/>
      <c r="CN672" s="33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4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>
        <v>350</v>
      </c>
      <c r="DL672" s="33"/>
      <c r="DM672" s="34"/>
      <c r="DN672" s="34" t="s">
        <v>271</v>
      </c>
      <c r="DO672" s="33">
        <v>200</v>
      </c>
      <c r="DP672" s="33" t="s">
        <v>218</v>
      </c>
      <c r="DQ672" s="33">
        <v>1120</v>
      </c>
      <c r="DR672" s="33">
        <v>1200</v>
      </c>
      <c r="DS672" s="33"/>
      <c r="DT672" s="33"/>
      <c r="DU672" s="33">
        <v>1120</v>
      </c>
      <c r="DV672" s="33" t="s">
        <v>217</v>
      </c>
      <c r="DW672" s="33">
        <v>1200</v>
      </c>
      <c r="DX672" s="33"/>
      <c r="DY672" s="33"/>
      <c r="DZ672" s="33"/>
      <c r="EA672" s="33">
        <v>1200</v>
      </c>
      <c r="EB672" s="33"/>
      <c r="EC672" s="33"/>
      <c r="ED672" s="33"/>
      <c r="EE672" s="33"/>
      <c r="EF672" s="33"/>
      <c r="EG672" s="38"/>
    </row>
    <row r="673" spans="2:137" ht="13.2">
      <c r="B673" s="30" t="str">
        <f t="shared" si="22"/>
        <v>2025/11</v>
      </c>
      <c r="C673" s="31">
        <f t="shared" si="23"/>
        <v>550</v>
      </c>
      <c r="D673" s="32">
        <v>45967</v>
      </c>
      <c r="E673" s="33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3"/>
      <c r="R673" s="33"/>
      <c r="S673" s="33"/>
      <c r="T673" s="33"/>
      <c r="U673" s="35"/>
      <c r="V673" s="36"/>
      <c r="W673" s="37"/>
      <c r="X673" s="34"/>
      <c r="Y673" s="33"/>
      <c r="Z673" s="33"/>
      <c r="AA673" s="33"/>
      <c r="AB673" s="35"/>
      <c r="AC673" s="34"/>
      <c r="AD673" s="34"/>
      <c r="AE673" s="34"/>
      <c r="AF673" s="34"/>
      <c r="AG673" s="34"/>
      <c r="AH673" s="33"/>
      <c r="AI673" s="33"/>
      <c r="AJ673" s="34"/>
      <c r="AK673" s="33"/>
      <c r="AL673" s="33"/>
      <c r="AM673" s="33"/>
      <c r="AN673" s="34"/>
      <c r="AO673" s="34"/>
      <c r="AP673" s="33"/>
      <c r="AQ673" s="34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4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5"/>
      <c r="CC673" s="33"/>
      <c r="CD673" s="33"/>
      <c r="CE673" s="33"/>
      <c r="CF673" s="34"/>
      <c r="CG673" s="33"/>
      <c r="CH673" s="33"/>
      <c r="CI673" s="33"/>
      <c r="CJ673" s="33"/>
      <c r="CK673" s="33"/>
      <c r="CL673" s="33"/>
      <c r="CM673" s="33"/>
      <c r="CN673" s="33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4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4"/>
      <c r="DN673" s="34"/>
      <c r="DO673" s="33"/>
      <c r="DP673" s="33"/>
      <c r="DQ673" s="33"/>
      <c r="DR673" s="33" t="s">
        <v>216</v>
      </c>
      <c r="DS673" s="33"/>
      <c r="DT673" s="33"/>
      <c r="DU673" s="33" t="s">
        <v>216</v>
      </c>
      <c r="DV673" s="33"/>
      <c r="DW673" s="33" t="s">
        <v>309</v>
      </c>
      <c r="DX673" s="33">
        <v>250</v>
      </c>
      <c r="DY673" s="33">
        <v>300</v>
      </c>
      <c r="DZ673" s="33"/>
      <c r="EA673" s="33" t="s">
        <v>216</v>
      </c>
      <c r="EB673" s="33"/>
      <c r="EC673" s="33"/>
      <c r="ED673" s="33"/>
      <c r="EE673" s="33"/>
      <c r="EF673" s="33"/>
      <c r="EG673" s="38"/>
    </row>
    <row r="674" spans="2:137" ht="13.2">
      <c r="B674" s="30" t="str">
        <f t="shared" si="22"/>
        <v>2025/11</v>
      </c>
      <c r="C674" s="31">
        <f t="shared" si="23"/>
        <v>760</v>
      </c>
      <c r="D674" s="32">
        <v>45968</v>
      </c>
      <c r="E674" s="33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3"/>
      <c r="R674" s="33"/>
      <c r="S674" s="33"/>
      <c r="T674" s="33"/>
      <c r="U674" s="35"/>
      <c r="V674" s="36"/>
      <c r="W674" s="37"/>
      <c r="X674" s="34"/>
      <c r="Y674" s="33"/>
      <c r="Z674" s="33"/>
      <c r="AA674" s="33"/>
      <c r="AB674" s="35"/>
      <c r="AC674" s="34"/>
      <c r="AD674" s="34"/>
      <c r="AE674" s="34"/>
      <c r="AF674" s="34"/>
      <c r="AG674" s="34"/>
      <c r="AH674" s="33"/>
      <c r="AI674" s="33"/>
      <c r="AJ674" s="34"/>
      <c r="AK674" s="33"/>
      <c r="AL674" s="33"/>
      <c r="AM674" s="33"/>
      <c r="AN674" s="34"/>
      <c r="AO674" s="34"/>
      <c r="AP674" s="33"/>
      <c r="AQ674" s="34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4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5"/>
      <c r="CC674" s="33"/>
      <c r="CD674" s="33"/>
      <c r="CE674" s="33"/>
      <c r="CF674" s="34"/>
      <c r="CG674" s="33"/>
      <c r="CH674" s="33"/>
      <c r="CI674" s="33"/>
      <c r="CJ674" s="33"/>
      <c r="CK674" s="33"/>
      <c r="CL674" s="33"/>
      <c r="CM674" s="33"/>
      <c r="CN674" s="33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4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4"/>
      <c r="DN674" s="34"/>
      <c r="DO674" s="33">
        <v>200</v>
      </c>
      <c r="DP674" s="33"/>
      <c r="DQ674" s="33"/>
      <c r="DR674" s="33"/>
      <c r="DS674" s="33">
        <v>260</v>
      </c>
      <c r="DT674" s="33">
        <v>300</v>
      </c>
      <c r="DU674" s="33"/>
      <c r="DV674" s="33"/>
      <c r="DW674" s="33"/>
      <c r="DX674" s="33"/>
      <c r="DY674" s="33"/>
      <c r="DZ674" s="33" t="s">
        <v>216</v>
      </c>
      <c r="EA674" s="33"/>
      <c r="EB674" s="33"/>
      <c r="EC674" s="33"/>
      <c r="ED674" s="33"/>
      <c r="EE674" s="33"/>
      <c r="EF674" s="33"/>
      <c r="EG674" s="38"/>
    </row>
    <row r="675" spans="2:137" ht="13.2">
      <c r="B675" s="30" t="str">
        <f t="shared" si="22"/>
        <v>2025/11</v>
      </c>
      <c r="C675" s="31">
        <f t="shared" si="23"/>
        <v>2000</v>
      </c>
      <c r="D675" s="32">
        <v>45973</v>
      </c>
      <c r="E675" s="33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3"/>
      <c r="R675" s="33"/>
      <c r="S675" s="33"/>
      <c r="T675" s="33"/>
      <c r="U675" s="35"/>
      <c r="V675" s="36"/>
      <c r="W675" s="37"/>
      <c r="X675" s="34"/>
      <c r="Y675" s="33"/>
      <c r="Z675" s="33"/>
      <c r="AA675" s="33"/>
      <c r="AB675" s="35"/>
      <c r="AC675" s="34"/>
      <c r="AD675" s="34"/>
      <c r="AE675" s="34"/>
      <c r="AF675" s="34"/>
      <c r="AG675" s="34"/>
      <c r="AH675" s="33"/>
      <c r="AI675" s="33"/>
      <c r="AJ675" s="34"/>
      <c r="AK675" s="33"/>
      <c r="AL675" s="33"/>
      <c r="AM675" s="33"/>
      <c r="AN675" s="34"/>
      <c r="AO675" s="34"/>
      <c r="AP675" s="33"/>
      <c r="AQ675" s="34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4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5"/>
      <c r="CC675" s="33"/>
      <c r="CD675" s="33"/>
      <c r="CE675" s="33"/>
      <c r="CF675" s="34"/>
      <c r="CG675" s="33"/>
      <c r="CH675" s="33"/>
      <c r="CI675" s="33"/>
      <c r="CJ675" s="33"/>
      <c r="CK675" s="33"/>
      <c r="CL675" s="33"/>
      <c r="CM675" s="33"/>
      <c r="CN675" s="33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4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4">
        <v>250</v>
      </c>
      <c r="DN675" s="34"/>
      <c r="DO675" s="33"/>
      <c r="DP675" s="33"/>
      <c r="DQ675" s="33" t="s">
        <v>217</v>
      </c>
      <c r="DR675" s="33"/>
      <c r="DS675" s="33"/>
      <c r="DT675" s="33"/>
      <c r="DU675" s="33"/>
      <c r="DV675" s="33" t="s">
        <v>218</v>
      </c>
      <c r="DW675" s="33"/>
      <c r="DX675" s="33"/>
      <c r="DY675" s="33"/>
      <c r="DZ675" s="33"/>
      <c r="EA675" s="33"/>
      <c r="EB675" s="33"/>
      <c r="EC675" s="33"/>
      <c r="ED675" s="33"/>
      <c r="EE675" s="33">
        <v>1750</v>
      </c>
      <c r="EF675" s="33"/>
      <c r="EG675" s="38"/>
    </row>
    <row r="676" spans="2:137" ht="13.2">
      <c r="B676" s="30" t="str">
        <f t="shared" si="22"/>
        <v>2025/11</v>
      </c>
      <c r="C676" s="31">
        <f t="shared" si="23"/>
        <v>500</v>
      </c>
      <c r="D676" s="32">
        <v>45974</v>
      </c>
      <c r="E676" s="33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3"/>
      <c r="R676" s="33"/>
      <c r="S676" s="33"/>
      <c r="T676" s="33"/>
      <c r="U676" s="35"/>
      <c r="V676" s="36"/>
      <c r="W676" s="37"/>
      <c r="X676" s="34"/>
      <c r="Y676" s="33"/>
      <c r="Z676" s="33"/>
      <c r="AA676" s="33"/>
      <c r="AB676" s="35"/>
      <c r="AC676" s="34"/>
      <c r="AD676" s="34"/>
      <c r="AE676" s="34"/>
      <c r="AF676" s="34"/>
      <c r="AG676" s="34"/>
      <c r="AH676" s="33"/>
      <c r="AI676" s="33"/>
      <c r="AJ676" s="34"/>
      <c r="AK676" s="33"/>
      <c r="AL676" s="33"/>
      <c r="AM676" s="33"/>
      <c r="AN676" s="34"/>
      <c r="AO676" s="34"/>
      <c r="AP676" s="33"/>
      <c r="AQ676" s="34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4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5"/>
      <c r="CC676" s="33"/>
      <c r="CD676" s="33"/>
      <c r="CE676" s="33"/>
      <c r="CF676" s="34"/>
      <c r="CG676" s="33"/>
      <c r="CH676" s="33"/>
      <c r="CI676" s="33"/>
      <c r="CJ676" s="33"/>
      <c r="CK676" s="33"/>
      <c r="CL676" s="33"/>
      <c r="CM676" s="33"/>
      <c r="CN676" s="33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4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4"/>
      <c r="DN676" s="34"/>
      <c r="DO676" s="33">
        <v>200</v>
      </c>
      <c r="DP676" s="33"/>
      <c r="DQ676" s="33" t="s">
        <v>218</v>
      </c>
      <c r="DR676" s="33" t="s">
        <v>217</v>
      </c>
      <c r="DS676" s="33"/>
      <c r="DT676" s="33"/>
      <c r="DU676" s="33" t="s">
        <v>217</v>
      </c>
      <c r="DV676" s="33"/>
      <c r="DW676" s="33" t="s">
        <v>216</v>
      </c>
      <c r="DX676" s="33"/>
      <c r="DY676" s="33">
        <v>300</v>
      </c>
      <c r="DZ676" s="33"/>
      <c r="EA676" s="33" t="s">
        <v>217</v>
      </c>
      <c r="EB676" s="33"/>
      <c r="EC676" s="33"/>
      <c r="ED676" s="33"/>
      <c r="EE676" s="33"/>
      <c r="EF676" s="33"/>
      <c r="EG676" s="38"/>
    </row>
    <row r="677" spans="2:137" ht="13.2">
      <c r="B677" s="30" t="str">
        <f t="shared" si="22"/>
        <v>2025/11</v>
      </c>
      <c r="C677" s="31">
        <f t="shared" si="23"/>
        <v>560</v>
      </c>
      <c r="D677" s="32">
        <v>45975</v>
      </c>
      <c r="E677" s="33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3"/>
      <c r="R677" s="33"/>
      <c r="S677" s="33"/>
      <c r="T677" s="33"/>
      <c r="U677" s="35"/>
      <c r="V677" s="36"/>
      <c r="W677" s="37"/>
      <c r="X677" s="34"/>
      <c r="Y677" s="33"/>
      <c r="Z677" s="33"/>
      <c r="AA677" s="33"/>
      <c r="AB677" s="35"/>
      <c r="AC677" s="34"/>
      <c r="AD677" s="34"/>
      <c r="AE677" s="34"/>
      <c r="AF677" s="34"/>
      <c r="AG677" s="34"/>
      <c r="AH677" s="33"/>
      <c r="AI677" s="33"/>
      <c r="AJ677" s="34"/>
      <c r="AK677" s="33"/>
      <c r="AL677" s="33"/>
      <c r="AM677" s="33"/>
      <c r="AN677" s="34"/>
      <c r="AO677" s="34"/>
      <c r="AP677" s="33"/>
      <c r="AQ677" s="34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4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5"/>
      <c r="CC677" s="33"/>
      <c r="CD677" s="33"/>
      <c r="CE677" s="33"/>
      <c r="CF677" s="34"/>
      <c r="CG677" s="33"/>
      <c r="CH677" s="33"/>
      <c r="CI677" s="33"/>
      <c r="CJ677" s="33"/>
      <c r="CK677" s="33"/>
      <c r="CL677" s="33"/>
      <c r="CM677" s="33"/>
      <c r="CN677" s="33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4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4"/>
      <c r="DN677" s="34"/>
      <c r="DO677" s="33"/>
      <c r="DP677" s="33"/>
      <c r="DQ677" s="33"/>
      <c r="DR677" s="33"/>
      <c r="DS677" s="33">
        <v>260</v>
      </c>
      <c r="DT677" s="33">
        <v>300</v>
      </c>
      <c r="DU677" s="33"/>
      <c r="DV677" s="33"/>
      <c r="DW677" s="33"/>
      <c r="DX677" s="33" t="s">
        <v>280</v>
      </c>
      <c r="DY677" s="33"/>
      <c r="DZ677" s="33" t="s">
        <v>217</v>
      </c>
      <c r="EA677" s="33"/>
      <c r="EB677" s="33"/>
      <c r="EC677" s="33"/>
      <c r="ED677" s="33"/>
      <c r="EE677" s="33"/>
      <c r="EF677" s="33"/>
      <c r="EG677" s="38"/>
    </row>
    <row r="678" spans="2:137" ht="13.2">
      <c r="B678" s="30" t="str">
        <f t="shared" si="22"/>
        <v>2025/11</v>
      </c>
      <c r="C678" s="31" t="str">
        <f t="shared" si="23"/>
        <v/>
      </c>
      <c r="D678" s="32">
        <v>45979</v>
      </c>
      <c r="E678" s="33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3"/>
      <c r="R678" s="33"/>
      <c r="S678" s="33"/>
      <c r="T678" s="33"/>
      <c r="U678" s="35"/>
      <c r="V678" s="36"/>
      <c r="W678" s="37"/>
      <c r="X678" s="34"/>
      <c r="Y678" s="33"/>
      <c r="Z678" s="33"/>
      <c r="AA678" s="33"/>
      <c r="AB678" s="35"/>
      <c r="AC678" s="34"/>
      <c r="AD678" s="34"/>
      <c r="AE678" s="34"/>
      <c r="AF678" s="34"/>
      <c r="AG678" s="34"/>
      <c r="AH678" s="33"/>
      <c r="AI678" s="33"/>
      <c r="AJ678" s="34"/>
      <c r="AK678" s="33"/>
      <c r="AL678" s="33"/>
      <c r="AM678" s="33"/>
      <c r="AN678" s="34"/>
      <c r="AO678" s="34"/>
      <c r="AP678" s="33"/>
      <c r="AQ678" s="34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4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5"/>
      <c r="CC678" s="33"/>
      <c r="CD678" s="33"/>
      <c r="CE678" s="33"/>
      <c r="CF678" s="34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4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4"/>
      <c r="DN678" s="34"/>
      <c r="DO678" s="33" t="s">
        <v>227</v>
      </c>
      <c r="DP678" s="33" t="s">
        <v>299</v>
      </c>
      <c r="DQ678" s="33"/>
      <c r="DR678" s="33" t="s">
        <v>218</v>
      </c>
      <c r="DS678" s="33"/>
      <c r="DT678" s="33"/>
      <c r="DU678" s="33"/>
      <c r="DV678" s="33" t="s">
        <v>276</v>
      </c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8"/>
    </row>
    <row r="679" spans="2:137" ht="13.2">
      <c r="B679" s="30" t="str">
        <f t="shared" si="22"/>
        <v>2025/11</v>
      </c>
      <c r="C679" s="31">
        <f t="shared" si="23"/>
        <v>1235</v>
      </c>
      <c r="D679" s="32">
        <v>45980</v>
      </c>
      <c r="E679" s="33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3"/>
      <c r="R679" s="33"/>
      <c r="S679" s="33"/>
      <c r="T679" s="33"/>
      <c r="U679" s="35"/>
      <c r="V679" s="36"/>
      <c r="W679" s="37"/>
      <c r="X679" s="34"/>
      <c r="Y679" s="33"/>
      <c r="Z679" s="33"/>
      <c r="AA679" s="33"/>
      <c r="AB679" s="35"/>
      <c r="AC679" s="34"/>
      <c r="AD679" s="34"/>
      <c r="AE679" s="34"/>
      <c r="AF679" s="34"/>
      <c r="AG679" s="34"/>
      <c r="AH679" s="33"/>
      <c r="AI679" s="33"/>
      <c r="AJ679" s="34"/>
      <c r="AK679" s="33"/>
      <c r="AL679" s="33"/>
      <c r="AM679" s="33"/>
      <c r="AN679" s="34"/>
      <c r="AO679" s="34"/>
      <c r="AP679" s="33"/>
      <c r="AQ679" s="34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4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5"/>
      <c r="CC679" s="33"/>
      <c r="CD679" s="33"/>
      <c r="CE679" s="33"/>
      <c r="CF679" s="34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4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4"/>
      <c r="DN679" s="34">
        <v>675</v>
      </c>
      <c r="DO679" s="33"/>
      <c r="DP679" s="33"/>
      <c r="DQ679" s="33" t="s">
        <v>215</v>
      </c>
      <c r="DR679" s="33"/>
      <c r="DS679" s="33"/>
      <c r="DT679" s="33" t="s">
        <v>227</v>
      </c>
      <c r="DU679" s="33"/>
      <c r="DV679" s="33"/>
      <c r="DW679" s="33"/>
      <c r="DX679" s="33" t="s">
        <v>281</v>
      </c>
      <c r="DY679" s="33">
        <v>300</v>
      </c>
      <c r="DZ679" s="33"/>
      <c r="EA679" s="33"/>
      <c r="EB679" s="33">
        <v>260</v>
      </c>
      <c r="EC679" s="33"/>
      <c r="ED679" s="33"/>
      <c r="EE679" s="33"/>
      <c r="EF679" s="33"/>
      <c r="EG679" s="38"/>
    </row>
    <row r="680" spans="2:137" ht="13.2">
      <c r="B680" s="30" t="str">
        <f t="shared" si="22"/>
        <v>2025/11</v>
      </c>
      <c r="C680" s="31">
        <f t="shared" si="23"/>
        <v>1630</v>
      </c>
      <c r="D680" s="32">
        <v>45982</v>
      </c>
      <c r="E680" s="33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3"/>
      <c r="R680" s="33"/>
      <c r="S680" s="33"/>
      <c r="T680" s="33"/>
      <c r="U680" s="35"/>
      <c r="V680" s="36"/>
      <c r="W680" s="37"/>
      <c r="X680" s="34"/>
      <c r="Y680" s="33"/>
      <c r="Z680" s="33"/>
      <c r="AA680" s="33"/>
      <c r="AB680" s="35"/>
      <c r="AC680" s="34"/>
      <c r="AD680" s="34"/>
      <c r="AE680" s="34"/>
      <c r="AF680" s="34"/>
      <c r="AG680" s="34"/>
      <c r="AH680" s="33"/>
      <c r="AI680" s="33"/>
      <c r="AJ680" s="34"/>
      <c r="AK680" s="33"/>
      <c r="AL680" s="33"/>
      <c r="AM680" s="33"/>
      <c r="AN680" s="34"/>
      <c r="AO680" s="34"/>
      <c r="AP680" s="33"/>
      <c r="AQ680" s="34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4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5"/>
      <c r="CC680" s="33"/>
      <c r="CD680" s="33"/>
      <c r="CE680" s="33"/>
      <c r="CF680" s="34"/>
      <c r="CG680" s="33"/>
      <c r="CH680" s="33"/>
      <c r="CI680" s="33"/>
      <c r="CJ680" s="33"/>
      <c r="CK680" s="33"/>
      <c r="CL680" s="33"/>
      <c r="CM680" s="33"/>
      <c r="CN680" s="33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4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4">
        <v>250</v>
      </c>
      <c r="DN680" s="34" t="s">
        <v>227</v>
      </c>
      <c r="DO680" s="33"/>
      <c r="DP680" s="33"/>
      <c r="DQ680" s="33" t="s">
        <v>216</v>
      </c>
      <c r="DR680" s="33"/>
      <c r="DS680" s="33">
        <v>260</v>
      </c>
      <c r="DT680" s="33"/>
      <c r="DU680" s="33"/>
      <c r="DV680" s="33">
        <v>1120</v>
      </c>
      <c r="DW680" s="33"/>
      <c r="DX680" s="33"/>
      <c r="DY680" s="33"/>
      <c r="DZ680" s="33" t="s">
        <v>218</v>
      </c>
      <c r="EA680" s="33"/>
      <c r="EB680" s="33"/>
      <c r="EC680" s="33"/>
      <c r="ED680" s="33"/>
      <c r="EE680" s="33"/>
      <c r="EF680" s="33"/>
      <c r="EG680" s="38"/>
    </row>
    <row r="681" spans="2:137" ht="13.2">
      <c r="B681" s="30" t="str">
        <f t="shared" si="22"/>
        <v>2025/11</v>
      </c>
      <c r="C681" s="31">
        <f t="shared" si="23"/>
        <v>260</v>
      </c>
      <c r="D681" s="32">
        <v>45987</v>
      </c>
      <c r="E681" s="33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3"/>
      <c r="R681" s="33"/>
      <c r="S681" s="33"/>
      <c r="T681" s="33"/>
      <c r="U681" s="35"/>
      <c r="V681" s="36"/>
      <c r="W681" s="37"/>
      <c r="X681" s="34"/>
      <c r="Y681" s="33"/>
      <c r="Z681" s="33"/>
      <c r="AA681" s="33"/>
      <c r="AB681" s="35"/>
      <c r="AC681" s="34"/>
      <c r="AD681" s="34"/>
      <c r="AE681" s="34"/>
      <c r="AF681" s="34"/>
      <c r="AG681" s="34"/>
      <c r="AH681" s="33"/>
      <c r="AI681" s="33"/>
      <c r="AJ681" s="34"/>
      <c r="AK681" s="33"/>
      <c r="AL681" s="33"/>
      <c r="AM681" s="33"/>
      <c r="AN681" s="34"/>
      <c r="AO681" s="34"/>
      <c r="AP681" s="33"/>
      <c r="AQ681" s="34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4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5"/>
      <c r="CC681" s="33"/>
      <c r="CD681" s="33"/>
      <c r="CE681" s="33"/>
      <c r="CF681" s="34"/>
      <c r="CG681" s="33"/>
      <c r="CH681" s="33"/>
      <c r="CI681" s="33"/>
      <c r="CJ681" s="33"/>
      <c r="CK681" s="33"/>
      <c r="CL681" s="33"/>
      <c r="CM681" s="33"/>
      <c r="CN681" s="33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4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4"/>
      <c r="DN681" s="34"/>
      <c r="DO681" s="33" t="s">
        <v>227</v>
      </c>
      <c r="DP681" s="33" t="s">
        <v>308</v>
      </c>
      <c r="DQ681" s="33"/>
      <c r="DR681" s="33"/>
      <c r="DS681" s="33"/>
      <c r="DT681" s="33"/>
      <c r="DU681" s="33"/>
      <c r="DV681" s="33" t="s">
        <v>216</v>
      </c>
      <c r="DW681" s="33"/>
      <c r="DX681" s="33" t="s">
        <v>296</v>
      </c>
      <c r="DY681" s="33"/>
      <c r="DZ681" s="33"/>
      <c r="EA681" s="33"/>
      <c r="EB681" s="33">
        <v>260</v>
      </c>
      <c r="EC681" s="33"/>
      <c r="ED681" s="33"/>
      <c r="EE681" s="33"/>
      <c r="EF681" s="33"/>
      <c r="EG681" s="38"/>
    </row>
    <row r="682" spans="2:137" ht="13.2">
      <c r="B682" s="30" t="str">
        <f t="shared" si="22"/>
        <v>2025/11</v>
      </c>
      <c r="C682" s="31">
        <f t="shared" si="23"/>
        <v>2840</v>
      </c>
      <c r="D682" s="32">
        <v>45988</v>
      </c>
      <c r="E682" s="33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3"/>
      <c r="R682" s="33"/>
      <c r="S682" s="33"/>
      <c r="T682" s="33"/>
      <c r="U682" s="35"/>
      <c r="V682" s="36"/>
      <c r="W682" s="37"/>
      <c r="X682" s="34"/>
      <c r="Y682" s="33"/>
      <c r="Z682" s="33"/>
      <c r="AA682" s="33"/>
      <c r="AB682" s="35"/>
      <c r="AC682" s="34"/>
      <c r="AD682" s="34"/>
      <c r="AE682" s="34"/>
      <c r="AF682" s="34"/>
      <c r="AG682" s="34"/>
      <c r="AH682" s="33"/>
      <c r="AI682" s="33"/>
      <c r="AJ682" s="34"/>
      <c r="AK682" s="33"/>
      <c r="AL682" s="33"/>
      <c r="AM682" s="33"/>
      <c r="AN682" s="34"/>
      <c r="AO682" s="34"/>
      <c r="AP682" s="33"/>
      <c r="AQ682" s="34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4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5"/>
      <c r="CC682" s="33"/>
      <c r="CD682" s="33"/>
      <c r="CE682" s="33"/>
      <c r="CF682" s="34"/>
      <c r="CG682" s="33"/>
      <c r="CH682" s="33"/>
      <c r="CI682" s="33"/>
      <c r="CJ682" s="33"/>
      <c r="CK682" s="33"/>
      <c r="CL682" s="33"/>
      <c r="CM682" s="33"/>
      <c r="CN682" s="33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4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4"/>
      <c r="DN682" s="34"/>
      <c r="DO682" s="33"/>
      <c r="DP682" s="33">
        <v>1040</v>
      </c>
      <c r="DQ682" s="33" t="s">
        <v>217</v>
      </c>
      <c r="DR682" s="33" t="s">
        <v>276</v>
      </c>
      <c r="DS682" s="33"/>
      <c r="DT682" s="33"/>
      <c r="DU682" s="33" t="s">
        <v>283</v>
      </c>
      <c r="DV682" s="33"/>
      <c r="DW682" s="33" t="s">
        <v>217</v>
      </c>
      <c r="DX682" s="33"/>
      <c r="DY682" s="33">
        <v>300</v>
      </c>
      <c r="DZ682" s="33">
        <v>1500</v>
      </c>
      <c r="EA682" s="33" t="s">
        <v>218</v>
      </c>
      <c r="EB682" s="33"/>
      <c r="EC682" s="33"/>
      <c r="ED682" s="33"/>
      <c r="EE682" s="33"/>
      <c r="EF682" s="33"/>
      <c r="EG682" s="38"/>
    </row>
    <row r="683" spans="2:137" ht="13.2">
      <c r="B683" s="30" t="str">
        <f t="shared" si="22"/>
        <v>2025/11</v>
      </c>
      <c r="C683" s="31">
        <f t="shared" si="23"/>
        <v>1860</v>
      </c>
      <c r="D683" s="32">
        <v>45989</v>
      </c>
      <c r="E683" s="33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3"/>
      <c r="R683" s="33"/>
      <c r="S683" s="33"/>
      <c r="T683" s="33"/>
      <c r="U683" s="35"/>
      <c r="V683" s="36"/>
      <c r="W683" s="37"/>
      <c r="X683" s="34"/>
      <c r="Y683" s="33"/>
      <c r="Z683" s="33"/>
      <c r="AA683" s="33"/>
      <c r="AB683" s="35"/>
      <c r="AC683" s="34"/>
      <c r="AD683" s="34"/>
      <c r="AE683" s="34"/>
      <c r="AF683" s="34"/>
      <c r="AG683" s="34"/>
      <c r="AH683" s="33"/>
      <c r="AI683" s="33"/>
      <c r="AJ683" s="34"/>
      <c r="AK683" s="33"/>
      <c r="AL683" s="33"/>
      <c r="AM683" s="33"/>
      <c r="AN683" s="34"/>
      <c r="AO683" s="34"/>
      <c r="AP683" s="33"/>
      <c r="AQ683" s="34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4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5"/>
      <c r="CC683" s="33"/>
      <c r="CD683" s="33"/>
      <c r="CE683" s="33"/>
      <c r="CF683" s="34"/>
      <c r="CG683" s="33"/>
      <c r="CH683" s="33"/>
      <c r="CI683" s="33"/>
      <c r="CJ683" s="33"/>
      <c r="CK683" s="33"/>
      <c r="CL683" s="33"/>
      <c r="CM683" s="33"/>
      <c r="CN683" s="33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4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4"/>
      <c r="DN683" s="34" t="s">
        <v>227</v>
      </c>
      <c r="DO683" s="33">
        <v>400</v>
      </c>
      <c r="DP683" s="33" t="s">
        <v>217</v>
      </c>
      <c r="DQ683" s="33"/>
      <c r="DR683" s="33">
        <v>1200</v>
      </c>
      <c r="DS683" s="33">
        <v>260</v>
      </c>
      <c r="DT683" s="33"/>
      <c r="DU683" s="33"/>
      <c r="DV683" s="33"/>
      <c r="DW683" s="33"/>
      <c r="DX683" s="33"/>
      <c r="DY683" s="33"/>
      <c r="DZ683" s="33" t="s">
        <v>215</v>
      </c>
      <c r="EA683" s="33"/>
      <c r="EB683" s="33"/>
      <c r="EC683" s="33"/>
      <c r="ED683" s="33"/>
      <c r="EE683" s="33"/>
      <c r="EF683" s="33"/>
      <c r="EG683" s="38"/>
    </row>
    <row r="684" spans="2:137" ht="13.2">
      <c r="B684" s="30" t="str">
        <f t="shared" si="22"/>
        <v>2025/12</v>
      </c>
      <c r="C684" s="31">
        <f t="shared" si="23"/>
        <v>300</v>
      </c>
      <c r="D684" s="32">
        <v>45993</v>
      </c>
      <c r="E684" s="33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3"/>
      <c r="R684" s="33"/>
      <c r="S684" s="33"/>
      <c r="T684" s="33"/>
      <c r="U684" s="35"/>
      <c r="V684" s="36"/>
      <c r="W684" s="37"/>
      <c r="X684" s="34"/>
      <c r="Y684" s="33"/>
      <c r="Z684" s="33"/>
      <c r="AA684" s="33"/>
      <c r="AB684" s="35"/>
      <c r="AC684" s="34"/>
      <c r="AD684" s="34"/>
      <c r="AE684" s="34"/>
      <c r="AF684" s="34"/>
      <c r="AG684" s="34"/>
      <c r="AH684" s="33"/>
      <c r="AI684" s="33"/>
      <c r="AJ684" s="34"/>
      <c r="AK684" s="33"/>
      <c r="AL684" s="33"/>
      <c r="AM684" s="33"/>
      <c r="AN684" s="34"/>
      <c r="AO684" s="34"/>
      <c r="AP684" s="33"/>
      <c r="AQ684" s="34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4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5"/>
      <c r="CC684" s="33"/>
      <c r="CD684" s="33"/>
      <c r="CE684" s="33"/>
      <c r="CF684" s="34"/>
      <c r="CG684" s="33"/>
      <c r="CH684" s="33"/>
      <c r="CI684" s="33"/>
      <c r="CJ684" s="33"/>
      <c r="CK684" s="33"/>
      <c r="CL684" s="33"/>
      <c r="CM684" s="33"/>
      <c r="CN684" s="33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4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4"/>
      <c r="DN684" s="34"/>
      <c r="DO684" s="33"/>
      <c r="DP684" s="33" t="s">
        <v>283</v>
      </c>
      <c r="DQ684" s="33"/>
      <c r="DR684" s="33"/>
      <c r="DS684" s="33"/>
      <c r="DT684" s="33" t="s">
        <v>227</v>
      </c>
      <c r="DU684" s="33"/>
      <c r="DV684" s="33"/>
      <c r="DW684" s="33"/>
      <c r="DX684" s="33"/>
      <c r="DY684" s="33"/>
      <c r="DZ684" s="33"/>
      <c r="EA684" s="33"/>
      <c r="EB684" s="33"/>
      <c r="EC684" s="33">
        <v>300</v>
      </c>
      <c r="ED684" s="33"/>
      <c r="EE684" s="33"/>
      <c r="EF684" s="33"/>
      <c r="EG684" s="38"/>
    </row>
    <row r="685" spans="2:137" ht="13.2">
      <c r="B685" s="30" t="str">
        <f t="shared" si="22"/>
        <v>2025/12</v>
      </c>
      <c r="C685" s="31">
        <f t="shared" si="23"/>
        <v>960</v>
      </c>
      <c r="D685" s="32">
        <v>45994</v>
      </c>
      <c r="E685" s="33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3"/>
      <c r="R685" s="33"/>
      <c r="S685" s="33"/>
      <c r="T685" s="33"/>
      <c r="U685" s="35"/>
      <c r="V685" s="36"/>
      <c r="W685" s="37"/>
      <c r="X685" s="34"/>
      <c r="Y685" s="33"/>
      <c r="Z685" s="33"/>
      <c r="AA685" s="33"/>
      <c r="AB685" s="35"/>
      <c r="AC685" s="34"/>
      <c r="AD685" s="34"/>
      <c r="AE685" s="34"/>
      <c r="AF685" s="34"/>
      <c r="AG685" s="34"/>
      <c r="AH685" s="33"/>
      <c r="AI685" s="33"/>
      <c r="AJ685" s="34"/>
      <c r="AK685" s="33"/>
      <c r="AL685" s="33"/>
      <c r="AM685" s="33"/>
      <c r="AN685" s="34"/>
      <c r="AO685" s="34"/>
      <c r="AP685" s="33"/>
      <c r="AQ685" s="34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4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  <c r="BW685" s="33"/>
      <c r="BX685" s="33"/>
      <c r="BY685" s="33"/>
      <c r="BZ685" s="33"/>
      <c r="CA685" s="33"/>
      <c r="CB685" s="35"/>
      <c r="CC685" s="33"/>
      <c r="CD685" s="33"/>
      <c r="CE685" s="33"/>
      <c r="CF685" s="34"/>
      <c r="CG685" s="33"/>
      <c r="CH685" s="33"/>
      <c r="CI685" s="33"/>
      <c r="CJ685" s="33"/>
      <c r="CK685" s="33"/>
      <c r="CL685" s="33"/>
      <c r="CM685" s="33"/>
      <c r="CN685" s="33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4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4">
        <v>500</v>
      </c>
      <c r="DN685" s="34"/>
      <c r="DO685" s="33">
        <v>200</v>
      </c>
      <c r="DP685" s="33"/>
      <c r="DQ685" s="33"/>
      <c r="DR685" s="33"/>
      <c r="DS685" s="33"/>
      <c r="DT685" s="33"/>
      <c r="DU685" s="33"/>
      <c r="DV685" s="33" t="s">
        <v>217</v>
      </c>
      <c r="DW685" s="33"/>
      <c r="DX685" s="33" t="s">
        <v>310</v>
      </c>
      <c r="DY685" s="33"/>
      <c r="DZ685" s="33"/>
      <c r="EA685" s="33"/>
      <c r="EB685" s="33">
        <v>260</v>
      </c>
      <c r="EC685" s="33"/>
      <c r="ED685" s="33"/>
      <c r="EE685" s="33"/>
      <c r="EF685" s="33"/>
      <c r="EG685" s="38"/>
    </row>
    <row r="686" spans="2:137" ht="13.2">
      <c r="B686" s="30" t="str">
        <f t="shared" si="22"/>
        <v>2025/12</v>
      </c>
      <c r="C686" s="31">
        <f t="shared" si="23"/>
        <v>300</v>
      </c>
      <c r="D686" s="32">
        <v>45995</v>
      </c>
      <c r="E686" s="33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3"/>
      <c r="R686" s="33"/>
      <c r="S686" s="33"/>
      <c r="T686" s="33"/>
      <c r="U686" s="35"/>
      <c r="V686" s="36"/>
      <c r="W686" s="37"/>
      <c r="X686" s="34"/>
      <c r="Y686" s="33"/>
      <c r="Z686" s="33"/>
      <c r="AA686" s="33"/>
      <c r="AB686" s="35"/>
      <c r="AC686" s="34"/>
      <c r="AD686" s="34"/>
      <c r="AE686" s="34"/>
      <c r="AF686" s="34"/>
      <c r="AG686" s="34"/>
      <c r="AH686" s="33"/>
      <c r="AI686" s="33"/>
      <c r="AJ686" s="34"/>
      <c r="AK686" s="33"/>
      <c r="AL686" s="33"/>
      <c r="AM686" s="33"/>
      <c r="AN686" s="34"/>
      <c r="AO686" s="34"/>
      <c r="AP686" s="33"/>
      <c r="AQ686" s="34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4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  <c r="BW686" s="33"/>
      <c r="BX686" s="33"/>
      <c r="BY686" s="33"/>
      <c r="BZ686" s="33"/>
      <c r="CA686" s="33"/>
      <c r="CB686" s="35"/>
      <c r="CC686" s="33"/>
      <c r="CD686" s="33"/>
      <c r="CE686" s="33"/>
      <c r="CF686" s="34"/>
      <c r="CG686" s="33"/>
      <c r="CH686" s="33"/>
      <c r="CI686" s="33"/>
      <c r="CJ686" s="33"/>
      <c r="CK686" s="33"/>
      <c r="CL686" s="33"/>
      <c r="CM686" s="33"/>
      <c r="CN686" s="33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4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4"/>
      <c r="DN686" s="34"/>
      <c r="DO686" s="33"/>
      <c r="DP686" s="33" t="s">
        <v>215</v>
      </c>
      <c r="DQ686" s="33" t="s">
        <v>218</v>
      </c>
      <c r="DR686" s="33" t="s">
        <v>216</v>
      </c>
      <c r="DS686" s="33"/>
      <c r="DT686" s="47" t="s">
        <v>311</v>
      </c>
      <c r="DU686" s="33"/>
      <c r="DV686" s="33"/>
      <c r="DW686" s="33" t="s">
        <v>218</v>
      </c>
      <c r="DX686" s="33"/>
      <c r="DY686" s="33">
        <v>300</v>
      </c>
      <c r="DZ686" s="33" t="s">
        <v>216</v>
      </c>
      <c r="EA686" s="33" t="s">
        <v>215</v>
      </c>
      <c r="EB686" s="33"/>
      <c r="EC686" s="33"/>
      <c r="ED686" s="33"/>
      <c r="EE686" s="33"/>
      <c r="EF686" s="33"/>
      <c r="EG686" s="38"/>
    </row>
    <row r="687" spans="2:137" ht="13.2">
      <c r="B687" s="30" t="str">
        <f t="shared" si="22"/>
        <v>2025/12</v>
      </c>
      <c r="C687" s="31">
        <f t="shared" si="23"/>
        <v>1960</v>
      </c>
      <c r="D687" s="32">
        <v>45996</v>
      </c>
      <c r="E687" s="33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3"/>
      <c r="R687" s="33"/>
      <c r="S687" s="33"/>
      <c r="T687" s="33"/>
      <c r="U687" s="35"/>
      <c r="V687" s="36"/>
      <c r="W687" s="37"/>
      <c r="X687" s="34"/>
      <c r="Y687" s="33"/>
      <c r="Z687" s="33"/>
      <c r="AA687" s="33"/>
      <c r="AB687" s="35"/>
      <c r="AC687" s="34"/>
      <c r="AD687" s="34"/>
      <c r="AE687" s="34"/>
      <c r="AF687" s="34"/>
      <c r="AG687" s="34"/>
      <c r="AH687" s="33"/>
      <c r="AI687" s="33"/>
      <c r="AJ687" s="34"/>
      <c r="AK687" s="33"/>
      <c r="AL687" s="33"/>
      <c r="AM687" s="33"/>
      <c r="AN687" s="34"/>
      <c r="AO687" s="34"/>
      <c r="AP687" s="33"/>
      <c r="AQ687" s="34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4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5"/>
      <c r="CC687" s="33"/>
      <c r="CD687" s="33"/>
      <c r="CE687" s="33"/>
      <c r="CF687" s="34"/>
      <c r="CG687" s="33"/>
      <c r="CH687" s="33"/>
      <c r="CI687" s="33"/>
      <c r="CJ687" s="33"/>
      <c r="CK687" s="33"/>
      <c r="CL687" s="33"/>
      <c r="CM687" s="33"/>
      <c r="CN687" s="33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4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4" t="s">
        <v>227</v>
      </c>
      <c r="DN687" s="34" t="s">
        <v>227</v>
      </c>
      <c r="DO687" s="33"/>
      <c r="DP687" s="33"/>
      <c r="DQ687" s="33"/>
      <c r="DR687" s="33"/>
      <c r="DS687" s="33">
        <v>260</v>
      </c>
      <c r="DT687" s="33">
        <v>500</v>
      </c>
      <c r="DU687" s="33" t="s">
        <v>276</v>
      </c>
      <c r="DV687" s="33"/>
      <c r="DW687" s="33"/>
      <c r="DX687" s="33"/>
      <c r="DY687" s="33"/>
      <c r="DZ687" s="33"/>
      <c r="EA687" s="33">
        <v>1200</v>
      </c>
      <c r="EB687" s="33"/>
      <c r="EC687" s="33"/>
      <c r="ED687" s="33"/>
      <c r="EE687" s="33"/>
      <c r="EF687" s="33"/>
      <c r="EG687" s="38"/>
    </row>
    <row r="688" spans="2:137" ht="13.2">
      <c r="B688" s="30" t="str">
        <f t="shared" si="22"/>
        <v>2025/12</v>
      </c>
      <c r="C688" s="31">
        <f t="shared" si="23"/>
        <v>3070</v>
      </c>
      <c r="D688" s="32">
        <v>46001</v>
      </c>
      <c r="E688" s="33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3"/>
      <c r="R688" s="33"/>
      <c r="S688" s="33"/>
      <c r="T688" s="33"/>
      <c r="U688" s="35"/>
      <c r="V688" s="36"/>
      <c r="W688" s="37"/>
      <c r="X688" s="34"/>
      <c r="Y688" s="33"/>
      <c r="Z688" s="33"/>
      <c r="AA688" s="33"/>
      <c r="AB688" s="35"/>
      <c r="AC688" s="34"/>
      <c r="AD688" s="34"/>
      <c r="AE688" s="34"/>
      <c r="AF688" s="34"/>
      <c r="AG688" s="34"/>
      <c r="AH688" s="33"/>
      <c r="AI688" s="33"/>
      <c r="AJ688" s="34"/>
      <c r="AK688" s="33"/>
      <c r="AL688" s="33"/>
      <c r="AM688" s="33"/>
      <c r="AN688" s="34"/>
      <c r="AO688" s="34"/>
      <c r="AP688" s="33"/>
      <c r="AQ688" s="34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4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5"/>
      <c r="CC688" s="33"/>
      <c r="CD688" s="33"/>
      <c r="CE688" s="33"/>
      <c r="CF688" s="34"/>
      <c r="CG688" s="33"/>
      <c r="CH688" s="33"/>
      <c r="CI688" s="33"/>
      <c r="CJ688" s="33"/>
      <c r="CK688" s="33"/>
      <c r="CL688" s="33"/>
      <c r="CM688" s="33"/>
      <c r="CN688" s="33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4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4"/>
      <c r="DN688" s="34"/>
      <c r="DO688" s="33">
        <v>200</v>
      </c>
      <c r="DP688" s="33"/>
      <c r="DQ688" s="33"/>
      <c r="DR688" s="33"/>
      <c r="DS688" s="33"/>
      <c r="DT688" s="33" t="s">
        <v>213</v>
      </c>
      <c r="DU688" s="33">
        <v>1120</v>
      </c>
      <c r="DV688" s="33"/>
      <c r="DW688" s="33" t="s">
        <v>276</v>
      </c>
      <c r="DX688" s="33" t="s">
        <v>270</v>
      </c>
      <c r="DY688" s="33"/>
      <c r="DZ688" s="33"/>
      <c r="EA688" s="33"/>
      <c r="EB688" s="33"/>
      <c r="EC688" s="33"/>
      <c r="ED688" s="33"/>
      <c r="EE688" s="33">
        <v>1750</v>
      </c>
      <c r="EF688" s="33"/>
      <c r="EG688" s="38"/>
    </row>
    <row r="689" spans="2:137" ht="13.2">
      <c r="B689" s="30" t="str">
        <f t="shared" si="22"/>
        <v>2025/12</v>
      </c>
      <c r="C689" s="31">
        <f t="shared" si="23"/>
        <v>860</v>
      </c>
      <c r="D689" s="32">
        <v>46002</v>
      </c>
      <c r="E689" s="33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3"/>
      <c r="R689" s="33"/>
      <c r="S689" s="33"/>
      <c r="T689" s="33"/>
      <c r="U689" s="35"/>
      <c r="V689" s="36"/>
      <c r="W689" s="37"/>
      <c r="X689" s="34"/>
      <c r="Y689" s="33"/>
      <c r="Z689" s="33"/>
      <c r="AA689" s="33"/>
      <c r="AB689" s="35"/>
      <c r="AC689" s="34"/>
      <c r="AD689" s="34"/>
      <c r="AE689" s="34"/>
      <c r="AF689" s="34"/>
      <c r="AG689" s="34"/>
      <c r="AH689" s="33"/>
      <c r="AI689" s="33"/>
      <c r="AJ689" s="34"/>
      <c r="AK689" s="33"/>
      <c r="AL689" s="33"/>
      <c r="AM689" s="33"/>
      <c r="AN689" s="34"/>
      <c r="AO689" s="34"/>
      <c r="AP689" s="33"/>
      <c r="AQ689" s="34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4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5"/>
      <c r="CC689" s="33"/>
      <c r="CD689" s="33"/>
      <c r="CE689" s="33"/>
      <c r="CF689" s="34"/>
      <c r="CG689" s="33"/>
      <c r="CH689" s="33"/>
      <c r="CI689" s="33"/>
      <c r="CJ689" s="33"/>
      <c r="CK689" s="33"/>
      <c r="CL689" s="33"/>
      <c r="CM689" s="33"/>
      <c r="CN689" s="33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4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4"/>
      <c r="DN689" s="34"/>
      <c r="DO689" s="33"/>
      <c r="DP689" s="33"/>
      <c r="DQ689" s="33"/>
      <c r="DR689" s="33" t="s">
        <v>217</v>
      </c>
      <c r="DS689" s="33"/>
      <c r="DT689" s="33"/>
      <c r="DU689" s="33"/>
      <c r="DV689" s="33"/>
      <c r="DW689" s="33"/>
      <c r="DX689" s="33"/>
      <c r="DY689" s="33">
        <v>300</v>
      </c>
      <c r="DZ689" s="33"/>
      <c r="EA689" s="33" t="s">
        <v>216</v>
      </c>
      <c r="EB689" s="33">
        <v>260</v>
      </c>
      <c r="EC689" s="33">
        <v>300</v>
      </c>
      <c r="ED689" s="33"/>
      <c r="EE689" s="33"/>
      <c r="EF689" s="33"/>
      <c r="EG689" s="38"/>
    </row>
    <row r="690" spans="2:137" ht="13.2">
      <c r="B690" s="30" t="str">
        <f t="shared" si="22"/>
        <v>2025/12</v>
      </c>
      <c r="C690" s="31">
        <f t="shared" si="23"/>
        <v>510</v>
      </c>
      <c r="D690" s="32">
        <v>46003</v>
      </c>
      <c r="E690" s="33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3"/>
      <c r="R690" s="33"/>
      <c r="S690" s="33"/>
      <c r="T690" s="33"/>
      <c r="U690" s="35"/>
      <c r="V690" s="36"/>
      <c r="W690" s="37"/>
      <c r="X690" s="34"/>
      <c r="Y690" s="33"/>
      <c r="Z690" s="33"/>
      <c r="AA690" s="33"/>
      <c r="AB690" s="35"/>
      <c r="AC690" s="34"/>
      <c r="AD690" s="34"/>
      <c r="AE690" s="34"/>
      <c r="AF690" s="34"/>
      <c r="AG690" s="34"/>
      <c r="AH690" s="33"/>
      <c r="AI690" s="33"/>
      <c r="AJ690" s="34"/>
      <c r="AK690" s="33"/>
      <c r="AL690" s="33"/>
      <c r="AM690" s="33"/>
      <c r="AN690" s="34"/>
      <c r="AO690" s="34"/>
      <c r="AP690" s="33"/>
      <c r="AQ690" s="34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4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5"/>
      <c r="CC690" s="33"/>
      <c r="CD690" s="33"/>
      <c r="CE690" s="33"/>
      <c r="CF690" s="34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4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4">
        <v>250</v>
      </c>
      <c r="DN690" s="34"/>
      <c r="DO690" s="33"/>
      <c r="DP690" s="33" t="s">
        <v>216</v>
      </c>
      <c r="DQ690" s="33"/>
      <c r="DR690" s="33"/>
      <c r="DS690" s="33">
        <v>260</v>
      </c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8"/>
    </row>
    <row r="691" spans="2:137" ht="13.2">
      <c r="B691" s="30" t="str">
        <f t="shared" si="22"/>
        <v>2025/12</v>
      </c>
      <c r="C691" s="31">
        <f t="shared" si="23"/>
        <v>1420</v>
      </c>
      <c r="D691" s="32">
        <v>46006</v>
      </c>
      <c r="E691" s="33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3"/>
      <c r="R691" s="33"/>
      <c r="S691" s="33"/>
      <c r="T691" s="33"/>
      <c r="U691" s="35"/>
      <c r="V691" s="36"/>
      <c r="W691" s="37"/>
      <c r="X691" s="34"/>
      <c r="Y691" s="33"/>
      <c r="Z691" s="33"/>
      <c r="AA691" s="33"/>
      <c r="AB691" s="35"/>
      <c r="AC691" s="34"/>
      <c r="AD691" s="34"/>
      <c r="AE691" s="34"/>
      <c r="AF691" s="34"/>
      <c r="AG691" s="34"/>
      <c r="AH691" s="33"/>
      <c r="AI691" s="33"/>
      <c r="AJ691" s="34"/>
      <c r="AK691" s="33"/>
      <c r="AL691" s="33"/>
      <c r="AM691" s="33"/>
      <c r="AN691" s="34"/>
      <c r="AO691" s="34"/>
      <c r="AP691" s="33"/>
      <c r="AQ691" s="34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4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5"/>
      <c r="CC691" s="33"/>
      <c r="CD691" s="33"/>
      <c r="CE691" s="33"/>
      <c r="CF691" s="34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4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4"/>
      <c r="DN691" s="34"/>
      <c r="DO691" s="33"/>
      <c r="DP691" s="33"/>
      <c r="DQ691" s="33">
        <v>1120</v>
      </c>
      <c r="DR691" s="33"/>
      <c r="DS691" s="33"/>
      <c r="DT691" s="33"/>
      <c r="DU691" s="33"/>
      <c r="DV691" s="33"/>
      <c r="DW691" s="33"/>
      <c r="DX691" s="33"/>
      <c r="DY691" s="33">
        <v>300</v>
      </c>
      <c r="DZ691" s="33"/>
      <c r="EA691" s="33"/>
      <c r="EB691" s="33"/>
      <c r="EC691" s="33"/>
      <c r="ED691" s="33"/>
      <c r="EE691" s="33"/>
      <c r="EF691" s="33"/>
      <c r="EG691" s="38"/>
    </row>
    <row r="692" spans="2:137" ht="13.2">
      <c r="B692" s="30" t="str">
        <f t="shared" si="22"/>
        <v>2025/12</v>
      </c>
      <c r="C692" s="31">
        <f t="shared" si="23"/>
        <v>260</v>
      </c>
      <c r="D692" s="32">
        <v>46008</v>
      </c>
      <c r="E692" s="33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3"/>
      <c r="R692" s="33"/>
      <c r="S692" s="33"/>
      <c r="T692" s="33"/>
      <c r="U692" s="35"/>
      <c r="V692" s="36"/>
      <c r="W692" s="37"/>
      <c r="X692" s="34"/>
      <c r="Y692" s="33"/>
      <c r="Z692" s="33"/>
      <c r="AA692" s="33"/>
      <c r="AB692" s="35"/>
      <c r="AC692" s="34"/>
      <c r="AD692" s="34"/>
      <c r="AE692" s="34"/>
      <c r="AF692" s="34"/>
      <c r="AG692" s="34"/>
      <c r="AH692" s="33"/>
      <c r="AI692" s="33"/>
      <c r="AJ692" s="34"/>
      <c r="AK692" s="33"/>
      <c r="AL692" s="33"/>
      <c r="AM692" s="33"/>
      <c r="AN692" s="34"/>
      <c r="AO692" s="34"/>
      <c r="AP692" s="33"/>
      <c r="AQ692" s="34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4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5"/>
      <c r="CC692" s="33"/>
      <c r="CD692" s="33"/>
      <c r="CE692" s="33"/>
      <c r="CF692" s="34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4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4"/>
      <c r="DN692" s="34" t="s">
        <v>312</v>
      </c>
      <c r="DO692" s="33"/>
      <c r="DP692" s="33"/>
      <c r="DQ692" s="33" t="s">
        <v>215</v>
      </c>
      <c r="DR692" s="33"/>
      <c r="DS692" s="33"/>
      <c r="DT692" s="33"/>
      <c r="DU692" s="33" t="s">
        <v>216</v>
      </c>
      <c r="DV692" s="33" t="s">
        <v>218</v>
      </c>
      <c r="DW692" s="33"/>
      <c r="DX692" s="33"/>
      <c r="DY692" s="33"/>
      <c r="DZ692" s="33" t="s">
        <v>217</v>
      </c>
      <c r="EA692" s="33"/>
      <c r="EB692" s="33">
        <v>260</v>
      </c>
      <c r="EC692" s="33"/>
      <c r="ED692" s="33"/>
      <c r="EE692" s="33"/>
      <c r="EF692" s="33"/>
      <c r="EG692" s="38"/>
    </row>
    <row r="693" spans="2:137" ht="13.2">
      <c r="B693" s="30" t="str">
        <f t="shared" si="22"/>
        <v>2025/12</v>
      </c>
      <c r="C693" s="31">
        <f t="shared" si="23"/>
        <v>1340</v>
      </c>
      <c r="D693" s="32">
        <v>46009</v>
      </c>
      <c r="E693" s="33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3"/>
      <c r="R693" s="33"/>
      <c r="S693" s="33"/>
      <c r="T693" s="33"/>
      <c r="U693" s="35"/>
      <c r="V693" s="36"/>
      <c r="W693" s="37"/>
      <c r="X693" s="34"/>
      <c r="Y693" s="33"/>
      <c r="Z693" s="33"/>
      <c r="AA693" s="33"/>
      <c r="AB693" s="35"/>
      <c r="AC693" s="34"/>
      <c r="AD693" s="34"/>
      <c r="AE693" s="34"/>
      <c r="AF693" s="34"/>
      <c r="AG693" s="34"/>
      <c r="AH693" s="33"/>
      <c r="AI693" s="33"/>
      <c r="AJ693" s="34"/>
      <c r="AK693" s="33"/>
      <c r="AL693" s="33"/>
      <c r="AM693" s="33"/>
      <c r="AN693" s="34"/>
      <c r="AO693" s="34"/>
      <c r="AP693" s="33"/>
      <c r="AQ693" s="34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4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5"/>
      <c r="CC693" s="33"/>
      <c r="CD693" s="33"/>
      <c r="CE693" s="33"/>
      <c r="CF693" s="34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4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4"/>
      <c r="DN693" s="34"/>
      <c r="DO693" s="33"/>
      <c r="DP693" s="33">
        <v>1040</v>
      </c>
      <c r="DQ693" s="33" t="s">
        <v>216</v>
      </c>
      <c r="DR693" s="33" t="s">
        <v>218</v>
      </c>
      <c r="DS693" s="33"/>
      <c r="DT693" s="33"/>
      <c r="DU693" s="33"/>
      <c r="DV693" s="33"/>
      <c r="DW693" s="33" t="s">
        <v>269</v>
      </c>
      <c r="DX693" s="33" t="s">
        <v>273</v>
      </c>
      <c r="DY693" s="33"/>
      <c r="DZ693" s="33"/>
      <c r="EA693" s="33" t="s">
        <v>217</v>
      </c>
      <c r="EB693" s="33"/>
      <c r="EC693" s="33">
        <v>300</v>
      </c>
      <c r="ED693" s="33"/>
      <c r="EE693" s="33"/>
      <c r="EF693" s="33"/>
      <c r="EG693" s="38"/>
    </row>
    <row r="694" spans="2:137" ht="13.2">
      <c r="B694" s="30" t="str">
        <f t="shared" si="22"/>
        <v>2025/12</v>
      </c>
      <c r="C694" s="31">
        <f t="shared" si="23"/>
        <v>1360</v>
      </c>
      <c r="D694" s="32">
        <v>46010</v>
      </c>
      <c r="E694" s="33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3"/>
      <c r="R694" s="33"/>
      <c r="S694" s="33"/>
      <c r="T694" s="33"/>
      <c r="U694" s="35"/>
      <c r="V694" s="36"/>
      <c r="W694" s="37"/>
      <c r="X694" s="34"/>
      <c r="Y694" s="33"/>
      <c r="Z694" s="33"/>
      <c r="AA694" s="33"/>
      <c r="AB694" s="35"/>
      <c r="AC694" s="34"/>
      <c r="AD694" s="34"/>
      <c r="AE694" s="34"/>
      <c r="AF694" s="34"/>
      <c r="AG694" s="34"/>
      <c r="AH694" s="33"/>
      <c r="AI694" s="33"/>
      <c r="AJ694" s="34"/>
      <c r="AK694" s="33"/>
      <c r="AL694" s="33"/>
      <c r="AM694" s="33"/>
      <c r="AN694" s="34"/>
      <c r="AO694" s="34"/>
      <c r="AP694" s="33"/>
      <c r="AQ694" s="34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4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5"/>
      <c r="CC694" s="33"/>
      <c r="CD694" s="33"/>
      <c r="CE694" s="33"/>
      <c r="CF694" s="34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4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4"/>
      <c r="DN694" s="34"/>
      <c r="DO694" s="33">
        <v>200</v>
      </c>
      <c r="DP694" s="33" t="s">
        <v>298</v>
      </c>
      <c r="DQ694" s="33"/>
      <c r="DR694" s="33"/>
      <c r="DS694" s="33">
        <v>260</v>
      </c>
      <c r="DT694" s="33" t="s">
        <v>313</v>
      </c>
      <c r="DU694" s="33"/>
      <c r="DV694" s="33"/>
      <c r="DW694" s="33">
        <v>900</v>
      </c>
      <c r="DX694" s="33"/>
      <c r="DY694" s="33"/>
      <c r="DZ694" s="33" t="s">
        <v>218</v>
      </c>
      <c r="EA694" s="33"/>
      <c r="EB694" s="33"/>
      <c r="EC694" s="33"/>
      <c r="ED694" s="33"/>
      <c r="EE694" s="33"/>
      <c r="EF694" s="33"/>
      <c r="EG694" s="38"/>
    </row>
    <row r="695" spans="2:137" ht="13.2">
      <c r="B695" s="30" t="str">
        <f t="shared" si="22"/>
        <v>2026/1</v>
      </c>
      <c r="C695" s="31">
        <f t="shared" si="23"/>
        <v>1660</v>
      </c>
      <c r="D695" s="32">
        <v>46029</v>
      </c>
      <c r="E695" s="33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3"/>
      <c r="R695" s="33"/>
      <c r="S695" s="33"/>
      <c r="T695" s="33"/>
      <c r="U695" s="35"/>
      <c r="V695" s="36"/>
      <c r="W695" s="37"/>
      <c r="X695" s="34"/>
      <c r="Y695" s="33"/>
      <c r="Z695" s="33"/>
      <c r="AA695" s="33"/>
      <c r="AB695" s="35"/>
      <c r="AC695" s="34"/>
      <c r="AD695" s="34"/>
      <c r="AE695" s="34"/>
      <c r="AF695" s="34"/>
      <c r="AG695" s="34"/>
      <c r="AH695" s="33"/>
      <c r="AI695" s="33"/>
      <c r="AJ695" s="34"/>
      <c r="AK695" s="33"/>
      <c r="AL695" s="33"/>
      <c r="AM695" s="33"/>
      <c r="AN695" s="34"/>
      <c r="AO695" s="34"/>
      <c r="AP695" s="33"/>
      <c r="AQ695" s="34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4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5"/>
      <c r="CC695" s="33"/>
      <c r="CD695" s="33"/>
      <c r="CE695" s="33"/>
      <c r="CF695" s="34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4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4"/>
      <c r="DN695" s="34" t="s">
        <v>314</v>
      </c>
      <c r="DO695" s="33">
        <v>200</v>
      </c>
      <c r="DP695" s="33"/>
      <c r="DQ695" s="33"/>
      <c r="DR695" s="33">
        <v>1200</v>
      </c>
      <c r="DS695" s="33"/>
      <c r="DT695" s="33"/>
      <c r="DU695" s="33"/>
      <c r="DV695" s="33"/>
      <c r="DW695" s="33"/>
      <c r="DX695" s="33"/>
      <c r="DY695" s="33"/>
      <c r="DZ695" s="33"/>
      <c r="EA695" s="33"/>
      <c r="EB695" s="33">
        <v>260</v>
      </c>
      <c r="EC695" s="33"/>
      <c r="ED695" s="33"/>
      <c r="EE695" s="33"/>
      <c r="EF695" s="33"/>
      <c r="EG695" s="38"/>
    </row>
    <row r="696" spans="2:137" ht="13.2">
      <c r="B696" s="30" t="str">
        <f t="shared" si="22"/>
        <v>2026/1</v>
      </c>
      <c r="C696" s="31">
        <f t="shared" si="23"/>
        <v>2350</v>
      </c>
      <c r="D696" s="32">
        <v>46030</v>
      </c>
      <c r="E696" s="33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3"/>
      <c r="R696" s="33"/>
      <c r="S696" s="33"/>
      <c r="T696" s="33"/>
      <c r="U696" s="35"/>
      <c r="V696" s="36"/>
      <c r="W696" s="37"/>
      <c r="X696" s="34"/>
      <c r="Y696" s="33"/>
      <c r="Z696" s="33"/>
      <c r="AA696" s="33"/>
      <c r="AB696" s="35"/>
      <c r="AC696" s="34"/>
      <c r="AD696" s="34"/>
      <c r="AE696" s="34"/>
      <c r="AF696" s="34"/>
      <c r="AG696" s="34"/>
      <c r="AH696" s="33"/>
      <c r="AI696" s="33"/>
      <c r="AJ696" s="34"/>
      <c r="AK696" s="33"/>
      <c r="AL696" s="33"/>
      <c r="AM696" s="33"/>
      <c r="AN696" s="34"/>
      <c r="AO696" s="34"/>
      <c r="AP696" s="33"/>
      <c r="AQ696" s="34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4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5"/>
      <c r="CC696" s="33"/>
      <c r="CD696" s="33"/>
      <c r="CE696" s="33"/>
      <c r="CF696" s="34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4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4"/>
      <c r="DN696" s="34"/>
      <c r="DO696" s="33"/>
      <c r="DP696" s="33"/>
      <c r="DQ696" s="33" t="s">
        <v>217</v>
      </c>
      <c r="DR696" s="33" t="s">
        <v>215</v>
      </c>
      <c r="DS696" s="33"/>
      <c r="DT696" s="33"/>
      <c r="DU696" s="33" t="s">
        <v>217</v>
      </c>
      <c r="DV696" s="33"/>
      <c r="DW696" s="33" t="s">
        <v>271</v>
      </c>
      <c r="DX696" s="33"/>
      <c r="DY696" s="33">
        <v>300</v>
      </c>
      <c r="DZ696" s="33"/>
      <c r="EA696" s="33"/>
      <c r="EB696" s="33"/>
      <c r="EC696" s="33">
        <v>300</v>
      </c>
      <c r="ED696" s="33"/>
      <c r="EE696" s="33">
        <v>1750</v>
      </c>
      <c r="EF696" s="33"/>
      <c r="EG696" s="38"/>
    </row>
    <row r="697" spans="2:137" ht="13.2">
      <c r="B697" s="30" t="str">
        <f t="shared" si="22"/>
        <v>2026/1</v>
      </c>
      <c r="C697" s="31">
        <f t="shared" si="23"/>
        <v>260</v>
      </c>
      <c r="D697" s="32">
        <v>46031</v>
      </c>
      <c r="E697" s="33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3"/>
      <c r="R697" s="33"/>
      <c r="S697" s="33"/>
      <c r="T697" s="33"/>
      <c r="U697" s="35"/>
      <c r="V697" s="36"/>
      <c r="W697" s="37"/>
      <c r="X697" s="34"/>
      <c r="Y697" s="33"/>
      <c r="Z697" s="33"/>
      <c r="AA697" s="33"/>
      <c r="AB697" s="35"/>
      <c r="AC697" s="34"/>
      <c r="AD697" s="34"/>
      <c r="AE697" s="34"/>
      <c r="AF697" s="34"/>
      <c r="AG697" s="34"/>
      <c r="AH697" s="33"/>
      <c r="AI697" s="33"/>
      <c r="AJ697" s="34"/>
      <c r="AK697" s="33"/>
      <c r="AL697" s="33"/>
      <c r="AM697" s="33"/>
      <c r="AN697" s="34"/>
      <c r="AO697" s="34"/>
      <c r="AP697" s="33"/>
      <c r="AQ697" s="34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4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5"/>
      <c r="CC697" s="33"/>
      <c r="CD697" s="33"/>
      <c r="CE697" s="33"/>
      <c r="CF697" s="34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4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4"/>
      <c r="DN697" s="34"/>
      <c r="DO697" s="33"/>
      <c r="DP697" s="33"/>
      <c r="DQ697" s="33"/>
      <c r="DR697" s="33"/>
      <c r="DS697" s="33">
        <v>260</v>
      </c>
      <c r="DT697" s="33"/>
      <c r="DU697" s="33"/>
      <c r="DV697" s="33"/>
      <c r="DW697" s="33"/>
      <c r="DX697" s="33"/>
      <c r="DY697" s="33"/>
      <c r="DZ697" s="33" t="s">
        <v>279</v>
      </c>
      <c r="EA697" s="33"/>
      <c r="EB697" s="33"/>
      <c r="EC697" s="33"/>
      <c r="ED697" s="33"/>
      <c r="EE697" s="33"/>
      <c r="EF697" s="33"/>
      <c r="EG697" s="38"/>
    </row>
    <row r="698" spans="2:137" ht="13.2">
      <c r="B698" s="30" t="str">
        <f t="shared" si="22"/>
        <v>2026/1</v>
      </c>
      <c r="C698" s="31">
        <f t="shared" si="23"/>
        <v>1135</v>
      </c>
      <c r="D698" s="32">
        <v>46036</v>
      </c>
      <c r="E698" s="33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3"/>
      <c r="R698" s="33"/>
      <c r="S698" s="33"/>
      <c r="T698" s="33"/>
      <c r="U698" s="35"/>
      <c r="V698" s="36"/>
      <c r="W698" s="37"/>
      <c r="X698" s="34"/>
      <c r="Y698" s="33"/>
      <c r="Z698" s="33"/>
      <c r="AA698" s="33"/>
      <c r="AB698" s="35"/>
      <c r="AC698" s="34"/>
      <c r="AD698" s="34"/>
      <c r="AE698" s="34"/>
      <c r="AF698" s="34"/>
      <c r="AG698" s="34"/>
      <c r="AH698" s="33"/>
      <c r="AI698" s="33"/>
      <c r="AJ698" s="34"/>
      <c r="AK698" s="33"/>
      <c r="AL698" s="33"/>
      <c r="AM698" s="33"/>
      <c r="AN698" s="34"/>
      <c r="AO698" s="34"/>
      <c r="AP698" s="33"/>
      <c r="AQ698" s="34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4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5"/>
      <c r="CC698" s="33"/>
      <c r="CD698" s="33"/>
      <c r="CE698" s="33"/>
      <c r="CF698" s="34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4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4"/>
      <c r="DN698" s="34">
        <v>675</v>
      </c>
      <c r="DO698" s="33">
        <v>200</v>
      </c>
      <c r="DP698" s="33"/>
      <c r="DQ698" s="33"/>
      <c r="DR698" s="33" t="s">
        <v>216</v>
      </c>
      <c r="DS698" s="33"/>
      <c r="DT698" s="33"/>
      <c r="DU698" s="33"/>
      <c r="DV698" s="33" t="s">
        <v>315</v>
      </c>
      <c r="DW698" s="33"/>
      <c r="DX698" s="33"/>
      <c r="DY698" s="33"/>
      <c r="DZ698" s="33"/>
      <c r="EA698" s="33"/>
      <c r="EB698" s="33">
        <v>260</v>
      </c>
      <c r="EC698" s="33"/>
      <c r="ED698" s="33"/>
      <c r="EE698" s="33"/>
      <c r="EF698" s="33"/>
      <c r="EG698" s="38"/>
    </row>
    <row r="699" spans="2:137" ht="13.2">
      <c r="B699" s="30" t="str">
        <f t="shared" si="22"/>
        <v>2026/1</v>
      </c>
      <c r="C699" s="31">
        <f t="shared" si="23"/>
        <v>1800</v>
      </c>
      <c r="D699" s="32">
        <v>46037</v>
      </c>
      <c r="E699" s="33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3"/>
      <c r="R699" s="33"/>
      <c r="S699" s="33"/>
      <c r="T699" s="33"/>
      <c r="U699" s="35"/>
      <c r="V699" s="36"/>
      <c r="W699" s="37"/>
      <c r="X699" s="34"/>
      <c r="Y699" s="33"/>
      <c r="Z699" s="33"/>
      <c r="AA699" s="33"/>
      <c r="AB699" s="35"/>
      <c r="AC699" s="34"/>
      <c r="AD699" s="34"/>
      <c r="AE699" s="34"/>
      <c r="AF699" s="34"/>
      <c r="AG699" s="34"/>
      <c r="AH699" s="33"/>
      <c r="AI699" s="33"/>
      <c r="AJ699" s="34"/>
      <c r="AK699" s="33"/>
      <c r="AL699" s="33"/>
      <c r="AM699" s="33"/>
      <c r="AN699" s="34"/>
      <c r="AO699" s="34"/>
      <c r="AP699" s="33"/>
      <c r="AQ699" s="34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4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5"/>
      <c r="CC699" s="33"/>
      <c r="CD699" s="33"/>
      <c r="CE699" s="33"/>
      <c r="CF699" s="34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4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4"/>
      <c r="DN699" s="34"/>
      <c r="DO699" s="33"/>
      <c r="DP699" s="33" t="s">
        <v>218</v>
      </c>
      <c r="DQ699" s="33" t="s">
        <v>218</v>
      </c>
      <c r="DR699" s="33"/>
      <c r="DS699" s="33"/>
      <c r="DT699" s="33"/>
      <c r="DU699" s="33" t="s">
        <v>218</v>
      </c>
      <c r="DV699" s="33"/>
      <c r="DW699" s="33"/>
      <c r="DX699" s="33"/>
      <c r="DY699" s="33">
        <v>300</v>
      </c>
      <c r="DZ699" s="33">
        <v>1200</v>
      </c>
      <c r="EA699" s="33" t="s">
        <v>218</v>
      </c>
      <c r="EB699" s="33"/>
      <c r="EC699" s="33">
        <v>300</v>
      </c>
      <c r="ED699" s="33"/>
      <c r="EE699" s="33"/>
      <c r="EF699" s="33"/>
      <c r="EG699" s="38"/>
    </row>
    <row r="700" spans="2:137" ht="13.2">
      <c r="B700" s="30" t="str">
        <f t="shared" si="22"/>
        <v>2026/1</v>
      </c>
      <c r="C700" s="31">
        <f t="shared" si="23"/>
        <v>260</v>
      </c>
      <c r="D700" s="32">
        <v>46038</v>
      </c>
      <c r="E700" s="33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3"/>
      <c r="R700" s="33"/>
      <c r="S700" s="33"/>
      <c r="T700" s="33"/>
      <c r="U700" s="35"/>
      <c r="V700" s="36"/>
      <c r="W700" s="37"/>
      <c r="X700" s="34"/>
      <c r="Y700" s="33"/>
      <c r="Z700" s="33"/>
      <c r="AA700" s="33"/>
      <c r="AB700" s="35"/>
      <c r="AC700" s="34"/>
      <c r="AD700" s="34"/>
      <c r="AE700" s="34"/>
      <c r="AF700" s="34"/>
      <c r="AG700" s="34"/>
      <c r="AH700" s="33"/>
      <c r="AI700" s="33"/>
      <c r="AJ700" s="34"/>
      <c r="AK700" s="33"/>
      <c r="AL700" s="33"/>
      <c r="AM700" s="33"/>
      <c r="AN700" s="34"/>
      <c r="AO700" s="34"/>
      <c r="AP700" s="33"/>
      <c r="AQ700" s="34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4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5"/>
      <c r="CC700" s="33"/>
      <c r="CD700" s="33"/>
      <c r="CE700" s="33"/>
      <c r="CF700" s="34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4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4"/>
      <c r="DN700" s="34" t="s">
        <v>316</v>
      </c>
      <c r="DO700" s="33"/>
      <c r="DP700" s="33"/>
      <c r="DQ700" s="33"/>
      <c r="DR700" s="33"/>
      <c r="DS700" s="33">
        <v>260</v>
      </c>
      <c r="DT700" s="33" t="s">
        <v>317</v>
      </c>
      <c r="DU700" s="33"/>
      <c r="DV700" s="33"/>
      <c r="DW700" s="33"/>
      <c r="DX700" s="33"/>
      <c r="DY700" s="33"/>
      <c r="DZ700" s="33" t="s">
        <v>215</v>
      </c>
      <c r="EA700" s="33"/>
      <c r="EB700" s="33"/>
      <c r="EC700" s="33"/>
      <c r="ED700" s="33"/>
      <c r="EE700" s="33"/>
      <c r="EF700" s="33"/>
      <c r="EG700" s="38"/>
    </row>
    <row r="701" spans="2:137" ht="13.2">
      <c r="B701" s="30" t="str">
        <f t="shared" ref="B640:B894" si="24">IF(D701&gt;0, CONCATENATE(YEAR(D701),"/",MONTH(D701)),"")</f>
        <v/>
      </c>
      <c r="C701" s="31" t="str">
        <f t="shared" si="23"/>
        <v/>
      </c>
      <c r="D701" s="32"/>
      <c r="E701" s="33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3"/>
      <c r="R701" s="33"/>
      <c r="S701" s="33"/>
      <c r="T701" s="33"/>
      <c r="U701" s="35"/>
      <c r="V701" s="36"/>
      <c r="W701" s="37"/>
      <c r="X701" s="34"/>
      <c r="Y701" s="33"/>
      <c r="Z701" s="33"/>
      <c r="AA701" s="33"/>
      <c r="AB701" s="35"/>
      <c r="AC701" s="34"/>
      <c r="AD701" s="34"/>
      <c r="AE701" s="34"/>
      <c r="AF701" s="34"/>
      <c r="AG701" s="34"/>
      <c r="AH701" s="33"/>
      <c r="AI701" s="33"/>
      <c r="AJ701" s="34"/>
      <c r="AK701" s="33"/>
      <c r="AL701" s="33"/>
      <c r="AM701" s="33"/>
      <c r="AN701" s="34"/>
      <c r="AO701" s="34"/>
      <c r="AP701" s="33"/>
      <c r="AQ701" s="34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4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5"/>
      <c r="CC701" s="33"/>
      <c r="CD701" s="33"/>
      <c r="CE701" s="33"/>
      <c r="CF701" s="34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4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4"/>
      <c r="DN701" s="34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8"/>
    </row>
    <row r="702" spans="2:137" ht="13.2">
      <c r="B702" s="30" t="str">
        <f t="shared" si="24"/>
        <v/>
      </c>
      <c r="C702" s="31" t="str">
        <f t="shared" si="23"/>
        <v/>
      </c>
      <c r="D702" s="32"/>
      <c r="E702" s="33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3"/>
      <c r="R702" s="33"/>
      <c r="S702" s="33"/>
      <c r="T702" s="33"/>
      <c r="U702" s="35"/>
      <c r="V702" s="36"/>
      <c r="W702" s="37"/>
      <c r="X702" s="34"/>
      <c r="Y702" s="33"/>
      <c r="Z702" s="33"/>
      <c r="AA702" s="33"/>
      <c r="AB702" s="35"/>
      <c r="AC702" s="34"/>
      <c r="AD702" s="34"/>
      <c r="AE702" s="34"/>
      <c r="AF702" s="34"/>
      <c r="AG702" s="34"/>
      <c r="AH702" s="33"/>
      <c r="AI702" s="33"/>
      <c r="AJ702" s="34"/>
      <c r="AK702" s="33"/>
      <c r="AL702" s="33"/>
      <c r="AM702" s="33"/>
      <c r="AN702" s="34"/>
      <c r="AO702" s="34"/>
      <c r="AP702" s="33"/>
      <c r="AQ702" s="34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4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5"/>
      <c r="CC702" s="33"/>
      <c r="CD702" s="33"/>
      <c r="CE702" s="33"/>
      <c r="CF702" s="34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4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4"/>
      <c r="DN702" s="34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8"/>
    </row>
    <row r="703" spans="2:137" ht="13.2">
      <c r="B703" s="30" t="str">
        <f t="shared" si="24"/>
        <v/>
      </c>
      <c r="C703" s="31" t="str">
        <f t="shared" si="23"/>
        <v/>
      </c>
      <c r="D703" s="32"/>
      <c r="E703" s="33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3"/>
      <c r="R703" s="33"/>
      <c r="S703" s="33"/>
      <c r="T703" s="33"/>
      <c r="U703" s="35"/>
      <c r="V703" s="36"/>
      <c r="W703" s="37"/>
      <c r="X703" s="34"/>
      <c r="Y703" s="33"/>
      <c r="Z703" s="33"/>
      <c r="AA703" s="33"/>
      <c r="AB703" s="35"/>
      <c r="AC703" s="34"/>
      <c r="AD703" s="34"/>
      <c r="AE703" s="34"/>
      <c r="AF703" s="34"/>
      <c r="AG703" s="34"/>
      <c r="AH703" s="33"/>
      <c r="AI703" s="33"/>
      <c r="AJ703" s="34"/>
      <c r="AK703" s="33"/>
      <c r="AL703" s="33"/>
      <c r="AM703" s="33"/>
      <c r="AN703" s="34"/>
      <c r="AO703" s="34"/>
      <c r="AP703" s="33"/>
      <c r="AQ703" s="34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4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5"/>
      <c r="CC703" s="33"/>
      <c r="CD703" s="33"/>
      <c r="CE703" s="33"/>
      <c r="CF703" s="34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4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4"/>
      <c r="DN703" s="34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8"/>
    </row>
    <row r="704" spans="2:137" ht="13.2">
      <c r="B704" s="30" t="str">
        <f t="shared" si="24"/>
        <v/>
      </c>
      <c r="C704" s="31" t="str">
        <f t="shared" si="23"/>
        <v/>
      </c>
      <c r="D704" s="32"/>
      <c r="E704" s="33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3"/>
      <c r="R704" s="33"/>
      <c r="S704" s="33"/>
      <c r="T704" s="33"/>
      <c r="U704" s="35"/>
      <c r="V704" s="36"/>
      <c r="W704" s="37"/>
      <c r="X704" s="34"/>
      <c r="Y704" s="33"/>
      <c r="Z704" s="33"/>
      <c r="AA704" s="33"/>
      <c r="AB704" s="35"/>
      <c r="AC704" s="34"/>
      <c r="AD704" s="34"/>
      <c r="AE704" s="34"/>
      <c r="AF704" s="34"/>
      <c r="AG704" s="34"/>
      <c r="AH704" s="33"/>
      <c r="AI704" s="33"/>
      <c r="AJ704" s="34"/>
      <c r="AK704" s="33"/>
      <c r="AL704" s="33"/>
      <c r="AM704" s="33"/>
      <c r="AN704" s="34"/>
      <c r="AO704" s="34"/>
      <c r="AP704" s="33"/>
      <c r="AQ704" s="34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4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5"/>
      <c r="CC704" s="33"/>
      <c r="CD704" s="33"/>
      <c r="CE704" s="33"/>
      <c r="CF704" s="34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4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4"/>
      <c r="DN704" s="34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8"/>
    </row>
    <row r="705" spans="2:137" ht="13.2">
      <c r="B705" s="30" t="str">
        <f t="shared" si="24"/>
        <v/>
      </c>
      <c r="C705" s="31" t="str">
        <f t="shared" si="23"/>
        <v/>
      </c>
      <c r="D705" s="32"/>
      <c r="E705" s="33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3"/>
      <c r="R705" s="33"/>
      <c r="S705" s="33"/>
      <c r="T705" s="33"/>
      <c r="U705" s="35"/>
      <c r="V705" s="36"/>
      <c r="W705" s="37"/>
      <c r="X705" s="34"/>
      <c r="Y705" s="33"/>
      <c r="Z705" s="33"/>
      <c r="AA705" s="33"/>
      <c r="AB705" s="35"/>
      <c r="AC705" s="34"/>
      <c r="AD705" s="34"/>
      <c r="AE705" s="34"/>
      <c r="AF705" s="34"/>
      <c r="AG705" s="34"/>
      <c r="AH705" s="33"/>
      <c r="AI705" s="33"/>
      <c r="AJ705" s="34"/>
      <c r="AK705" s="33"/>
      <c r="AL705" s="33"/>
      <c r="AM705" s="33"/>
      <c r="AN705" s="34"/>
      <c r="AO705" s="34"/>
      <c r="AP705" s="33"/>
      <c r="AQ705" s="34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4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5"/>
      <c r="CC705" s="33"/>
      <c r="CD705" s="33"/>
      <c r="CE705" s="33"/>
      <c r="CF705" s="34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4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4"/>
      <c r="DN705" s="34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8"/>
    </row>
    <row r="706" spans="2:137" ht="13.2">
      <c r="B706" s="30" t="str">
        <f t="shared" si="24"/>
        <v/>
      </c>
      <c r="C706" s="31" t="str">
        <f t="shared" si="23"/>
        <v/>
      </c>
      <c r="D706" s="32"/>
      <c r="E706" s="33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3"/>
      <c r="R706" s="33"/>
      <c r="S706" s="33"/>
      <c r="T706" s="33"/>
      <c r="U706" s="35"/>
      <c r="V706" s="36"/>
      <c r="W706" s="37"/>
      <c r="X706" s="34"/>
      <c r="Y706" s="33"/>
      <c r="Z706" s="33"/>
      <c r="AA706" s="33"/>
      <c r="AB706" s="35"/>
      <c r="AC706" s="34"/>
      <c r="AD706" s="34"/>
      <c r="AE706" s="34"/>
      <c r="AF706" s="34"/>
      <c r="AG706" s="34"/>
      <c r="AH706" s="33"/>
      <c r="AI706" s="33"/>
      <c r="AJ706" s="34"/>
      <c r="AK706" s="33"/>
      <c r="AL706" s="33"/>
      <c r="AM706" s="33"/>
      <c r="AN706" s="34"/>
      <c r="AO706" s="34"/>
      <c r="AP706" s="33"/>
      <c r="AQ706" s="34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4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5"/>
      <c r="CC706" s="33"/>
      <c r="CD706" s="33"/>
      <c r="CE706" s="33"/>
      <c r="CF706" s="34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4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4"/>
      <c r="DN706" s="34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8"/>
    </row>
    <row r="707" spans="2:137" ht="13.2">
      <c r="B707" s="30" t="str">
        <f t="shared" si="24"/>
        <v/>
      </c>
      <c r="C707" s="31" t="str">
        <f t="shared" si="23"/>
        <v/>
      </c>
      <c r="D707" s="32"/>
      <c r="E707" s="33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3"/>
      <c r="R707" s="33"/>
      <c r="S707" s="33"/>
      <c r="T707" s="33"/>
      <c r="U707" s="35"/>
      <c r="V707" s="36"/>
      <c r="W707" s="37"/>
      <c r="X707" s="34"/>
      <c r="Y707" s="33"/>
      <c r="Z707" s="33"/>
      <c r="AA707" s="33"/>
      <c r="AB707" s="35"/>
      <c r="AC707" s="34"/>
      <c r="AD707" s="34"/>
      <c r="AE707" s="34"/>
      <c r="AF707" s="34"/>
      <c r="AG707" s="34"/>
      <c r="AH707" s="33"/>
      <c r="AI707" s="33"/>
      <c r="AJ707" s="34"/>
      <c r="AK707" s="33"/>
      <c r="AL707" s="33"/>
      <c r="AM707" s="33"/>
      <c r="AN707" s="34"/>
      <c r="AO707" s="34"/>
      <c r="AP707" s="33"/>
      <c r="AQ707" s="34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4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5"/>
      <c r="CC707" s="33"/>
      <c r="CD707" s="33"/>
      <c r="CE707" s="33"/>
      <c r="CF707" s="34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4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4"/>
      <c r="DN707" s="34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8"/>
    </row>
    <row r="708" spans="2:137" ht="13.2">
      <c r="B708" s="30" t="str">
        <f t="shared" si="24"/>
        <v/>
      </c>
      <c r="C708" s="31" t="str">
        <f t="shared" ref="C708:C771" si="25">IF(SUM(E708:EG708)=0,"",SUM(E708:EG708))</f>
        <v/>
      </c>
      <c r="D708" s="32"/>
      <c r="E708" s="33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3"/>
      <c r="R708" s="33"/>
      <c r="S708" s="33"/>
      <c r="T708" s="33"/>
      <c r="U708" s="35"/>
      <c r="V708" s="36"/>
      <c r="W708" s="37"/>
      <c r="X708" s="34"/>
      <c r="Y708" s="33"/>
      <c r="Z708" s="33"/>
      <c r="AA708" s="33"/>
      <c r="AB708" s="35"/>
      <c r="AC708" s="34"/>
      <c r="AD708" s="34"/>
      <c r="AE708" s="34"/>
      <c r="AF708" s="34"/>
      <c r="AG708" s="34"/>
      <c r="AH708" s="33"/>
      <c r="AI708" s="33"/>
      <c r="AJ708" s="34"/>
      <c r="AK708" s="33"/>
      <c r="AL708" s="33"/>
      <c r="AM708" s="33"/>
      <c r="AN708" s="34"/>
      <c r="AO708" s="34"/>
      <c r="AP708" s="33"/>
      <c r="AQ708" s="34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4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5"/>
      <c r="CC708" s="33"/>
      <c r="CD708" s="33"/>
      <c r="CE708" s="33"/>
      <c r="CF708" s="34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4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4"/>
      <c r="DN708" s="34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8"/>
    </row>
    <row r="709" spans="2:137" ht="13.2">
      <c r="B709" s="30" t="str">
        <f t="shared" si="24"/>
        <v/>
      </c>
      <c r="C709" s="31" t="str">
        <f t="shared" si="25"/>
        <v/>
      </c>
      <c r="D709" s="32"/>
      <c r="E709" s="33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3"/>
      <c r="R709" s="33"/>
      <c r="S709" s="33"/>
      <c r="T709" s="33"/>
      <c r="U709" s="35"/>
      <c r="V709" s="36"/>
      <c r="W709" s="37"/>
      <c r="X709" s="34"/>
      <c r="Y709" s="33"/>
      <c r="Z709" s="33"/>
      <c r="AA709" s="33"/>
      <c r="AB709" s="35"/>
      <c r="AC709" s="34"/>
      <c r="AD709" s="34"/>
      <c r="AE709" s="34"/>
      <c r="AF709" s="34"/>
      <c r="AG709" s="34"/>
      <c r="AH709" s="33"/>
      <c r="AI709" s="33"/>
      <c r="AJ709" s="34"/>
      <c r="AK709" s="33"/>
      <c r="AL709" s="33"/>
      <c r="AM709" s="33"/>
      <c r="AN709" s="34"/>
      <c r="AO709" s="34"/>
      <c r="AP709" s="33"/>
      <c r="AQ709" s="34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4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5"/>
      <c r="CC709" s="33"/>
      <c r="CD709" s="33"/>
      <c r="CE709" s="33"/>
      <c r="CF709" s="34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4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4"/>
      <c r="DN709" s="34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8"/>
    </row>
    <row r="710" spans="2:137" ht="13.2">
      <c r="B710" s="30" t="str">
        <f t="shared" si="24"/>
        <v/>
      </c>
      <c r="C710" s="31" t="str">
        <f t="shared" si="25"/>
        <v/>
      </c>
      <c r="D710" s="32"/>
      <c r="E710" s="33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3"/>
      <c r="R710" s="33"/>
      <c r="S710" s="33"/>
      <c r="T710" s="33"/>
      <c r="U710" s="35"/>
      <c r="V710" s="36"/>
      <c r="W710" s="37"/>
      <c r="X710" s="34"/>
      <c r="Y710" s="33"/>
      <c r="Z710" s="33"/>
      <c r="AA710" s="33"/>
      <c r="AB710" s="35"/>
      <c r="AC710" s="34"/>
      <c r="AD710" s="34"/>
      <c r="AE710" s="34"/>
      <c r="AF710" s="34"/>
      <c r="AG710" s="34"/>
      <c r="AH710" s="33"/>
      <c r="AI710" s="33"/>
      <c r="AJ710" s="34"/>
      <c r="AK710" s="33"/>
      <c r="AL710" s="33"/>
      <c r="AM710" s="33"/>
      <c r="AN710" s="34"/>
      <c r="AO710" s="34"/>
      <c r="AP710" s="33"/>
      <c r="AQ710" s="34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4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5"/>
      <c r="CC710" s="33"/>
      <c r="CD710" s="33"/>
      <c r="CE710" s="33"/>
      <c r="CF710" s="34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4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4"/>
      <c r="DN710" s="34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8"/>
    </row>
    <row r="711" spans="2:137" ht="13.2">
      <c r="B711" s="30" t="str">
        <f t="shared" si="24"/>
        <v/>
      </c>
      <c r="C711" s="31" t="str">
        <f t="shared" si="25"/>
        <v/>
      </c>
      <c r="D711" s="32"/>
      <c r="E711" s="33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3"/>
      <c r="R711" s="33"/>
      <c r="S711" s="33"/>
      <c r="T711" s="33"/>
      <c r="U711" s="35"/>
      <c r="V711" s="36"/>
      <c r="W711" s="37"/>
      <c r="X711" s="34"/>
      <c r="Y711" s="33"/>
      <c r="Z711" s="33"/>
      <c r="AA711" s="33"/>
      <c r="AB711" s="35"/>
      <c r="AC711" s="34"/>
      <c r="AD711" s="34"/>
      <c r="AE711" s="34"/>
      <c r="AF711" s="34"/>
      <c r="AG711" s="34"/>
      <c r="AH711" s="33"/>
      <c r="AI711" s="33"/>
      <c r="AJ711" s="34"/>
      <c r="AK711" s="33"/>
      <c r="AL711" s="33"/>
      <c r="AM711" s="33"/>
      <c r="AN711" s="34"/>
      <c r="AO711" s="34"/>
      <c r="AP711" s="33"/>
      <c r="AQ711" s="34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4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5"/>
      <c r="CC711" s="33"/>
      <c r="CD711" s="33"/>
      <c r="CE711" s="33"/>
      <c r="CF711" s="34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4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4"/>
      <c r="DN711" s="34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8"/>
    </row>
    <row r="712" spans="2:137" ht="13.2">
      <c r="B712" s="30" t="str">
        <f t="shared" si="24"/>
        <v/>
      </c>
      <c r="C712" s="31" t="str">
        <f t="shared" si="25"/>
        <v/>
      </c>
      <c r="D712" s="32"/>
      <c r="E712" s="33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3"/>
      <c r="R712" s="33"/>
      <c r="S712" s="33"/>
      <c r="T712" s="33"/>
      <c r="U712" s="35"/>
      <c r="V712" s="36"/>
      <c r="W712" s="37"/>
      <c r="X712" s="34"/>
      <c r="Y712" s="33"/>
      <c r="Z712" s="33"/>
      <c r="AA712" s="33"/>
      <c r="AB712" s="35"/>
      <c r="AC712" s="34"/>
      <c r="AD712" s="34"/>
      <c r="AE712" s="34"/>
      <c r="AF712" s="34"/>
      <c r="AG712" s="34"/>
      <c r="AH712" s="33"/>
      <c r="AI712" s="33"/>
      <c r="AJ712" s="34"/>
      <c r="AK712" s="33"/>
      <c r="AL712" s="33"/>
      <c r="AM712" s="33"/>
      <c r="AN712" s="34"/>
      <c r="AO712" s="34"/>
      <c r="AP712" s="33"/>
      <c r="AQ712" s="34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4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5"/>
      <c r="CC712" s="33"/>
      <c r="CD712" s="33"/>
      <c r="CE712" s="33"/>
      <c r="CF712" s="34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4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4"/>
      <c r="DN712" s="34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8"/>
    </row>
    <row r="713" spans="2:137" ht="13.2">
      <c r="B713" s="30" t="str">
        <f t="shared" si="24"/>
        <v/>
      </c>
      <c r="C713" s="31" t="str">
        <f t="shared" si="25"/>
        <v/>
      </c>
      <c r="D713" s="32"/>
      <c r="E713" s="33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3"/>
      <c r="R713" s="33"/>
      <c r="S713" s="33"/>
      <c r="T713" s="33"/>
      <c r="U713" s="35"/>
      <c r="V713" s="36"/>
      <c r="W713" s="37"/>
      <c r="X713" s="34"/>
      <c r="Y713" s="33"/>
      <c r="Z713" s="33"/>
      <c r="AA713" s="33"/>
      <c r="AB713" s="35"/>
      <c r="AC713" s="34"/>
      <c r="AD713" s="34"/>
      <c r="AE713" s="34"/>
      <c r="AF713" s="34"/>
      <c r="AG713" s="34"/>
      <c r="AH713" s="33"/>
      <c r="AI713" s="33"/>
      <c r="AJ713" s="34"/>
      <c r="AK713" s="33"/>
      <c r="AL713" s="33"/>
      <c r="AM713" s="33"/>
      <c r="AN713" s="34"/>
      <c r="AO713" s="34"/>
      <c r="AP713" s="33"/>
      <c r="AQ713" s="34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4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5"/>
      <c r="CC713" s="33"/>
      <c r="CD713" s="33"/>
      <c r="CE713" s="33"/>
      <c r="CF713" s="34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4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4"/>
      <c r="DN713" s="34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8"/>
    </row>
    <row r="714" spans="2:137" ht="13.2">
      <c r="B714" s="30" t="str">
        <f t="shared" si="24"/>
        <v/>
      </c>
      <c r="C714" s="31" t="str">
        <f t="shared" si="25"/>
        <v/>
      </c>
      <c r="D714" s="32"/>
      <c r="E714" s="33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3"/>
      <c r="R714" s="33"/>
      <c r="S714" s="33"/>
      <c r="T714" s="33"/>
      <c r="U714" s="35"/>
      <c r="V714" s="36"/>
      <c r="W714" s="37"/>
      <c r="X714" s="34"/>
      <c r="Y714" s="33"/>
      <c r="Z714" s="33"/>
      <c r="AA714" s="33"/>
      <c r="AB714" s="35"/>
      <c r="AC714" s="34"/>
      <c r="AD714" s="34"/>
      <c r="AE714" s="34"/>
      <c r="AF714" s="34"/>
      <c r="AG714" s="34"/>
      <c r="AH714" s="33"/>
      <c r="AI714" s="33"/>
      <c r="AJ714" s="34"/>
      <c r="AK714" s="33"/>
      <c r="AL714" s="33"/>
      <c r="AM714" s="33"/>
      <c r="AN714" s="34"/>
      <c r="AO714" s="34"/>
      <c r="AP714" s="33"/>
      <c r="AQ714" s="34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4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5"/>
      <c r="CC714" s="33"/>
      <c r="CD714" s="33"/>
      <c r="CE714" s="33"/>
      <c r="CF714" s="34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4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4"/>
      <c r="DN714" s="34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8"/>
    </row>
    <row r="715" spans="2:137" ht="13.2">
      <c r="B715" s="30" t="str">
        <f t="shared" si="24"/>
        <v/>
      </c>
      <c r="C715" s="31" t="str">
        <f t="shared" si="25"/>
        <v/>
      </c>
      <c r="D715" s="32"/>
      <c r="E715" s="33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3"/>
      <c r="R715" s="33"/>
      <c r="S715" s="33"/>
      <c r="T715" s="33"/>
      <c r="U715" s="35"/>
      <c r="V715" s="36"/>
      <c r="W715" s="37"/>
      <c r="X715" s="34"/>
      <c r="Y715" s="33"/>
      <c r="Z715" s="33"/>
      <c r="AA715" s="33"/>
      <c r="AB715" s="35"/>
      <c r="AC715" s="34"/>
      <c r="AD715" s="34"/>
      <c r="AE715" s="34"/>
      <c r="AF715" s="34"/>
      <c r="AG715" s="34"/>
      <c r="AH715" s="33"/>
      <c r="AI715" s="33"/>
      <c r="AJ715" s="34"/>
      <c r="AK715" s="33"/>
      <c r="AL715" s="33"/>
      <c r="AM715" s="33"/>
      <c r="AN715" s="34"/>
      <c r="AO715" s="34"/>
      <c r="AP715" s="33"/>
      <c r="AQ715" s="34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4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5"/>
      <c r="CC715" s="33"/>
      <c r="CD715" s="33"/>
      <c r="CE715" s="33"/>
      <c r="CF715" s="34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4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4"/>
      <c r="DN715" s="34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8"/>
    </row>
    <row r="716" spans="2:137" ht="13.2">
      <c r="B716" s="30" t="str">
        <f t="shared" si="24"/>
        <v/>
      </c>
      <c r="C716" s="31" t="str">
        <f t="shared" si="25"/>
        <v/>
      </c>
      <c r="D716" s="32"/>
      <c r="E716" s="33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3"/>
      <c r="R716" s="33"/>
      <c r="S716" s="33"/>
      <c r="T716" s="33"/>
      <c r="U716" s="35"/>
      <c r="V716" s="36"/>
      <c r="W716" s="37"/>
      <c r="X716" s="34"/>
      <c r="Y716" s="33"/>
      <c r="Z716" s="33"/>
      <c r="AA716" s="33"/>
      <c r="AB716" s="35"/>
      <c r="AC716" s="34"/>
      <c r="AD716" s="34"/>
      <c r="AE716" s="34"/>
      <c r="AF716" s="34"/>
      <c r="AG716" s="34"/>
      <c r="AH716" s="33"/>
      <c r="AI716" s="33"/>
      <c r="AJ716" s="34"/>
      <c r="AK716" s="33"/>
      <c r="AL716" s="33"/>
      <c r="AM716" s="33"/>
      <c r="AN716" s="34"/>
      <c r="AO716" s="34"/>
      <c r="AP716" s="33"/>
      <c r="AQ716" s="34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4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5"/>
      <c r="CC716" s="33"/>
      <c r="CD716" s="33"/>
      <c r="CE716" s="33"/>
      <c r="CF716" s="34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4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4"/>
      <c r="DN716" s="34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8"/>
    </row>
    <row r="717" spans="2:137" ht="13.2">
      <c r="B717" s="30" t="str">
        <f t="shared" si="24"/>
        <v/>
      </c>
      <c r="C717" s="31" t="str">
        <f t="shared" si="25"/>
        <v/>
      </c>
      <c r="D717" s="32"/>
      <c r="E717" s="33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3"/>
      <c r="R717" s="33"/>
      <c r="S717" s="33"/>
      <c r="T717" s="33"/>
      <c r="U717" s="35"/>
      <c r="V717" s="36"/>
      <c r="W717" s="37"/>
      <c r="X717" s="34"/>
      <c r="Y717" s="33"/>
      <c r="Z717" s="33"/>
      <c r="AA717" s="33"/>
      <c r="AB717" s="35"/>
      <c r="AC717" s="34"/>
      <c r="AD717" s="34"/>
      <c r="AE717" s="34"/>
      <c r="AF717" s="34"/>
      <c r="AG717" s="34"/>
      <c r="AH717" s="33"/>
      <c r="AI717" s="33"/>
      <c r="AJ717" s="34"/>
      <c r="AK717" s="33"/>
      <c r="AL717" s="33"/>
      <c r="AM717" s="33"/>
      <c r="AN717" s="34"/>
      <c r="AO717" s="34"/>
      <c r="AP717" s="33"/>
      <c r="AQ717" s="34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4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5"/>
      <c r="CC717" s="33"/>
      <c r="CD717" s="33"/>
      <c r="CE717" s="33"/>
      <c r="CF717" s="34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4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4"/>
      <c r="DN717" s="34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8"/>
    </row>
    <row r="718" spans="2:137" ht="13.2">
      <c r="B718" s="30" t="str">
        <f t="shared" si="24"/>
        <v/>
      </c>
      <c r="C718" s="31" t="str">
        <f t="shared" si="25"/>
        <v/>
      </c>
      <c r="D718" s="32"/>
      <c r="E718" s="33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3"/>
      <c r="R718" s="33"/>
      <c r="S718" s="33"/>
      <c r="T718" s="33"/>
      <c r="U718" s="35"/>
      <c r="V718" s="36"/>
      <c r="W718" s="37"/>
      <c r="X718" s="34"/>
      <c r="Y718" s="33"/>
      <c r="Z718" s="33"/>
      <c r="AA718" s="33"/>
      <c r="AB718" s="35"/>
      <c r="AC718" s="34"/>
      <c r="AD718" s="34"/>
      <c r="AE718" s="34"/>
      <c r="AF718" s="34"/>
      <c r="AG718" s="34"/>
      <c r="AH718" s="33"/>
      <c r="AI718" s="33"/>
      <c r="AJ718" s="34"/>
      <c r="AK718" s="33"/>
      <c r="AL718" s="33"/>
      <c r="AM718" s="33"/>
      <c r="AN718" s="34"/>
      <c r="AO718" s="34"/>
      <c r="AP718" s="33"/>
      <c r="AQ718" s="34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4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5"/>
      <c r="CC718" s="33"/>
      <c r="CD718" s="33"/>
      <c r="CE718" s="33"/>
      <c r="CF718" s="34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4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4"/>
      <c r="DN718" s="34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8"/>
    </row>
    <row r="719" spans="2:137" ht="13.2">
      <c r="B719" s="30" t="str">
        <f t="shared" si="24"/>
        <v/>
      </c>
      <c r="C719" s="31" t="str">
        <f t="shared" si="25"/>
        <v/>
      </c>
      <c r="D719" s="32"/>
      <c r="E719" s="33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3"/>
      <c r="R719" s="33"/>
      <c r="S719" s="33"/>
      <c r="T719" s="33"/>
      <c r="U719" s="35"/>
      <c r="V719" s="36"/>
      <c r="W719" s="37"/>
      <c r="X719" s="34"/>
      <c r="Y719" s="33"/>
      <c r="Z719" s="33"/>
      <c r="AA719" s="33"/>
      <c r="AB719" s="35"/>
      <c r="AC719" s="34"/>
      <c r="AD719" s="34"/>
      <c r="AE719" s="34"/>
      <c r="AF719" s="34"/>
      <c r="AG719" s="34"/>
      <c r="AH719" s="33"/>
      <c r="AI719" s="33"/>
      <c r="AJ719" s="34"/>
      <c r="AK719" s="33"/>
      <c r="AL719" s="33"/>
      <c r="AM719" s="33"/>
      <c r="AN719" s="34"/>
      <c r="AO719" s="34"/>
      <c r="AP719" s="33"/>
      <c r="AQ719" s="34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4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5"/>
      <c r="CC719" s="33"/>
      <c r="CD719" s="33"/>
      <c r="CE719" s="33"/>
      <c r="CF719" s="34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4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4"/>
      <c r="DN719" s="34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8"/>
    </row>
    <row r="720" spans="2:137" ht="13.2">
      <c r="B720" s="30" t="str">
        <f t="shared" si="24"/>
        <v/>
      </c>
      <c r="C720" s="31" t="str">
        <f t="shared" si="25"/>
        <v/>
      </c>
      <c r="D720" s="32"/>
      <c r="E720" s="33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3"/>
      <c r="R720" s="33"/>
      <c r="S720" s="33"/>
      <c r="T720" s="33"/>
      <c r="U720" s="35"/>
      <c r="V720" s="36"/>
      <c r="W720" s="37"/>
      <c r="X720" s="34"/>
      <c r="Y720" s="33"/>
      <c r="Z720" s="33"/>
      <c r="AA720" s="33"/>
      <c r="AB720" s="35"/>
      <c r="AC720" s="34"/>
      <c r="AD720" s="34"/>
      <c r="AE720" s="34"/>
      <c r="AF720" s="34"/>
      <c r="AG720" s="34"/>
      <c r="AH720" s="33"/>
      <c r="AI720" s="33"/>
      <c r="AJ720" s="34"/>
      <c r="AK720" s="33"/>
      <c r="AL720" s="33"/>
      <c r="AM720" s="33"/>
      <c r="AN720" s="34"/>
      <c r="AO720" s="34"/>
      <c r="AP720" s="33"/>
      <c r="AQ720" s="34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4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5"/>
      <c r="CC720" s="33"/>
      <c r="CD720" s="33"/>
      <c r="CE720" s="33"/>
      <c r="CF720" s="34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4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4"/>
      <c r="DN720" s="34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8"/>
    </row>
    <row r="721" spans="2:137" ht="13.2">
      <c r="B721" s="30" t="str">
        <f t="shared" si="24"/>
        <v/>
      </c>
      <c r="C721" s="31" t="str">
        <f t="shared" si="25"/>
        <v/>
      </c>
      <c r="D721" s="32"/>
      <c r="E721" s="33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3"/>
      <c r="R721" s="33"/>
      <c r="S721" s="33"/>
      <c r="T721" s="33"/>
      <c r="U721" s="35"/>
      <c r="V721" s="36"/>
      <c r="W721" s="37"/>
      <c r="X721" s="34"/>
      <c r="Y721" s="33"/>
      <c r="Z721" s="33"/>
      <c r="AA721" s="33"/>
      <c r="AB721" s="35"/>
      <c r="AC721" s="34"/>
      <c r="AD721" s="34"/>
      <c r="AE721" s="34"/>
      <c r="AF721" s="34"/>
      <c r="AG721" s="34"/>
      <c r="AH721" s="33"/>
      <c r="AI721" s="33"/>
      <c r="AJ721" s="34"/>
      <c r="AK721" s="33"/>
      <c r="AL721" s="33"/>
      <c r="AM721" s="33"/>
      <c r="AN721" s="34"/>
      <c r="AO721" s="34"/>
      <c r="AP721" s="33"/>
      <c r="AQ721" s="34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4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5"/>
      <c r="CC721" s="33"/>
      <c r="CD721" s="33"/>
      <c r="CE721" s="33"/>
      <c r="CF721" s="34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4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4"/>
      <c r="DN721" s="34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8"/>
    </row>
    <row r="722" spans="2:137" ht="13.2">
      <c r="B722" s="30" t="str">
        <f t="shared" si="24"/>
        <v/>
      </c>
      <c r="C722" s="31" t="str">
        <f t="shared" si="25"/>
        <v/>
      </c>
      <c r="D722" s="32"/>
      <c r="E722" s="33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3"/>
      <c r="R722" s="33"/>
      <c r="S722" s="33"/>
      <c r="T722" s="33"/>
      <c r="U722" s="35"/>
      <c r="V722" s="36"/>
      <c r="W722" s="37"/>
      <c r="X722" s="34"/>
      <c r="Y722" s="33"/>
      <c r="Z722" s="33"/>
      <c r="AA722" s="33"/>
      <c r="AB722" s="35"/>
      <c r="AC722" s="34"/>
      <c r="AD722" s="34"/>
      <c r="AE722" s="34"/>
      <c r="AF722" s="34"/>
      <c r="AG722" s="34"/>
      <c r="AH722" s="33"/>
      <c r="AI722" s="33"/>
      <c r="AJ722" s="34"/>
      <c r="AK722" s="33"/>
      <c r="AL722" s="33"/>
      <c r="AM722" s="33"/>
      <c r="AN722" s="34"/>
      <c r="AO722" s="34"/>
      <c r="AP722" s="33"/>
      <c r="AQ722" s="34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4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5"/>
      <c r="CC722" s="33"/>
      <c r="CD722" s="33"/>
      <c r="CE722" s="33"/>
      <c r="CF722" s="34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4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4"/>
      <c r="DN722" s="34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8"/>
    </row>
    <row r="723" spans="2:137" ht="13.2">
      <c r="B723" s="30" t="str">
        <f t="shared" si="24"/>
        <v/>
      </c>
      <c r="C723" s="31" t="str">
        <f t="shared" si="25"/>
        <v/>
      </c>
      <c r="D723" s="32"/>
      <c r="E723" s="33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3"/>
      <c r="R723" s="33"/>
      <c r="S723" s="33"/>
      <c r="T723" s="33"/>
      <c r="U723" s="35"/>
      <c r="V723" s="36"/>
      <c r="W723" s="37"/>
      <c r="X723" s="34"/>
      <c r="Y723" s="33"/>
      <c r="Z723" s="33"/>
      <c r="AA723" s="33"/>
      <c r="AB723" s="35"/>
      <c r="AC723" s="34"/>
      <c r="AD723" s="34"/>
      <c r="AE723" s="34"/>
      <c r="AF723" s="34"/>
      <c r="AG723" s="34"/>
      <c r="AH723" s="33"/>
      <c r="AI723" s="33"/>
      <c r="AJ723" s="34"/>
      <c r="AK723" s="33"/>
      <c r="AL723" s="33"/>
      <c r="AM723" s="33"/>
      <c r="AN723" s="34"/>
      <c r="AO723" s="34"/>
      <c r="AP723" s="33"/>
      <c r="AQ723" s="34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4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5"/>
      <c r="CC723" s="33"/>
      <c r="CD723" s="33"/>
      <c r="CE723" s="33"/>
      <c r="CF723" s="34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4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4"/>
      <c r="DN723" s="34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8"/>
    </row>
    <row r="724" spans="2:137" ht="13.2">
      <c r="B724" s="30" t="str">
        <f t="shared" si="24"/>
        <v/>
      </c>
      <c r="C724" s="31" t="str">
        <f t="shared" si="25"/>
        <v/>
      </c>
      <c r="D724" s="32"/>
      <c r="E724" s="33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3"/>
      <c r="R724" s="33"/>
      <c r="S724" s="33"/>
      <c r="T724" s="33"/>
      <c r="U724" s="35"/>
      <c r="V724" s="36"/>
      <c r="W724" s="37"/>
      <c r="X724" s="34"/>
      <c r="Y724" s="33"/>
      <c r="Z724" s="33"/>
      <c r="AA724" s="33"/>
      <c r="AB724" s="35"/>
      <c r="AC724" s="34"/>
      <c r="AD724" s="34"/>
      <c r="AE724" s="34"/>
      <c r="AF724" s="34"/>
      <c r="AG724" s="34"/>
      <c r="AH724" s="33"/>
      <c r="AI724" s="33"/>
      <c r="AJ724" s="34"/>
      <c r="AK724" s="33"/>
      <c r="AL724" s="33"/>
      <c r="AM724" s="33"/>
      <c r="AN724" s="34"/>
      <c r="AO724" s="34"/>
      <c r="AP724" s="33"/>
      <c r="AQ724" s="34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4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5"/>
      <c r="CC724" s="33"/>
      <c r="CD724" s="33"/>
      <c r="CE724" s="33"/>
      <c r="CF724" s="34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4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4"/>
      <c r="DN724" s="34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8"/>
    </row>
    <row r="725" spans="2:137" ht="13.2">
      <c r="B725" s="30" t="str">
        <f t="shared" si="24"/>
        <v/>
      </c>
      <c r="C725" s="31" t="str">
        <f t="shared" si="25"/>
        <v/>
      </c>
      <c r="D725" s="32"/>
      <c r="E725" s="33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3"/>
      <c r="R725" s="33"/>
      <c r="S725" s="33"/>
      <c r="T725" s="33"/>
      <c r="U725" s="35"/>
      <c r="V725" s="36"/>
      <c r="W725" s="37"/>
      <c r="X725" s="34"/>
      <c r="Y725" s="33"/>
      <c r="Z725" s="33"/>
      <c r="AA725" s="33"/>
      <c r="AB725" s="35"/>
      <c r="AC725" s="34"/>
      <c r="AD725" s="34"/>
      <c r="AE725" s="34"/>
      <c r="AF725" s="34"/>
      <c r="AG725" s="34"/>
      <c r="AH725" s="33"/>
      <c r="AI725" s="33"/>
      <c r="AJ725" s="34"/>
      <c r="AK725" s="33"/>
      <c r="AL725" s="33"/>
      <c r="AM725" s="33"/>
      <c r="AN725" s="34"/>
      <c r="AO725" s="34"/>
      <c r="AP725" s="33"/>
      <c r="AQ725" s="34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4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5"/>
      <c r="CC725" s="33"/>
      <c r="CD725" s="33"/>
      <c r="CE725" s="33"/>
      <c r="CF725" s="34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4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4"/>
      <c r="DN725" s="34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8"/>
    </row>
    <row r="726" spans="2:137" ht="13.2">
      <c r="B726" s="30" t="str">
        <f t="shared" si="24"/>
        <v/>
      </c>
      <c r="C726" s="31" t="str">
        <f t="shared" si="25"/>
        <v/>
      </c>
      <c r="D726" s="32"/>
      <c r="E726" s="33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3"/>
      <c r="R726" s="33"/>
      <c r="S726" s="33"/>
      <c r="T726" s="33"/>
      <c r="U726" s="35"/>
      <c r="V726" s="36"/>
      <c r="W726" s="37"/>
      <c r="X726" s="34"/>
      <c r="Y726" s="33"/>
      <c r="Z726" s="33"/>
      <c r="AA726" s="33"/>
      <c r="AB726" s="35"/>
      <c r="AC726" s="34"/>
      <c r="AD726" s="34"/>
      <c r="AE726" s="34"/>
      <c r="AF726" s="34"/>
      <c r="AG726" s="34"/>
      <c r="AH726" s="33"/>
      <c r="AI726" s="33"/>
      <c r="AJ726" s="34"/>
      <c r="AK726" s="33"/>
      <c r="AL726" s="33"/>
      <c r="AM726" s="33"/>
      <c r="AN726" s="34"/>
      <c r="AO726" s="34"/>
      <c r="AP726" s="33"/>
      <c r="AQ726" s="34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4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5"/>
      <c r="CC726" s="33"/>
      <c r="CD726" s="33"/>
      <c r="CE726" s="33"/>
      <c r="CF726" s="34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4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4"/>
      <c r="DN726" s="34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8"/>
    </row>
    <row r="727" spans="2:137" ht="13.2">
      <c r="B727" s="30" t="str">
        <f t="shared" si="24"/>
        <v/>
      </c>
      <c r="C727" s="31" t="str">
        <f t="shared" si="25"/>
        <v/>
      </c>
      <c r="D727" s="32"/>
      <c r="E727" s="33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3"/>
      <c r="R727" s="33"/>
      <c r="S727" s="33"/>
      <c r="T727" s="33"/>
      <c r="U727" s="35"/>
      <c r="V727" s="36"/>
      <c r="W727" s="37"/>
      <c r="X727" s="34"/>
      <c r="Y727" s="33"/>
      <c r="Z727" s="33"/>
      <c r="AA727" s="33"/>
      <c r="AB727" s="35"/>
      <c r="AC727" s="34"/>
      <c r="AD727" s="34"/>
      <c r="AE727" s="34"/>
      <c r="AF727" s="34"/>
      <c r="AG727" s="34"/>
      <c r="AH727" s="33"/>
      <c r="AI727" s="33"/>
      <c r="AJ727" s="34"/>
      <c r="AK727" s="33"/>
      <c r="AL727" s="33"/>
      <c r="AM727" s="33"/>
      <c r="AN727" s="34"/>
      <c r="AO727" s="34"/>
      <c r="AP727" s="33"/>
      <c r="AQ727" s="34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4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5"/>
      <c r="CC727" s="33"/>
      <c r="CD727" s="33"/>
      <c r="CE727" s="33"/>
      <c r="CF727" s="34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4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4"/>
      <c r="DN727" s="34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8"/>
    </row>
    <row r="728" spans="2:137" ht="13.2">
      <c r="B728" s="30" t="str">
        <f t="shared" si="24"/>
        <v/>
      </c>
      <c r="C728" s="31" t="str">
        <f t="shared" si="25"/>
        <v/>
      </c>
      <c r="D728" s="32"/>
      <c r="E728" s="33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3"/>
      <c r="R728" s="33"/>
      <c r="S728" s="33"/>
      <c r="T728" s="33"/>
      <c r="U728" s="35"/>
      <c r="V728" s="36"/>
      <c r="W728" s="37"/>
      <c r="X728" s="34"/>
      <c r="Y728" s="33"/>
      <c r="Z728" s="33"/>
      <c r="AA728" s="33"/>
      <c r="AB728" s="35"/>
      <c r="AC728" s="34"/>
      <c r="AD728" s="34"/>
      <c r="AE728" s="34"/>
      <c r="AF728" s="34"/>
      <c r="AG728" s="34"/>
      <c r="AH728" s="33"/>
      <c r="AI728" s="33"/>
      <c r="AJ728" s="34"/>
      <c r="AK728" s="33"/>
      <c r="AL728" s="33"/>
      <c r="AM728" s="33"/>
      <c r="AN728" s="34"/>
      <c r="AO728" s="34"/>
      <c r="AP728" s="33"/>
      <c r="AQ728" s="34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4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5"/>
      <c r="CC728" s="33"/>
      <c r="CD728" s="33"/>
      <c r="CE728" s="33"/>
      <c r="CF728" s="34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4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4"/>
      <c r="DN728" s="34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8"/>
    </row>
    <row r="729" spans="2:137" ht="13.2">
      <c r="B729" s="30" t="str">
        <f t="shared" si="24"/>
        <v/>
      </c>
      <c r="C729" s="31" t="str">
        <f t="shared" si="25"/>
        <v/>
      </c>
      <c r="D729" s="32"/>
      <c r="E729" s="33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3"/>
      <c r="R729" s="33"/>
      <c r="S729" s="33"/>
      <c r="T729" s="33"/>
      <c r="U729" s="35"/>
      <c r="V729" s="36"/>
      <c r="W729" s="37"/>
      <c r="X729" s="34"/>
      <c r="Y729" s="33"/>
      <c r="Z729" s="33"/>
      <c r="AA729" s="33"/>
      <c r="AB729" s="35"/>
      <c r="AC729" s="34"/>
      <c r="AD729" s="34"/>
      <c r="AE729" s="34"/>
      <c r="AF729" s="34"/>
      <c r="AG729" s="34"/>
      <c r="AH729" s="33"/>
      <c r="AI729" s="33"/>
      <c r="AJ729" s="34"/>
      <c r="AK729" s="33"/>
      <c r="AL729" s="33"/>
      <c r="AM729" s="33"/>
      <c r="AN729" s="34"/>
      <c r="AO729" s="34"/>
      <c r="AP729" s="33"/>
      <c r="AQ729" s="34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4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5"/>
      <c r="CC729" s="33"/>
      <c r="CD729" s="33"/>
      <c r="CE729" s="33"/>
      <c r="CF729" s="34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4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4"/>
      <c r="DN729" s="34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8"/>
    </row>
    <row r="730" spans="2:137" ht="13.2">
      <c r="B730" s="30" t="str">
        <f t="shared" si="24"/>
        <v/>
      </c>
      <c r="C730" s="31" t="str">
        <f t="shared" si="25"/>
        <v/>
      </c>
      <c r="D730" s="32"/>
      <c r="E730" s="33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3"/>
      <c r="R730" s="33"/>
      <c r="S730" s="33"/>
      <c r="T730" s="33"/>
      <c r="U730" s="35"/>
      <c r="V730" s="36"/>
      <c r="W730" s="37"/>
      <c r="X730" s="34"/>
      <c r="Y730" s="33"/>
      <c r="Z730" s="33"/>
      <c r="AA730" s="33"/>
      <c r="AB730" s="35"/>
      <c r="AC730" s="34"/>
      <c r="AD730" s="34"/>
      <c r="AE730" s="34"/>
      <c r="AF730" s="34"/>
      <c r="AG730" s="34"/>
      <c r="AH730" s="33"/>
      <c r="AI730" s="33"/>
      <c r="AJ730" s="34"/>
      <c r="AK730" s="33"/>
      <c r="AL730" s="33"/>
      <c r="AM730" s="33"/>
      <c r="AN730" s="34"/>
      <c r="AO730" s="34"/>
      <c r="AP730" s="33"/>
      <c r="AQ730" s="34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4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5"/>
      <c r="CC730" s="33"/>
      <c r="CD730" s="33"/>
      <c r="CE730" s="33"/>
      <c r="CF730" s="34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4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4"/>
      <c r="DN730" s="34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8"/>
    </row>
    <row r="731" spans="2:137" ht="13.2">
      <c r="B731" s="30" t="str">
        <f t="shared" si="24"/>
        <v/>
      </c>
      <c r="C731" s="31" t="str">
        <f t="shared" si="25"/>
        <v/>
      </c>
      <c r="D731" s="32"/>
      <c r="E731" s="33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3"/>
      <c r="R731" s="33"/>
      <c r="S731" s="33"/>
      <c r="T731" s="33"/>
      <c r="U731" s="35"/>
      <c r="V731" s="36"/>
      <c r="W731" s="37"/>
      <c r="X731" s="34"/>
      <c r="Y731" s="33"/>
      <c r="Z731" s="33"/>
      <c r="AA731" s="33"/>
      <c r="AB731" s="35"/>
      <c r="AC731" s="34"/>
      <c r="AD731" s="34"/>
      <c r="AE731" s="34"/>
      <c r="AF731" s="34"/>
      <c r="AG731" s="34"/>
      <c r="AH731" s="33"/>
      <c r="AI731" s="33"/>
      <c r="AJ731" s="34"/>
      <c r="AK731" s="33"/>
      <c r="AL731" s="33"/>
      <c r="AM731" s="33"/>
      <c r="AN731" s="34"/>
      <c r="AO731" s="34"/>
      <c r="AP731" s="33"/>
      <c r="AQ731" s="34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4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5"/>
      <c r="CC731" s="33"/>
      <c r="CD731" s="33"/>
      <c r="CE731" s="33"/>
      <c r="CF731" s="34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4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4"/>
      <c r="DN731" s="34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8"/>
    </row>
    <row r="732" spans="2:137" ht="13.2">
      <c r="B732" s="30" t="str">
        <f t="shared" si="24"/>
        <v/>
      </c>
      <c r="C732" s="31" t="str">
        <f t="shared" si="25"/>
        <v/>
      </c>
      <c r="D732" s="32"/>
      <c r="E732" s="33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3"/>
      <c r="R732" s="33"/>
      <c r="S732" s="33"/>
      <c r="T732" s="33"/>
      <c r="U732" s="35"/>
      <c r="V732" s="36"/>
      <c r="W732" s="37"/>
      <c r="X732" s="34"/>
      <c r="Y732" s="33"/>
      <c r="Z732" s="33"/>
      <c r="AA732" s="33"/>
      <c r="AB732" s="35"/>
      <c r="AC732" s="34"/>
      <c r="AD732" s="34"/>
      <c r="AE732" s="34"/>
      <c r="AF732" s="34"/>
      <c r="AG732" s="34"/>
      <c r="AH732" s="33"/>
      <c r="AI732" s="33"/>
      <c r="AJ732" s="34"/>
      <c r="AK732" s="33"/>
      <c r="AL732" s="33"/>
      <c r="AM732" s="33"/>
      <c r="AN732" s="34"/>
      <c r="AO732" s="34"/>
      <c r="AP732" s="33"/>
      <c r="AQ732" s="34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4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5"/>
      <c r="CC732" s="33"/>
      <c r="CD732" s="33"/>
      <c r="CE732" s="33"/>
      <c r="CF732" s="34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4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4"/>
      <c r="DN732" s="34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8"/>
    </row>
    <row r="733" spans="2:137" ht="13.2">
      <c r="B733" s="30" t="str">
        <f t="shared" si="24"/>
        <v/>
      </c>
      <c r="C733" s="31" t="str">
        <f t="shared" si="25"/>
        <v/>
      </c>
      <c r="D733" s="32"/>
      <c r="E733" s="33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3"/>
      <c r="R733" s="33"/>
      <c r="S733" s="33"/>
      <c r="T733" s="33"/>
      <c r="U733" s="35"/>
      <c r="V733" s="36"/>
      <c r="W733" s="37"/>
      <c r="X733" s="34"/>
      <c r="Y733" s="33"/>
      <c r="Z733" s="33"/>
      <c r="AA733" s="33"/>
      <c r="AB733" s="35"/>
      <c r="AC733" s="34"/>
      <c r="AD733" s="34"/>
      <c r="AE733" s="34"/>
      <c r="AF733" s="34"/>
      <c r="AG733" s="34"/>
      <c r="AH733" s="33"/>
      <c r="AI733" s="33"/>
      <c r="AJ733" s="34"/>
      <c r="AK733" s="33"/>
      <c r="AL733" s="33"/>
      <c r="AM733" s="33"/>
      <c r="AN733" s="34"/>
      <c r="AO733" s="34"/>
      <c r="AP733" s="33"/>
      <c r="AQ733" s="34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4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5"/>
      <c r="CC733" s="33"/>
      <c r="CD733" s="33"/>
      <c r="CE733" s="33"/>
      <c r="CF733" s="34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4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4"/>
      <c r="DN733" s="34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8"/>
    </row>
    <row r="734" spans="2:137" ht="13.2">
      <c r="B734" s="30" t="str">
        <f t="shared" si="24"/>
        <v/>
      </c>
      <c r="C734" s="31" t="str">
        <f t="shared" si="25"/>
        <v/>
      </c>
      <c r="D734" s="32"/>
      <c r="E734" s="33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3"/>
      <c r="R734" s="33"/>
      <c r="S734" s="33"/>
      <c r="T734" s="33"/>
      <c r="U734" s="35"/>
      <c r="V734" s="36"/>
      <c r="W734" s="37"/>
      <c r="X734" s="34"/>
      <c r="Y734" s="33"/>
      <c r="Z734" s="33"/>
      <c r="AA734" s="33"/>
      <c r="AB734" s="35"/>
      <c r="AC734" s="34"/>
      <c r="AD734" s="34"/>
      <c r="AE734" s="34"/>
      <c r="AF734" s="34"/>
      <c r="AG734" s="34"/>
      <c r="AH734" s="33"/>
      <c r="AI734" s="33"/>
      <c r="AJ734" s="34"/>
      <c r="AK734" s="33"/>
      <c r="AL734" s="33"/>
      <c r="AM734" s="33"/>
      <c r="AN734" s="34"/>
      <c r="AO734" s="34"/>
      <c r="AP734" s="33"/>
      <c r="AQ734" s="34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4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5"/>
      <c r="CC734" s="33"/>
      <c r="CD734" s="33"/>
      <c r="CE734" s="33"/>
      <c r="CF734" s="34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4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4"/>
      <c r="DN734" s="34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8"/>
    </row>
    <row r="735" spans="2:137" ht="13.2">
      <c r="B735" s="30" t="str">
        <f t="shared" si="24"/>
        <v/>
      </c>
      <c r="C735" s="31" t="str">
        <f t="shared" si="25"/>
        <v/>
      </c>
      <c r="D735" s="32"/>
      <c r="E735" s="33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3"/>
      <c r="R735" s="33"/>
      <c r="S735" s="33"/>
      <c r="T735" s="33"/>
      <c r="U735" s="35"/>
      <c r="V735" s="36"/>
      <c r="W735" s="37"/>
      <c r="X735" s="34"/>
      <c r="Y735" s="33"/>
      <c r="Z735" s="33"/>
      <c r="AA735" s="33"/>
      <c r="AB735" s="35"/>
      <c r="AC735" s="34"/>
      <c r="AD735" s="34"/>
      <c r="AE735" s="34"/>
      <c r="AF735" s="34"/>
      <c r="AG735" s="34"/>
      <c r="AH735" s="33"/>
      <c r="AI735" s="33"/>
      <c r="AJ735" s="34"/>
      <c r="AK735" s="33"/>
      <c r="AL735" s="33"/>
      <c r="AM735" s="33"/>
      <c r="AN735" s="34"/>
      <c r="AO735" s="34"/>
      <c r="AP735" s="33"/>
      <c r="AQ735" s="34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4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5"/>
      <c r="CC735" s="33"/>
      <c r="CD735" s="33"/>
      <c r="CE735" s="33"/>
      <c r="CF735" s="34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4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4"/>
      <c r="DN735" s="34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8"/>
    </row>
    <row r="736" spans="2:137" ht="13.2">
      <c r="B736" s="30" t="str">
        <f t="shared" si="24"/>
        <v/>
      </c>
      <c r="C736" s="31" t="str">
        <f t="shared" si="25"/>
        <v/>
      </c>
      <c r="D736" s="32"/>
      <c r="E736" s="33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3"/>
      <c r="R736" s="33"/>
      <c r="S736" s="33"/>
      <c r="T736" s="33"/>
      <c r="U736" s="35"/>
      <c r="V736" s="36"/>
      <c r="W736" s="37"/>
      <c r="X736" s="34"/>
      <c r="Y736" s="33"/>
      <c r="Z736" s="33"/>
      <c r="AA736" s="33"/>
      <c r="AB736" s="35"/>
      <c r="AC736" s="34"/>
      <c r="AD736" s="34"/>
      <c r="AE736" s="34"/>
      <c r="AF736" s="34"/>
      <c r="AG736" s="34"/>
      <c r="AH736" s="33"/>
      <c r="AI736" s="33"/>
      <c r="AJ736" s="34"/>
      <c r="AK736" s="33"/>
      <c r="AL736" s="33"/>
      <c r="AM736" s="33"/>
      <c r="AN736" s="34"/>
      <c r="AO736" s="34"/>
      <c r="AP736" s="33"/>
      <c r="AQ736" s="34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4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5"/>
      <c r="CC736" s="33"/>
      <c r="CD736" s="33"/>
      <c r="CE736" s="33"/>
      <c r="CF736" s="34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4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4"/>
      <c r="DN736" s="34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8"/>
    </row>
    <row r="737" spans="2:137" ht="13.2">
      <c r="B737" s="30" t="str">
        <f t="shared" si="24"/>
        <v/>
      </c>
      <c r="C737" s="31" t="str">
        <f t="shared" si="25"/>
        <v/>
      </c>
      <c r="D737" s="32"/>
      <c r="E737" s="33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3"/>
      <c r="R737" s="33"/>
      <c r="S737" s="33"/>
      <c r="T737" s="33"/>
      <c r="U737" s="35"/>
      <c r="V737" s="36"/>
      <c r="W737" s="37"/>
      <c r="X737" s="34"/>
      <c r="Y737" s="33"/>
      <c r="Z737" s="33"/>
      <c r="AA737" s="33"/>
      <c r="AB737" s="35"/>
      <c r="AC737" s="34"/>
      <c r="AD737" s="34"/>
      <c r="AE737" s="34"/>
      <c r="AF737" s="34"/>
      <c r="AG737" s="34"/>
      <c r="AH737" s="33"/>
      <c r="AI737" s="33"/>
      <c r="AJ737" s="34"/>
      <c r="AK737" s="33"/>
      <c r="AL737" s="33"/>
      <c r="AM737" s="33"/>
      <c r="AN737" s="34"/>
      <c r="AO737" s="34"/>
      <c r="AP737" s="33"/>
      <c r="AQ737" s="34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4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5"/>
      <c r="CC737" s="33"/>
      <c r="CD737" s="33"/>
      <c r="CE737" s="33"/>
      <c r="CF737" s="34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4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4"/>
      <c r="DN737" s="34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8"/>
    </row>
    <row r="738" spans="2:137" ht="13.2">
      <c r="B738" s="30" t="str">
        <f t="shared" si="24"/>
        <v/>
      </c>
      <c r="C738" s="31" t="str">
        <f t="shared" si="25"/>
        <v/>
      </c>
      <c r="D738" s="32"/>
      <c r="E738" s="33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3"/>
      <c r="R738" s="33"/>
      <c r="S738" s="33"/>
      <c r="T738" s="33"/>
      <c r="U738" s="35"/>
      <c r="V738" s="36"/>
      <c r="W738" s="37"/>
      <c r="X738" s="34"/>
      <c r="Y738" s="33"/>
      <c r="Z738" s="33"/>
      <c r="AA738" s="33"/>
      <c r="AB738" s="35"/>
      <c r="AC738" s="34"/>
      <c r="AD738" s="34"/>
      <c r="AE738" s="34"/>
      <c r="AF738" s="34"/>
      <c r="AG738" s="34"/>
      <c r="AH738" s="33"/>
      <c r="AI738" s="33"/>
      <c r="AJ738" s="34"/>
      <c r="AK738" s="33"/>
      <c r="AL738" s="33"/>
      <c r="AM738" s="33"/>
      <c r="AN738" s="34"/>
      <c r="AO738" s="34"/>
      <c r="AP738" s="33"/>
      <c r="AQ738" s="34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4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5"/>
      <c r="CC738" s="33"/>
      <c r="CD738" s="33"/>
      <c r="CE738" s="33"/>
      <c r="CF738" s="34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4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4"/>
      <c r="DN738" s="34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8"/>
    </row>
    <row r="739" spans="2:137" ht="13.2">
      <c r="B739" s="30" t="str">
        <f t="shared" si="24"/>
        <v/>
      </c>
      <c r="C739" s="31" t="str">
        <f t="shared" si="25"/>
        <v/>
      </c>
      <c r="D739" s="32"/>
      <c r="E739" s="33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3"/>
      <c r="R739" s="33"/>
      <c r="S739" s="33"/>
      <c r="T739" s="33"/>
      <c r="U739" s="35"/>
      <c r="V739" s="36"/>
      <c r="W739" s="37"/>
      <c r="X739" s="34"/>
      <c r="Y739" s="33"/>
      <c r="Z739" s="33"/>
      <c r="AA739" s="33"/>
      <c r="AB739" s="35"/>
      <c r="AC739" s="34"/>
      <c r="AD739" s="34"/>
      <c r="AE739" s="34"/>
      <c r="AF739" s="34"/>
      <c r="AG739" s="34"/>
      <c r="AH739" s="33"/>
      <c r="AI739" s="33"/>
      <c r="AJ739" s="34"/>
      <c r="AK739" s="33"/>
      <c r="AL739" s="33"/>
      <c r="AM739" s="33"/>
      <c r="AN739" s="34"/>
      <c r="AO739" s="34"/>
      <c r="AP739" s="33"/>
      <c r="AQ739" s="34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4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5"/>
      <c r="CC739" s="33"/>
      <c r="CD739" s="33"/>
      <c r="CE739" s="33"/>
      <c r="CF739" s="34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4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4"/>
      <c r="DN739" s="34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8"/>
    </row>
    <row r="740" spans="2:137" ht="13.2">
      <c r="B740" s="30" t="str">
        <f t="shared" si="24"/>
        <v/>
      </c>
      <c r="C740" s="31" t="str">
        <f t="shared" si="25"/>
        <v/>
      </c>
      <c r="D740" s="32"/>
      <c r="E740" s="33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3"/>
      <c r="R740" s="33"/>
      <c r="S740" s="33"/>
      <c r="T740" s="33"/>
      <c r="U740" s="35"/>
      <c r="V740" s="36"/>
      <c r="W740" s="37"/>
      <c r="X740" s="34"/>
      <c r="Y740" s="33"/>
      <c r="Z740" s="33"/>
      <c r="AA740" s="33"/>
      <c r="AB740" s="35"/>
      <c r="AC740" s="34"/>
      <c r="AD740" s="34"/>
      <c r="AE740" s="34"/>
      <c r="AF740" s="34"/>
      <c r="AG740" s="34"/>
      <c r="AH740" s="33"/>
      <c r="AI740" s="33"/>
      <c r="AJ740" s="34"/>
      <c r="AK740" s="33"/>
      <c r="AL740" s="33"/>
      <c r="AM740" s="33"/>
      <c r="AN740" s="34"/>
      <c r="AO740" s="34"/>
      <c r="AP740" s="33"/>
      <c r="AQ740" s="34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4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5"/>
      <c r="CC740" s="33"/>
      <c r="CD740" s="33"/>
      <c r="CE740" s="33"/>
      <c r="CF740" s="34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4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4"/>
      <c r="DN740" s="34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8"/>
    </row>
    <row r="741" spans="2:137" ht="13.2">
      <c r="B741" s="30" t="str">
        <f t="shared" si="24"/>
        <v/>
      </c>
      <c r="C741" s="31" t="str">
        <f t="shared" si="25"/>
        <v/>
      </c>
      <c r="D741" s="32"/>
      <c r="E741" s="33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3"/>
      <c r="R741" s="33"/>
      <c r="S741" s="33"/>
      <c r="T741" s="33"/>
      <c r="U741" s="35"/>
      <c r="V741" s="36"/>
      <c r="W741" s="37"/>
      <c r="X741" s="34"/>
      <c r="Y741" s="33"/>
      <c r="Z741" s="33"/>
      <c r="AA741" s="33"/>
      <c r="AB741" s="35"/>
      <c r="AC741" s="34"/>
      <c r="AD741" s="34"/>
      <c r="AE741" s="34"/>
      <c r="AF741" s="34"/>
      <c r="AG741" s="34"/>
      <c r="AH741" s="33"/>
      <c r="AI741" s="33"/>
      <c r="AJ741" s="34"/>
      <c r="AK741" s="33"/>
      <c r="AL741" s="33"/>
      <c r="AM741" s="33"/>
      <c r="AN741" s="34"/>
      <c r="AO741" s="34"/>
      <c r="AP741" s="33"/>
      <c r="AQ741" s="34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4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5"/>
      <c r="CC741" s="33"/>
      <c r="CD741" s="33"/>
      <c r="CE741" s="33"/>
      <c r="CF741" s="34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4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4"/>
      <c r="DN741" s="34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8"/>
    </row>
    <row r="742" spans="2:137" ht="13.2">
      <c r="B742" s="30" t="str">
        <f t="shared" si="24"/>
        <v/>
      </c>
      <c r="C742" s="31" t="str">
        <f t="shared" si="25"/>
        <v/>
      </c>
      <c r="D742" s="32"/>
      <c r="E742" s="33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3"/>
      <c r="R742" s="33"/>
      <c r="S742" s="33"/>
      <c r="T742" s="33"/>
      <c r="U742" s="35"/>
      <c r="V742" s="36"/>
      <c r="W742" s="37"/>
      <c r="X742" s="34"/>
      <c r="Y742" s="33"/>
      <c r="Z742" s="33"/>
      <c r="AA742" s="33"/>
      <c r="AB742" s="35"/>
      <c r="AC742" s="34"/>
      <c r="AD742" s="34"/>
      <c r="AE742" s="34"/>
      <c r="AF742" s="34"/>
      <c r="AG742" s="34"/>
      <c r="AH742" s="33"/>
      <c r="AI742" s="33"/>
      <c r="AJ742" s="34"/>
      <c r="AK742" s="33"/>
      <c r="AL742" s="33"/>
      <c r="AM742" s="33"/>
      <c r="AN742" s="34"/>
      <c r="AO742" s="34"/>
      <c r="AP742" s="33"/>
      <c r="AQ742" s="34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4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5"/>
      <c r="CC742" s="33"/>
      <c r="CD742" s="33"/>
      <c r="CE742" s="33"/>
      <c r="CF742" s="34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4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4"/>
      <c r="DN742" s="34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8"/>
    </row>
    <row r="743" spans="2:137" ht="13.2">
      <c r="B743" s="30" t="str">
        <f t="shared" si="24"/>
        <v/>
      </c>
      <c r="C743" s="31" t="str">
        <f t="shared" si="25"/>
        <v/>
      </c>
      <c r="D743" s="32"/>
      <c r="E743" s="33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3"/>
      <c r="R743" s="33"/>
      <c r="S743" s="33"/>
      <c r="T743" s="33"/>
      <c r="U743" s="35"/>
      <c r="V743" s="36"/>
      <c r="W743" s="37"/>
      <c r="X743" s="34"/>
      <c r="Y743" s="33"/>
      <c r="Z743" s="33"/>
      <c r="AA743" s="33"/>
      <c r="AB743" s="35"/>
      <c r="AC743" s="34"/>
      <c r="AD743" s="34"/>
      <c r="AE743" s="34"/>
      <c r="AF743" s="34"/>
      <c r="AG743" s="34"/>
      <c r="AH743" s="33"/>
      <c r="AI743" s="33"/>
      <c r="AJ743" s="34"/>
      <c r="AK743" s="33"/>
      <c r="AL743" s="33"/>
      <c r="AM743" s="33"/>
      <c r="AN743" s="34"/>
      <c r="AO743" s="34"/>
      <c r="AP743" s="33"/>
      <c r="AQ743" s="34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4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5"/>
      <c r="CC743" s="33"/>
      <c r="CD743" s="33"/>
      <c r="CE743" s="33"/>
      <c r="CF743" s="34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4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4"/>
      <c r="DN743" s="34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8"/>
    </row>
    <row r="744" spans="2:137" ht="13.2">
      <c r="B744" s="30" t="str">
        <f t="shared" si="24"/>
        <v/>
      </c>
      <c r="C744" s="31" t="str">
        <f t="shared" si="25"/>
        <v/>
      </c>
      <c r="D744" s="32"/>
      <c r="E744" s="33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3"/>
      <c r="R744" s="33"/>
      <c r="S744" s="33"/>
      <c r="T744" s="33"/>
      <c r="U744" s="35"/>
      <c r="V744" s="36"/>
      <c r="W744" s="37"/>
      <c r="X744" s="34"/>
      <c r="Y744" s="33"/>
      <c r="Z744" s="33"/>
      <c r="AA744" s="33"/>
      <c r="AB744" s="35"/>
      <c r="AC744" s="34"/>
      <c r="AD744" s="34"/>
      <c r="AE744" s="34"/>
      <c r="AF744" s="34"/>
      <c r="AG744" s="34"/>
      <c r="AH744" s="33"/>
      <c r="AI744" s="33"/>
      <c r="AJ744" s="34"/>
      <c r="AK744" s="33"/>
      <c r="AL744" s="33"/>
      <c r="AM744" s="33"/>
      <c r="AN744" s="34"/>
      <c r="AO744" s="34"/>
      <c r="AP744" s="33"/>
      <c r="AQ744" s="34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4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5"/>
      <c r="CC744" s="33"/>
      <c r="CD744" s="33"/>
      <c r="CE744" s="33"/>
      <c r="CF744" s="34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4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4"/>
      <c r="DN744" s="34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8"/>
    </row>
    <row r="745" spans="2:137" ht="13.2">
      <c r="B745" s="30" t="str">
        <f t="shared" si="24"/>
        <v/>
      </c>
      <c r="C745" s="31" t="str">
        <f t="shared" si="25"/>
        <v/>
      </c>
      <c r="D745" s="32"/>
      <c r="E745" s="33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3"/>
      <c r="R745" s="33"/>
      <c r="S745" s="33"/>
      <c r="T745" s="33"/>
      <c r="U745" s="35"/>
      <c r="V745" s="36"/>
      <c r="W745" s="37"/>
      <c r="X745" s="34"/>
      <c r="Y745" s="33"/>
      <c r="Z745" s="33"/>
      <c r="AA745" s="33"/>
      <c r="AB745" s="35"/>
      <c r="AC745" s="34"/>
      <c r="AD745" s="34"/>
      <c r="AE745" s="34"/>
      <c r="AF745" s="34"/>
      <c r="AG745" s="34"/>
      <c r="AH745" s="33"/>
      <c r="AI745" s="33"/>
      <c r="AJ745" s="34"/>
      <c r="AK745" s="33"/>
      <c r="AL745" s="33"/>
      <c r="AM745" s="33"/>
      <c r="AN745" s="34"/>
      <c r="AO745" s="34"/>
      <c r="AP745" s="33"/>
      <c r="AQ745" s="34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4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5"/>
      <c r="CC745" s="33"/>
      <c r="CD745" s="33"/>
      <c r="CE745" s="33"/>
      <c r="CF745" s="34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4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4"/>
      <c r="DN745" s="34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8"/>
    </row>
    <row r="746" spans="2:137" ht="13.2">
      <c r="B746" s="30" t="str">
        <f t="shared" si="24"/>
        <v/>
      </c>
      <c r="C746" s="31" t="str">
        <f t="shared" si="25"/>
        <v/>
      </c>
      <c r="D746" s="32"/>
      <c r="E746" s="33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3"/>
      <c r="R746" s="33"/>
      <c r="S746" s="33"/>
      <c r="T746" s="33"/>
      <c r="U746" s="35"/>
      <c r="V746" s="36"/>
      <c r="W746" s="37"/>
      <c r="X746" s="34"/>
      <c r="Y746" s="33"/>
      <c r="Z746" s="33"/>
      <c r="AA746" s="33"/>
      <c r="AB746" s="35"/>
      <c r="AC746" s="34"/>
      <c r="AD746" s="34"/>
      <c r="AE746" s="34"/>
      <c r="AF746" s="34"/>
      <c r="AG746" s="34"/>
      <c r="AH746" s="33"/>
      <c r="AI746" s="33"/>
      <c r="AJ746" s="34"/>
      <c r="AK746" s="33"/>
      <c r="AL746" s="33"/>
      <c r="AM746" s="33"/>
      <c r="AN746" s="34"/>
      <c r="AO746" s="34"/>
      <c r="AP746" s="33"/>
      <c r="AQ746" s="34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4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5"/>
      <c r="CC746" s="33"/>
      <c r="CD746" s="33"/>
      <c r="CE746" s="33"/>
      <c r="CF746" s="34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4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4"/>
      <c r="DN746" s="34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8"/>
    </row>
    <row r="747" spans="2:137" ht="13.2">
      <c r="B747" s="30" t="str">
        <f t="shared" si="24"/>
        <v/>
      </c>
      <c r="C747" s="31" t="str">
        <f t="shared" si="25"/>
        <v/>
      </c>
      <c r="D747" s="32"/>
      <c r="E747" s="33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3"/>
      <c r="R747" s="33"/>
      <c r="S747" s="33"/>
      <c r="T747" s="33"/>
      <c r="U747" s="35"/>
      <c r="V747" s="36"/>
      <c r="W747" s="37"/>
      <c r="X747" s="34"/>
      <c r="Y747" s="33"/>
      <c r="Z747" s="33"/>
      <c r="AA747" s="33"/>
      <c r="AB747" s="35"/>
      <c r="AC747" s="34"/>
      <c r="AD747" s="34"/>
      <c r="AE747" s="34"/>
      <c r="AF747" s="34"/>
      <c r="AG747" s="34"/>
      <c r="AH747" s="33"/>
      <c r="AI747" s="33"/>
      <c r="AJ747" s="34"/>
      <c r="AK747" s="33"/>
      <c r="AL747" s="33"/>
      <c r="AM747" s="33"/>
      <c r="AN747" s="34"/>
      <c r="AO747" s="34"/>
      <c r="AP747" s="33"/>
      <c r="AQ747" s="34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4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5"/>
      <c r="CC747" s="33"/>
      <c r="CD747" s="33"/>
      <c r="CE747" s="33"/>
      <c r="CF747" s="34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4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4"/>
      <c r="DN747" s="34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8"/>
    </row>
    <row r="748" spans="2:137" ht="13.2">
      <c r="B748" s="30" t="str">
        <f t="shared" si="24"/>
        <v/>
      </c>
      <c r="C748" s="31" t="str">
        <f t="shared" si="25"/>
        <v/>
      </c>
      <c r="D748" s="32"/>
      <c r="E748" s="33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3"/>
      <c r="R748" s="33"/>
      <c r="S748" s="33"/>
      <c r="T748" s="33"/>
      <c r="U748" s="35"/>
      <c r="V748" s="36"/>
      <c r="W748" s="37"/>
      <c r="X748" s="34"/>
      <c r="Y748" s="33"/>
      <c r="Z748" s="33"/>
      <c r="AA748" s="33"/>
      <c r="AB748" s="35"/>
      <c r="AC748" s="34"/>
      <c r="AD748" s="34"/>
      <c r="AE748" s="34"/>
      <c r="AF748" s="34"/>
      <c r="AG748" s="34"/>
      <c r="AH748" s="33"/>
      <c r="AI748" s="33"/>
      <c r="AJ748" s="34"/>
      <c r="AK748" s="33"/>
      <c r="AL748" s="33"/>
      <c r="AM748" s="33"/>
      <c r="AN748" s="34"/>
      <c r="AO748" s="34"/>
      <c r="AP748" s="33"/>
      <c r="AQ748" s="34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4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5"/>
      <c r="CC748" s="33"/>
      <c r="CD748" s="33"/>
      <c r="CE748" s="33"/>
      <c r="CF748" s="34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4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4"/>
      <c r="DN748" s="34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8"/>
    </row>
    <row r="749" spans="2:137" ht="13.2">
      <c r="B749" s="30" t="str">
        <f t="shared" si="24"/>
        <v/>
      </c>
      <c r="C749" s="31" t="str">
        <f t="shared" si="25"/>
        <v/>
      </c>
      <c r="D749" s="32"/>
      <c r="E749" s="33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3"/>
      <c r="R749" s="33"/>
      <c r="S749" s="33"/>
      <c r="T749" s="33"/>
      <c r="U749" s="35"/>
      <c r="V749" s="36"/>
      <c r="W749" s="37"/>
      <c r="X749" s="34"/>
      <c r="Y749" s="33"/>
      <c r="Z749" s="33"/>
      <c r="AA749" s="33"/>
      <c r="AB749" s="35"/>
      <c r="AC749" s="34"/>
      <c r="AD749" s="34"/>
      <c r="AE749" s="34"/>
      <c r="AF749" s="34"/>
      <c r="AG749" s="34"/>
      <c r="AH749" s="33"/>
      <c r="AI749" s="33"/>
      <c r="AJ749" s="34"/>
      <c r="AK749" s="33"/>
      <c r="AL749" s="33"/>
      <c r="AM749" s="33"/>
      <c r="AN749" s="34"/>
      <c r="AO749" s="34"/>
      <c r="AP749" s="33"/>
      <c r="AQ749" s="34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4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5"/>
      <c r="CC749" s="33"/>
      <c r="CD749" s="33"/>
      <c r="CE749" s="33"/>
      <c r="CF749" s="34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4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4"/>
      <c r="DN749" s="34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8"/>
    </row>
    <row r="750" spans="2:137" ht="13.2">
      <c r="B750" s="30" t="str">
        <f t="shared" si="24"/>
        <v/>
      </c>
      <c r="C750" s="31" t="str">
        <f t="shared" si="25"/>
        <v/>
      </c>
      <c r="D750" s="32"/>
      <c r="E750" s="33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3"/>
      <c r="R750" s="33"/>
      <c r="S750" s="33"/>
      <c r="T750" s="33"/>
      <c r="U750" s="35"/>
      <c r="V750" s="36"/>
      <c r="W750" s="37"/>
      <c r="X750" s="34"/>
      <c r="Y750" s="33"/>
      <c r="Z750" s="33"/>
      <c r="AA750" s="33"/>
      <c r="AB750" s="35"/>
      <c r="AC750" s="34"/>
      <c r="AD750" s="34"/>
      <c r="AE750" s="34"/>
      <c r="AF750" s="34"/>
      <c r="AG750" s="34"/>
      <c r="AH750" s="33"/>
      <c r="AI750" s="33"/>
      <c r="AJ750" s="34"/>
      <c r="AK750" s="33"/>
      <c r="AL750" s="33"/>
      <c r="AM750" s="33"/>
      <c r="AN750" s="34"/>
      <c r="AO750" s="34"/>
      <c r="AP750" s="33"/>
      <c r="AQ750" s="34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4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5"/>
      <c r="CC750" s="33"/>
      <c r="CD750" s="33"/>
      <c r="CE750" s="33"/>
      <c r="CF750" s="34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4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4"/>
      <c r="DN750" s="34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8"/>
    </row>
    <row r="751" spans="2:137" ht="13.2">
      <c r="B751" s="30" t="str">
        <f t="shared" si="24"/>
        <v/>
      </c>
      <c r="C751" s="31" t="str">
        <f t="shared" si="25"/>
        <v/>
      </c>
      <c r="D751" s="32"/>
      <c r="E751" s="33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3"/>
      <c r="R751" s="33"/>
      <c r="S751" s="33"/>
      <c r="T751" s="33"/>
      <c r="U751" s="35"/>
      <c r="V751" s="36"/>
      <c r="W751" s="37"/>
      <c r="X751" s="34"/>
      <c r="Y751" s="33"/>
      <c r="Z751" s="33"/>
      <c r="AA751" s="33"/>
      <c r="AB751" s="35"/>
      <c r="AC751" s="34"/>
      <c r="AD751" s="34"/>
      <c r="AE751" s="34"/>
      <c r="AF751" s="34"/>
      <c r="AG751" s="34"/>
      <c r="AH751" s="33"/>
      <c r="AI751" s="33"/>
      <c r="AJ751" s="34"/>
      <c r="AK751" s="33"/>
      <c r="AL751" s="33"/>
      <c r="AM751" s="33"/>
      <c r="AN751" s="34"/>
      <c r="AO751" s="34"/>
      <c r="AP751" s="33"/>
      <c r="AQ751" s="34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4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5"/>
      <c r="CC751" s="33"/>
      <c r="CD751" s="33"/>
      <c r="CE751" s="33"/>
      <c r="CF751" s="34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4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4"/>
      <c r="DN751" s="34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8"/>
    </row>
    <row r="752" spans="2:137" ht="13.2">
      <c r="B752" s="30" t="str">
        <f t="shared" si="24"/>
        <v/>
      </c>
      <c r="C752" s="31" t="str">
        <f t="shared" si="25"/>
        <v/>
      </c>
      <c r="D752" s="32"/>
      <c r="E752" s="33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3"/>
      <c r="R752" s="33"/>
      <c r="S752" s="33"/>
      <c r="T752" s="33"/>
      <c r="U752" s="35"/>
      <c r="V752" s="36"/>
      <c r="W752" s="37"/>
      <c r="X752" s="34"/>
      <c r="Y752" s="33"/>
      <c r="Z752" s="33"/>
      <c r="AA752" s="33"/>
      <c r="AB752" s="35"/>
      <c r="AC752" s="34"/>
      <c r="AD752" s="34"/>
      <c r="AE752" s="34"/>
      <c r="AF752" s="34"/>
      <c r="AG752" s="34"/>
      <c r="AH752" s="33"/>
      <c r="AI752" s="33"/>
      <c r="AJ752" s="34"/>
      <c r="AK752" s="33"/>
      <c r="AL752" s="33"/>
      <c r="AM752" s="33"/>
      <c r="AN752" s="34"/>
      <c r="AO752" s="34"/>
      <c r="AP752" s="33"/>
      <c r="AQ752" s="34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4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5"/>
      <c r="CC752" s="33"/>
      <c r="CD752" s="33"/>
      <c r="CE752" s="33"/>
      <c r="CF752" s="34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4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4"/>
      <c r="DN752" s="34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8"/>
    </row>
    <row r="753" spans="2:137" ht="13.2">
      <c r="B753" s="30" t="str">
        <f t="shared" si="24"/>
        <v/>
      </c>
      <c r="C753" s="31" t="str">
        <f t="shared" si="25"/>
        <v/>
      </c>
      <c r="D753" s="32"/>
      <c r="E753" s="33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3"/>
      <c r="R753" s="33"/>
      <c r="S753" s="33"/>
      <c r="T753" s="33"/>
      <c r="U753" s="35"/>
      <c r="V753" s="36"/>
      <c r="W753" s="37"/>
      <c r="X753" s="34"/>
      <c r="Y753" s="33"/>
      <c r="Z753" s="33"/>
      <c r="AA753" s="33"/>
      <c r="AB753" s="35"/>
      <c r="AC753" s="34"/>
      <c r="AD753" s="34"/>
      <c r="AE753" s="34"/>
      <c r="AF753" s="34"/>
      <c r="AG753" s="34"/>
      <c r="AH753" s="33"/>
      <c r="AI753" s="33"/>
      <c r="AJ753" s="34"/>
      <c r="AK753" s="33"/>
      <c r="AL753" s="33"/>
      <c r="AM753" s="33"/>
      <c r="AN753" s="34"/>
      <c r="AO753" s="34"/>
      <c r="AP753" s="33"/>
      <c r="AQ753" s="34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4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5"/>
      <c r="CC753" s="33"/>
      <c r="CD753" s="33"/>
      <c r="CE753" s="33"/>
      <c r="CF753" s="34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4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4"/>
      <c r="DN753" s="34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8"/>
    </row>
    <row r="754" spans="2:137" ht="13.2">
      <c r="B754" s="30" t="str">
        <f t="shared" si="24"/>
        <v/>
      </c>
      <c r="C754" s="31" t="str">
        <f t="shared" si="25"/>
        <v/>
      </c>
      <c r="D754" s="32"/>
      <c r="E754" s="33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3"/>
      <c r="R754" s="33"/>
      <c r="S754" s="33"/>
      <c r="T754" s="33"/>
      <c r="U754" s="35"/>
      <c r="V754" s="36"/>
      <c r="W754" s="37"/>
      <c r="X754" s="34"/>
      <c r="Y754" s="33"/>
      <c r="Z754" s="33"/>
      <c r="AA754" s="33"/>
      <c r="AB754" s="35"/>
      <c r="AC754" s="34"/>
      <c r="AD754" s="34"/>
      <c r="AE754" s="34"/>
      <c r="AF754" s="34"/>
      <c r="AG754" s="34"/>
      <c r="AH754" s="33"/>
      <c r="AI754" s="33"/>
      <c r="AJ754" s="34"/>
      <c r="AK754" s="33"/>
      <c r="AL754" s="33"/>
      <c r="AM754" s="33"/>
      <c r="AN754" s="34"/>
      <c r="AO754" s="34"/>
      <c r="AP754" s="33"/>
      <c r="AQ754" s="34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4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5"/>
      <c r="CC754" s="33"/>
      <c r="CD754" s="33"/>
      <c r="CE754" s="33"/>
      <c r="CF754" s="34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4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4"/>
      <c r="DN754" s="34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8"/>
    </row>
    <row r="755" spans="2:137" ht="13.2">
      <c r="B755" s="30" t="str">
        <f t="shared" si="24"/>
        <v/>
      </c>
      <c r="C755" s="31" t="str">
        <f t="shared" si="25"/>
        <v/>
      </c>
      <c r="D755" s="32"/>
      <c r="E755" s="33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3"/>
      <c r="R755" s="33"/>
      <c r="S755" s="33"/>
      <c r="T755" s="33"/>
      <c r="U755" s="35"/>
      <c r="V755" s="36"/>
      <c r="W755" s="37"/>
      <c r="X755" s="34"/>
      <c r="Y755" s="33"/>
      <c r="Z755" s="33"/>
      <c r="AA755" s="33"/>
      <c r="AB755" s="35"/>
      <c r="AC755" s="34"/>
      <c r="AD755" s="34"/>
      <c r="AE755" s="34"/>
      <c r="AF755" s="34"/>
      <c r="AG755" s="34"/>
      <c r="AH755" s="33"/>
      <c r="AI755" s="33"/>
      <c r="AJ755" s="34"/>
      <c r="AK755" s="33"/>
      <c r="AL755" s="33"/>
      <c r="AM755" s="33"/>
      <c r="AN755" s="34"/>
      <c r="AO755" s="34"/>
      <c r="AP755" s="33"/>
      <c r="AQ755" s="34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4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5"/>
      <c r="CC755" s="33"/>
      <c r="CD755" s="33"/>
      <c r="CE755" s="33"/>
      <c r="CF755" s="34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4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4"/>
      <c r="DN755" s="34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8"/>
    </row>
    <row r="756" spans="2:137" ht="13.2">
      <c r="B756" s="30" t="str">
        <f t="shared" si="24"/>
        <v/>
      </c>
      <c r="C756" s="31" t="str">
        <f t="shared" si="25"/>
        <v/>
      </c>
      <c r="D756" s="32"/>
      <c r="E756" s="33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3"/>
      <c r="R756" s="33"/>
      <c r="S756" s="33"/>
      <c r="T756" s="33"/>
      <c r="U756" s="35"/>
      <c r="V756" s="36"/>
      <c r="W756" s="37"/>
      <c r="X756" s="34"/>
      <c r="Y756" s="33"/>
      <c r="Z756" s="33"/>
      <c r="AA756" s="33"/>
      <c r="AB756" s="35"/>
      <c r="AC756" s="34"/>
      <c r="AD756" s="34"/>
      <c r="AE756" s="34"/>
      <c r="AF756" s="34"/>
      <c r="AG756" s="34"/>
      <c r="AH756" s="33"/>
      <c r="AI756" s="33"/>
      <c r="AJ756" s="34"/>
      <c r="AK756" s="33"/>
      <c r="AL756" s="33"/>
      <c r="AM756" s="33"/>
      <c r="AN756" s="34"/>
      <c r="AO756" s="34"/>
      <c r="AP756" s="33"/>
      <c r="AQ756" s="34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4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5"/>
      <c r="CC756" s="33"/>
      <c r="CD756" s="33"/>
      <c r="CE756" s="33"/>
      <c r="CF756" s="34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4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4"/>
      <c r="DN756" s="34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8"/>
    </row>
    <row r="757" spans="2:137" ht="13.2">
      <c r="B757" s="30" t="str">
        <f t="shared" si="24"/>
        <v/>
      </c>
      <c r="C757" s="31" t="str">
        <f t="shared" si="25"/>
        <v/>
      </c>
      <c r="D757" s="32"/>
      <c r="E757" s="33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3"/>
      <c r="R757" s="33"/>
      <c r="S757" s="33"/>
      <c r="T757" s="33"/>
      <c r="U757" s="35"/>
      <c r="V757" s="36"/>
      <c r="W757" s="37"/>
      <c r="X757" s="34"/>
      <c r="Y757" s="33"/>
      <c r="Z757" s="33"/>
      <c r="AA757" s="33"/>
      <c r="AB757" s="35"/>
      <c r="AC757" s="34"/>
      <c r="AD757" s="34"/>
      <c r="AE757" s="34"/>
      <c r="AF757" s="34"/>
      <c r="AG757" s="34"/>
      <c r="AH757" s="33"/>
      <c r="AI757" s="33"/>
      <c r="AJ757" s="34"/>
      <c r="AK757" s="33"/>
      <c r="AL757" s="33"/>
      <c r="AM757" s="33"/>
      <c r="AN757" s="34"/>
      <c r="AO757" s="34"/>
      <c r="AP757" s="33"/>
      <c r="AQ757" s="34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4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5"/>
      <c r="CC757" s="33"/>
      <c r="CD757" s="33"/>
      <c r="CE757" s="33"/>
      <c r="CF757" s="34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4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4"/>
      <c r="DN757" s="34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8"/>
    </row>
    <row r="758" spans="2:137" ht="13.2">
      <c r="B758" s="30" t="str">
        <f t="shared" si="24"/>
        <v/>
      </c>
      <c r="C758" s="31" t="str">
        <f t="shared" si="25"/>
        <v/>
      </c>
      <c r="D758" s="32"/>
      <c r="E758" s="33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3"/>
      <c r="R758" s="33"/>
      <c r="S758" s="33"/>
      <c r="T758" s="33"/>
      <c r="U758" s="35"/>
      <c r="V758" s="36"/>
      <c r="W758" s="37"/>
      <c r="X758" s="34"/>
      <c r="Y758" s="33"/>
      <c r="Z758" s="33"/>
      <c r="AA758" s="33"/>
      <c r="AB758" s="35"/>
      <c r="AC758" s="34"/>
      <c r="AD758" s="34"/>
      <c r="AE758" s="34"/>
      <c r="AF758" s="34"/>
      <c r="AG758" s="34"/>
      <c r="AH758" s="33"/>
      <c r="AI758" s="33"/>
      <c r="AJ758" s="34"/>
      <c r="AK758" s="33"/>
      <c r="AL758" s="33"/>
      <c r="AM758" s="33"/>
      <c r="AN758" s="34"/>
      <c r="AO758" s="34"/>
      <c r="AP758" s="33"/>
      <c r="AQ758" s="34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4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5"/>
      <c r="CC758" s="33"/>
      <c r="CD758" s="33"/>
      <c r="CE758" s="33"/>
      <c r="CF758" s="34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4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4"/>
      <c r="DN758" s="34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8"/>
    </row>
    <row r="759" spans="2:137" ht="13.2">
      <c r="B759" s="30" t="str">
        <f t="shared" si="24"/>
        <v/>
      </c>
      <c r="C759" s="31" t="str">
        <f t="shared" si="25"/>
        <v/>
      </c>
      <c r="D759" s="32"/>
      <c r="E759" s="33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3"/>
      <c r="R759" s="33"/>
      <c r="S759" s="33"/>
      <c r="T759" s="33"/>
      <c r="U759" s="35"/>
      <c r="V759" s="36"/>
      <c r="W759" s="37"/>
      <c r="X759" s="34"/>
      <c r="Y759" s="33"/>
      <c r="Z759" s="33"/>
      <c r="AA759" s="33"/>
      <c r="AB759" s="35"/>
      <c r="AC759" s="34"/>
      <c r="AD759" s="34"/>
      <c r="AE759" s="34"/>
      <c r="AF759" s="34"/>
      <c r="AG759" s="34"/>
      <c r="AH759" s="33"/>
      <c r="AI759" s="33"/>
      <c r="AJ759" s="34"/>
      <c r="AK759" s="33"/>
      <c r="AL759" s="33"/>
      <c r="AM759" s="33"/>
      <c r="AN759" s="34"/>
      <c r="AO759" s="34"/>
      <c r="AP759" s="33"/>
      <c r="AQ759" s="34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4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5"/>
      <c r="CC759" s="33"/>
      <c r="CD759" s="33"/>
      <c r="CE759" s="33"/>
      <c r="CF759" s="34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4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4"/>
      <c r="DN759" s="34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8"/>
    </row>
    <row r="760" spans="2:137" ht="13.2">
      <c r="B760" s="30" t="str">
        <f t="shared" si="24"/>
        <v/>
      </c>
      <c r="C760" s="31" t="str">
        <f t="shared" si="25"/>
        <v/>
      </c>
      <c r="D760" s="32"/>
      <c r="E760" s="33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3"/>
      <c r="R760" s="33"/>
      <c r="S760" s="33"/>
      <c r="T760" s="33"/>
      <c r="U760" s="35"/>
      <c r="V760" s="36"/>
      <c r="W760" s="37"/>
      <c r="X760" s="34"/>
      <c r="Y760" s="33"/>
      <c r="Z760" s="33"/>
      <c r="AA760" s="33"/>
      <c r="AB760" s="35"/>
      <c r="AC760" s="34"/>
      <c r="AD760" s="34"/>
      <c r="AE760" s="34"/>
      <c r="AF760" s="34"/>
      <c r="AG760" s="34"/>
      <c r="AH760" s="33"/>
      <c r="AI760" s="33"/>
      <c r="AJ760" s="34"/>
      <c r="AK760" s="33"/>
      <c r="AL760" s="33"/>
      <c r="AM760" s="33"/>
      <c r="AN760" s="34"/>
      <c r="AO760" s="34"/>
      <c r="AP760" s="33"/>
      <c r="AQ760" s="34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4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5"/>
      <c r="CC760" s="33"/>
      <c r="CD760" s="33"/>
      <c r="CE760" s="33"/>
      <c r="CF760" s="34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4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4"/>
      <c r="DN760" s="34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8"/>
    </row>
    <row r="761" spans="2:137" ht="13.2">
      <c r="B761" s="30" t="str">
        <f t="shared" si="24"/>
        <v/>
      </c>
      <c r="C761" s="31" t="str">
        <f t="shared" si="25"/>
        <v/>
      </c>
      <c r="D761" s="32"/>
      <c r="E761" s="33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3"/>
      <c r="R761" s="33"/>
      <c r="S761" s="33"/>
      <c r="T761" s="33"/>
      <c r="U761" s="35"/>
      <c r="V761" s="36"/>
      <c r="W761" s="37"/>
      <c r="X761" s="34"/>
      <c r="Y761" s="33"/>
      <c r="Z761" s="33"/>
      <c r="AA761" s="33"/>
      <c r="AB761" s="35"/>
      <c r="AC761" s="34"/>
      <c r="AD761" s="34"/>
      <c r="AE761" s="34"/>
      <c r="AF761" s="34"/>
      <c r="AG761" s="34"/>
      <c r="AH761" s="33"/>
      <c r="AI761" s="33"/>
      <c r="AJ761" s="34"/>
      <c r="AK761" s="33"/>
      <c r="AL761" s="33"/>
      <c r="AM761" s="33"/>
      <c r="AN761" s="34"/>
      <c r="AO761" s="34"/>
      <c r="AP761" s="33"/>
      <c r="AQ761" s="34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4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5"/>
      <c r="CC761" s="33"/>
      <c r="CD761" s="33"/>
      <c r="CE761" s="33"/>
      <c r="CF761" s="34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4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4"/>
      <c r="DN761" s="34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8"/>
    </row>
    <row r="762" spans="2:137" ht="13.2">
      <c r="B762" s="30" t="str">
        <f t="shared" si="24"/>
        <v/>
      </c>
      <c r="C762" s="31" t="str">
        <f t="shared" si="25"/>
        <v/>
      </c>
      <c r="D762" s="32"/>
      <c r="E762" s="33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3"/>
      <c r="R762" s="33"/>
      <c r="S762" s="33"/>
      <c r="T762" s="33"/>
      <c r="U762" s="35"/>
      <c r="V762" s="36"/>
      <c r="W762" s="37"/>
      <c r="X762" s="34"/>
      <c r="Y762" s="33"/>
      <c r="Z762" s="33"/>
      <c r="AA762" s="33"/>
      <c r="AB762" s="35"/>
      <c r="AC762" s="34"/>
      <c r="AD762" s="34"/>
      <c r="AE762" s="34"/>
      <c r="AF762" s="34"/>
      <c r="AG762" s="34"/>
      <c r="AH762" s="33"/>
      <c r="AI762" s="33"/>
      <c r="AJ762" s="34"/>
      <c r="AK762" s="33"/>
      <c r="AL762" s="33"/>
      <c r="AM762" s="33"/>
      <c r="AN762" s="34"/>
      <c r="AO762" s="34"/>
      <c r="AP762" s="33"/>
      <c r="AQ762" s="34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4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5"/>
      <c r="CC762" s="33"/>
      <c r="CD762" s="33"/>
      <c r="CE762" s="33"/>
      <c r="CF762" s="34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4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4"/>
      <c r="DN762" s="34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8"/>
    </row>
    <row r="763" spans="2:137" ht="13.2">
      <c r="B763" s="30" t="str">
        <f t="shared" si="24"/>
        <v/>
      </c>
      <c r="C763" s="31" t="str">
        <f t="shared" si="25"/>
        <v/>
      </c>
      <c r="D763" s="32"/>
      <c r="E763" s="33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3"/>
      <c r="R763" s="33"/>
      <c r="S763" s="33"/>
      <c r="T763" s="33"/>
      <c r="U763" s="35"/>
      <c r="V763" s="36"/>
      <c r="W763" s="37"/>
      <c r="X763" s="34"/>
      <c r="Y763" s="33"/>
      <c r="Z763" s="33"/>
      <c r="AA763" s="33"/>
      <c r="AB763" s="35"/>
      <c r="AC763" s="34"/>
      <c r="AD763" s="34"/>
      <c r="AE763" s="34"/>
      <c r="AF763" s="34"/>
      <c r="AG763" s="34"/>
      <c r="AH763" s="33"/>
      <c r="AI763" s="33"/>
      <c r="AJ763" s="34"/>
      <c r="AK763" s="33"/>
      <c r="AL763" s="33"/>
      <c r="AM763" s="33"/>
      <c r="AN763" s="34"/>
      <c r="AO763" s="34"/>
      <c r="AP763" s="33"/>
      <c r="AQ763" s="34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4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5"/>
      <c r="CC763" s="33"/>
      <c r="CD763" s="33"/>
      <c r="CE763" s="33"/>
      <c r="CF763" s="34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4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4"/>
      <c r="DN763" s="34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8"/>
    </row>
    <row r="764" spans="2:137" ht="13.2">
      <c r="B764" s="30" t="str">
        <f t="shared" si="24"/>
        <v/>
      </c>
      <c r="C764" s="31" t="str">
        <f t="shared" si="25"/>
        <v/>
      </c>
      <c r="D764" s="32"/>
      <c r="E764" s="33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3"/>
      <c r="R764" s="33"/>
      <c r="S764" s="33"/>
      <c r="T764" s="33"/>
      <c r="U764" s="35"/>
      <c r="V764" s="36"/>
      <c r="W764" s="37"/>
      <c r="X764" s="34"/>
      <c r="Y764" s="33"/>
      <c r="Z764" s="33"/>
      <c r="AA764" s="33"/>
      <c r="AB764" s="35"/>
      <c r="AC764" s="34"/>
      <c r="AD764" s="34"/>
      <c r="AE764" s="34"/>
      <c r="AF764" s="34"/>
      <c r="AG764" s="34"/>
      <c r="AH764" s="33"/>
      <c r="AI764" s="33"/>
      <c r="AJ764" s="34"/>
      <c r="AK764" s="33"/>
      <c r="AL764" s="33"/>
      <c r="AM764" s="33"/>
      <c r="AN764" s="34"/>
      <c r="AO764" s="34"/>
      <c r="AP764" s="33"/>
      <c r="AQ764" s="34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4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5"/>
      <c r="CC764" s="33"/>
      <c r="CD764" s="33"/>
      <c r="CE764" s="33"/>
      <c r="CF764" s="34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4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4"/>
      <c r="DN764" s="34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8"/>
    </row>
    <row r="765" spans="2:137" ht="13.2">
      <c r="B765" s="30" t="str">
        <f t="shared" si="24"/>
        <v/>
      </c>
      <c r="C765" s="31" t="str">
        <f t="shared" si="25"/>
        <v/>
      </c>
      <c r="D765" s="32"/>
      <c r="E765" s="33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3"/>
      <c r="R765" s="33"/>
      <c r="S765" s="33"/>
      <c r="T765" s="33"/>
      <c r="U765" s="35"/>
      <c r="V765" s="36"/>
      <c r="W765" s="37"/>
      <c r="X765" s="34"/>
      <c r="Y765" s="33"/>
      <c r="Z765" s="33"/>
      <c r="AA765" s="33"/>
      <c r="AB765" s="35"/>
      <c r="AC765" s="34"/>
      <c r="AD765" s="34"/>
      <c r="AE765" s="34"/>
      <c r="AF765" s="34"/>
      <c r="AG765" s="34"/>
      <c r="AH765" s="33"/>
      <c r="AI765" s="33"/>
      <c r="AJ765" s="34"/>
      <c r="AK765" s="33"/>
      <c r="AL765" s="33"/>
      <c r="AM765" s="33"/>
      <c r="AN765" s="34"/>
      <c r="AO765" s="34"/>
      <c r="AP765" s="33"/>
      <c r="AQ765" s="34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4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5"/>
      <c r="CC765" s="33"/>
      <c r="CD765" s="33"/>
      <c r="CE765" s="33"/>
      <c r="CF765" s="34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4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4"/>
      <c r="DN765" s="34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8"/>
    </row>
    <row r="766" spans="2:137" ht="13.2">
      <c r="B766" s="30" t="str">
        <f t="shared" si="24"/>
        <v/>
      </c>
      <c r="C766" s="31" t="str">
        <f t="shared" si="25"/>
        <v/>
      </c>
      <c r="D766" s="32"/>
      <c r="E766" s="33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3"/>
      <c r="R766" s="33"/>
      <c r="S766" s="33"/>
      <c r="T766" s="33"/>
      <c r="U766" s="35"/>
      <c r="V766" s="36"/>
      <c r="W766" s="37"/>
      <c r="X766" s="34"/>
      <c r="Y766" s="33"/>
      <c r="Z766" s="33"/>
      <c r="AA766" s="33"/>
      <c r="AB766" s="35"/>
      <c r="AC766" s="34"/>
      <c r="AD766" s="34"/>
      <c r="AE766" s="34"/>
      <c r="AF766" s="34"/>
      <c r="AG766" s="34"/>
      <c r="AH766" s="33"/>
      <c r="AI766" s="33"/>
      <c r="AJ766" s="34"/>
      <c r="AK766" s="33"/>
      <c r="AL766" s="33"/>
      <c r="AM766" s="33"/>
      <c r="AN766" s="34"/>
      <c r="AO766" s="34"/>
      <c r="AP766" s="33"/>
      <c r="AQ766" s="34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4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5"/>
      <c r="CC766" s="33"/>
      <c r="CD766" s="33"/>
      <c r="CE766" s="33"/>
      <c r="CF766" s="34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4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4"/>
      <c r="DN766" s="34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8"/>
    </row>
    <row r="767" spans="2:137" ht="13.2">
      <c r="B767" s="30" t="str">
        <f t="shared" si="24"/>
        <v/>
      </c>
      <c r="C767" s="31" t="str">
        <f t="shared" si="25"/>
        <v/>
      </c>
      <c r="D767" s="32"/>
      <c r="E767" s="33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3"/>
      <c r="R767" s="33"/>
      <c r="S767" s="33"/>
      <c r="T767" s="33"/>
      <c r="U767" s="35"/>
      <c r="V767" s="36"/>
      <c r="W767" s="37"/>
      <c r="X767" s="34"/>
      <c r="Y767" s="33"/>
      <c r="Z767" s="33"/>
      <c r="AA767" s="33"/>
      <c r="AB767" s="35"/>
      <c r="AC767" s="34"/>
      <c r="AD767" s="34"/>
      <c r="AE767" s="34"/>
      <c r="AF767" s="34"/>
      <c r="AG767" s="34"/>
      <c r="AH767" s="33"/>
      <c r="AI767" s="33"/>
      <c r="AJ767" s="34"/>
      <c r="AK767" s="33"/>
      <c r="AL767" s="33"/>
      <c r="AM767" s="33"/>
      <c r="AN767" s="34"/>
      <c r="AO767" s="34"/>
      <c r="AP767" s="33"/>
      <c r="AQ767" s="34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4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5"/>
      <c r="CC767" s="33"/>
      <c r="CD767" s="33"/>
      <c r="CE767" s="33"/>
      <c r="CF767" s="34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4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4"/>
      <c r="DN767" s="34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8"/>
    </row>
    <row r="768" spans="2:137" ht="13.2">
      <c r="B768" s="30" t="str">
        <f t="shared" si="24"/>
        <v/>
      </c>
      <c r="C768" s="31" t="str">
        <f t="shared" si="25"/>
        <v/>
      </c>
      <c r="D768" s="32"/>
      <c r="E768" s="33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3"/>
      <c r="R768" s="33"/>
      <c r="S768" s="33"/>
      <c r="T768" s="33"/>
      <c r="U768" s="35"/>
      <c r="V768" s="36"/>
      <c r="W768" s="37"/>
      <c r="X768" s="34"/>
      <c r="Y768" s="33"/>
      <c r="Z768" s="33"/>
      <c r="AA768" s="33"/>
      <c r="AB768" s="35"/>
      <c r="AC768" s="34"/>
      <c r="AD768" s="34"/>
      <c r="AE768" s="34"/>
      <c r="AF768" s="34"/>
      <c r="AG768" s="34"/>
      <c r="AH768" s="33"/>
      <c r="AI768" s="33"/>
      <c r="AJ768" s="34"/>
      <c r="AK768" s="33"/>
      <c r="AL768" s="33"/>
      <c r="AM768" s="33"/>
      <c r="AN768" s="34"/>
      <c r="AO768" s="34"/>
      <c r="AP768" s="33"/>
      <c r="AQ768" s="34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4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5"/>
      <c r="CC768" s="33"/>
      <c r="CD768" s="33"/>
      <c r="CE768" s="33"/>
      <c r="CF768" s="34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4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4"/>
      <c r="DN768" s="34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8"/>
    </row>
    <row r="769" spans="2:137" ht="13.2">
      <c r="B769" s="30" t="str">
        <f t="shared" si="24"/>
        <v/>
      </c>
      <c r="C769" s="31" t="str">
        <f t="shared" si="25"/>
        <v/>
      </c>
      <c r="D769" s="32"/>
      <c r="E769" s="33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3"/>
      <c r="R769" s="33"/>
      <c r="S769" s="33"/>
      <c r="T769" s="33"/>
      <c r="U769" s="35"/>
      <c r="V769" s="36"/>
      <c r="W769" s="37"/>
      <c r="X769" s="34"/>
      <c r="Y769" s="33"/>
      <c r="Z769" s="33"/>
      <c r="AA769" s="33"/>
      <c r="AB769" s="35"/>
      <c r="AC769" s="34"/>
      <c r="AD769" s="34"/>
      <c r="AE769" s="34"/>
      <c r="AF769" s="34"/>
      <c r="AG769" s="34"/>
      <c r="AH769" s="33"/>
      <c r="AI769" s="33"/>
      <c r="AJ769" s="34"/>
      <c r="AK769" s="33"/>
      <c r="AL769" s="33"/>
      <c r="AM769" s="33"/>
      <c r="AN769" s="34"/>
      <c r="AO769" s="34"/>
      <c r="AP769" s="33"/>
      <c r="AQ769" s="34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4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5"/>
      <c r="CC769" s="33"/>
      <c r="CD769" s="33"/>
      <c r="CE769" s="33"/>
      <c r="CF769" s="34"/>
      <c r="CG769" s="33"/>
      <c r="CH769" s="33"/>
      <c r="CI769" s="33"/>
      <c r="CJ769" s="33"/>
      <c r="CK769" s="33"/>
      <c r="CL769" s="33"/>
      <c r="CM769" s="33"/>
      <c r="CN769" s="33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4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4"/>
      <c r="DN769" s="34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8"/>
    </row>
    <row r="770" spans="2:137" ht="13.2">
      <c r="B770" s="30" t="str">
        <f t="shared" si="24"/>
        <v/>
      </c>
      <c r="C770" s="31" t="str">
        <f t="shared" si="25"/>
        <v/>
      </c>
      <c r="D770" s="32"/>
      <c r="E770" s="33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3"/>
      <c r="R770" s="33"/>
      <c r="S770" s="33"/>
      <c r="T770" s="33"/>
      <c r="U770" s="35"/>
      <c r="V770" s="36"/>
      <c r="W770" s="37"/>
      <c r="X770" s="34"/>
      <c r="Y770" s="33"/>
      <c r="Z770" s="33"/>
      <c r="AA770" s="33"/>
      <c r="AB770" s="35"/>
      <c r="AC770" s="34"/>
      <c r="AD770" s="34"/>
      <c r="AE770" s="34"/>
      <c r="AF770" s="34"/>
      <c r="AG770" s="34"/>
      <c r="AH770" s="33"/>
      <c r="AI770" s="33"/>
      <c r="AJ770" s="34"/>
      <c r="AK770" s="33"/>
      <c r="AL770" s="33"/>
      <c r="AM770" s="33"/>
      <c r="AN770" s="34"/>
      <c r="AO770" s="34"/>
      <c r="AP770" s="33"/>
      <c r="AQ770" s="34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4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5"/>
      <c r="CC770" s="33"/>
      <c r="CD770" s="33"/>
      <c r="CE770" s="33"/>
      <c r="CF770" s="34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4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4"/>
      <c r="DN770" s="34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8"/>
    </row>
    <row r="771" spans="2:137" ht="13.2">
      <c r="B771" s="30" t="str">
        <f t="shared" si="24"/>
        <v/>
      </c>
      <c r="C771" s="31" t="str">
        <f t="shared" si="25"/>
        <v/>
      </c>
      <c r="D771" s="32"/>
      <c r="E771" s="33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3"/>
      <c r="R771" s="33"/>
      <c r="S771" s="33"/>
      <c r="T771" s="33"/>
      <c r="U771" s="35"/>
      <c r="V771" s="36"/>
      <c r="W771" s="37"/>
      <c r="X771" s="34"/>
      <c r="Y771" s="33"/>
      <c r="Z771" s="33"/>
      <c r="AA771" s="33"/>
      <c r="AB771" s="35"/>
      <c r="AC771" s="34"/>
      <c r="AD771" s="34"/>
      <c r="AE771" s="34"/>
      <c r="AF771" s="34"/>
      <c r="AG771" s="34"/>
      <c r="AH771" s="33"/>
      <c r="AI771" s="33"/>
      <c r="AJ771" s="34"/>
      <c r="AK771" s="33"/>
      <c r="AL771" s="33"/>
      <c r="AM771" s="33"/>
      <c r="AN771" s="34"/>
      <c r="AO771" s="34"/>
      <c r="AP771" s="33"/>
      <c r="AQ771" s="34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4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5"/>
      <c r="CC771" s="33"/>
      <c r="CD771" s="33"/>
      <c r="CE771" s="33"/>
      <c r="CF771" s="34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4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4"/>
      <c r="DN771" s="34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8"/>
    </row>
    <row r="772" spans="2:137" ht="13.2">
      <c r="B772" s="30" t="str">
        <f t="shared" si="24"/>
        <v/>
      </c>
      <c r="C772" s="31" t="str">
        <f t="shared" ref="C772:C835" si="26">IF(SUM(E772:EG772)=0,"",SUM(E772:EG772))</f>
        <v/>
      </c>
      <c r="D772" s="32"/>
      <c r="E772" s="33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3"/>
      <c r="R772" s="33"/>
      <c r="S772" s="33"/>
      <c r="T772" s="33"/>
      <c r="U772" s="35"/>
      <c r="V772" s="36"/>
      <c r="W772" s="37"/>
      <c r="X772" s="34"/>
      <c r="Y772" s="33"/>
      <c r="Z772" s="33"/>
      <c r="AA772" s="33"/>
      <c r="AB772" s="35"/>
      <c r="AC772" s="34"/>
      <c r="AD772" s="34"/>
      <c r="AE772" s="34"/>
      <c r="AF772" s="34"/>
      <c r="AG772" s="34"/>
      <c r="AH772" s="33"/>
      <c r="AI772" s="33"/>
      <c r="AJ772" s="34"/>
      <c r="AK772" s="33"/>
      <c r="AL772" s="33"/>
      <c r="AM772" s="33"/>
      <c r="AN772" s="34"/>
      <c r="AO772" s="34"/>
      <c r="AP772" s="33"/>
      <c r="AQ772" s="34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4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5"/>
      <c r="CC772" s="33"/>
      <c r="CD772" s="33"/>
      <c r="CE772" s="33"/>
      <c r="CF772" s="34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4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4"/>
      <c r="DN772" s="34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8"/>
    </row>
    <row r="773" spans="2:137" ht="13.2">
      <c r="B773" s="30" t="str">
        <f t="shared" si="24"/>
        <v/>
      </c>
      <c r="C773" s="31" t="str">
        <f t="shared" si="26"/>
        <v/>
      </c>
      <c r="D773" s="32"/>
      <c r="E773" s="33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3"/>
      <c r="R773" s="33"/>
      <c r="S773" s="33"/>
      <c r="T773" s="33"/>
      <c r="U773" s="35"/>
      <c r="V773" s="36"/>
      <c r="W773" s="37"/>
      <c r="X773" s="34"/>
      <c r="Y773" s="33"/>
      <c r="Z773" s="33"/>
      <c r="AA773" s="33"/>
      <c r="AB773" s="35"/>
      <c r="AC773" s="34"/>
      <c r="AD773" s="34"/>
      <c r="AE773" s="34"/>
      <c r="AF773" s="34"/>
      <c r="AG773" s="34"/>
      <c r="AH773" s="33"/>
      <c r="AI773" s="33"/>
      <c r="AJ773" s="34"/>
      <c r="AK773" s="33"/>
      <c r="AL773" s="33"/>
      <c r="AM773" s="33"/>
      <c r="AN773" s="34"/>
      <c r="AO773" s="34"/>
      <c r="AP773" s="33"/>
      <c r="AQ773" s="34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4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5"/>
      <c r="CC773" s="33"/>
      <c r="CD773" s="33"/>
      <c r="CE773" s="33"/>
      <c r="CF773" s="34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4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4"/>
      <c r="DN773" s="34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8"/>
    </row>
    <row r="774" spans="2:137" ht="13.2">
      <c r="B774" s="30" t="str">
        <f t="shared" si="24"/>
        <v/>
      </c>
      <c r="C774" s="31" t="str">
        <f t="shared" si="26"/>
        <v/>
      </c>
      <c r="D774" s="32"/>
      <c r="E774" s="33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3"/>
      <c r="R774" s="33"/>
      <c r="S774" s="33"/>
      <c r="T774" s="33"/>
      <c r="U774" s="35"/>
      <c r="V774" s="36"/>
      <c r="W774" s="37"/>
      <c r="X774" s="34"/>
      <c r="Y774" s="33"/>
      <c r="Z774" s="33"/>
      <c r="AA774" s="33"/>
      <c r="AB774" s="35"/>
      <c r="AC774" s="34"/>
      <c r="AD774" s="34"/>
      <c r="AE774" s="34"/>
      <c r="AF774" s="34"/>
      <c r="AG774" s="34"/>
      <c r="AH774" s="33"/>
      <c r="AI774" s="33"/>
      <c r="AJ774" s="34"/>
      <c r="AK774" s="33"/>
      <c r="AL774" s="33"/>
      <c r="AM774" s="33"/>
      <c r="AN774" s="34"/>
      <c r="AO774" s="34"/>
      <c r="AP774" s="33"/>
      <c r="AQ774" s="34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4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5"/>
      <c r="CC774" s="33"/>
      <c r="CD774" s="33"/>
      <c r="CE774" s="33"/>
      <c r="CF774" s="34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4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4"/>
      <c r="DN774" s="34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8"/>
    </row>
    <row r="775" spans="2:137" ht="13.2">
      <c r="B775" s="30" t="str">
        <f t="shared" si="24"/>
        <v/>
      </c>
      <c r="C775" s="31" t="str">
        <f t="shared" si="26"/>
        <v/>
      </c>
      <c r="D775" s="32"/>
      <c r="E775" s="33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3"/>
      <c r="R775" s="33"/>
      <c r="S775" s="33"/>
      <c r="T775" s="33"/>
      <c r="U775" s="35"/>
      <c r="V775" s="36"/>
      <c r="W775" s="37"/>
      <c r="X775" s="34"/>
      <c r="Y775" s="33"/>
      <c r="Z775" s="33"/>
      <c r="AA775" s="33"/>
      <c r="AB775" s="35"/>
      <c r="AC775" s="34"/>
      <c r="AD775" s="34"/>
      <c r="AE775" s="34"/>
      <c r="AF775" s="34"/>
      <c r="AG775" s="34"/>
      <c r="AH775" s="33"/>
      <c r="AI775" s="33"/>
      <c r="AJ775" s="34"/>
      <c r="AK775" s="33"/>
      <c r="AL775" s="33"/>
      <c r="AM775" s="33"/>
      <c r="AN775" s="34"/>
      <c r="AO775" s="34"/>
      <c r="AP775" s="33"/>
      <c r="AQ775" s="34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4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5"/>
      <c r="CC775" s="33"/>
      <c r="CD775" s="33"/>
      <c r="CE775" s="33"/>
      <c r="CF775" s="34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4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4"/>
      <c r="DN775" s="34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8"/>
    </row>
    <row r="776" spans="2:137" ht="13.2">
      <c r="B776" s="30" t="str">
        <f t="shared" si="24"/>
        <v/>
      </c>
      <c r="C776" s="31" t="str">
        <f t="shared" si="26"/>
        <v/>
      </c>
      <c r="D776" s="32"/>
      <c r="E776" s="33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3"/>
      <c r="R776" s="33"/>
      <c r="S776" s="33"/>
      <c r="T776" s="33"/>
      <c r="U776" s="35"/>
      <c r="V776" s="36"/>
      <c r="W776" s="37"/>
      <c r="X776" s="34"/>
      <c r="Y776" s="33"/>
      <c r="Z776" s="33"/>
      <c r="AA776" s="33"/>
      <c r="AB776" s="35"/>
      <c r="AC776" s="34"/>
      <c r="AD776" s="34"/>
      <c r="AE776" s="34"/>
      <c r="AF776" s="34"/>
      <c r="AG776" s="34"/>
      <c r="AH776" s="33"/>
      <c r="AI776" s="33"/>
      <c r="AJ776" s="34"/>
      <c r="AK776" s="33"/>
      <c r="AL776" s="33"/>
      <c r="AM776" s="33"/>
      <c r="AN776" s="34"/>
      <c r="AO776" s="34"/>
      <c r="AP776" s="33"/>
      <c r="AQ776" s="34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4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5"/>
      <c r="CC776" s="33"/>
      <c r="CD776" s="33"/>
      <c r="CE776" s="33"/>
      <c r="CF776" s="34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4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4"/>
      <c r="DN776" s="34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8"/>
    </row>
    <row r="777" spans="2:137" ht="13.2">
      <c r="B777" s="30" t="str">
        <f t="shared" si="24"/>
        <v/>
      </c>
      <c r="C777" s="31" t="str">
        <f t="shared" si="26"/>
        <v/>
      </c>
      <c r="D777" s="32"/>
      <c r="E777" s="33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3"/>
      <c r="R777" s="33"/>
      <c r="S777" s="33"/>
      <c r="T777" s="33"/>
      <c r="U777" s="35"/>
      <c r="V777" s="36"/>
      <c r="W777" s="37"/>
      <c r="X777" s="34"/>
      <c r="Y777" s="33"/>
      <c r="Z777" s="33"/>
      <c r="AA777" s="33"/>
      <c r="AB777" s="35"/>
      <c r="AC777" s="34"/>
      <c r="AD777" s="34"/>
      <c r="AE777" s="34"/>
      <c r="AF777" s="34"/>
      <c r="AG777" s="34"/>
      <c r="AH777" s="33"/>
      <c r="AI777" s="33"/>
      <c r="AJ777" s="34"/>
      <c r="AK777" s="33"/>
      <c r="AL777" s="33"/>
      <c r="AM777" s="33"/>
      <c r="AN777" s="34"/>
      <c r="AO777" s="34"/>
      <c r="AP777" s="33"/>
      <c r="AQ777" s="34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4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5"/>
      <c r="CC777" s="33"/>
      <c r="CD777" s="33"/>
      <c r="CE777" s="33"/>
      <c r="CF777" s="34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4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4"/>
      <c r="DN777" s="34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8"/>
    </row>
    <row r="778" spans="2:137" ht="13.2">
      <c r="B778" s="30" t="str">
        <f t="shared" si="24"/>
        <v/>
      </c>
      <c r="C778" s="31" t="str">
        <f t="shared" si="26"/>
        <v/>
      </c>
      <c r="D778" s="32"/>
      <c r="E778" s="33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3"/>
      <c r="R778" s="33"/>
      <c r="S778" s="33"/>
      <c r="T778" s="33"/>
      <c r="U778" s="35"/>
      <c r="V778" s="36"/>
      <c r="W778" s="37"/>
      <c r="X778" s="34"/>
      <c r="Y778" s="33"/>
      <c r="Z778" s="33"/>
      <c r="AA778" s="33"/>
      <c r="AB778" s="35"/>
      <c r="AC778" s="34"/>
      <c r="AD778" s="34"/>
      <c r="AE778" s="34"/>
      <c r="AF778" s="34"/>
      <c r="AG778" s="34"/>
      <c r="AH778" s="33"/>
      <c r="AI778" s="33"/>
      <c r="AJ778" s="34"/>
      <c r="AK778" s="33"/>
      <c r="AL778" s="33"/>
      <c r="AM778" s="33"/>
      <c r="AN778" s="34"/>
      <c r="AO778" s="34"/>
      <c r="AP778" s="33"/>
      <c r="AQ778" s="34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4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5"/>
      <c r="CC778" s="33"/>
      <c r="CD778" s="33"/>
      <c r="CE778" s="33"/>
      <c r="CF778" s="34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4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4"/>
      <c r="DN778" s="34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8"/>
    </row>
    <row r="779" spans="2:137" ht="13.2">
      <c r="B779" s="30" t="str">
        <f t="shared" si="24"/>
        <v/>
      </c>
      <c r="C779" s="31" t="str">
        <f t="shared" si="26"/>
        <v/>
      </c>
      <c r="D779" s="32"/>
      <c r="E779" s="33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3"/>
      <c r="R779" s="33"/>
      <c r="S779" s="33"/>
      <c r="T779" s="33"/>
      <c r="U779" s="35"/>
      <c r="V779" s="36"/>
      <c r="W779" s="37"/>
      <c r="X779" s="34"/>
      <c r="Y779" s="33"/>
      <c r="Z779" s="33"/>
      <c r="AA779" s="33"/>
      <c r="AB779" s="35"/>
      <c r="AC779" s="34"/>
      <c r="AD779" s="34"/>
      <c r="AE779" s="34"/>
      <c r="AF779" s="34"/>
      <c r="AG779" s="34"/>
      <c r="AH779" s="33"/>
      <c r="AI779" s="33"/>
      <c r="AJ779" s="34"/>
      <c r="AK779" s="33"/>
      <c r="AL779" s="33"/>
      <c r="AM779" s="33"/>
      <c r="AN779" s="34"/>
      <c r="AO779" s="34"/>
      <c r="AP779" s="33"/>
      <c r="AQ779" s="34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4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5"/>
      <c r="CC779" s="33"/>
      <c r="CD779" s="33"/>
      <c r="CE779" s="33"/>
      <c r="CF779" s="34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4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4"/>
      <c r="DN779" s="34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8"/>
    </row>
    <row r="780" spans="2:137" ht="13.2">
      <c r="B780" s="30" t="str">
        <f t="shared" si="24"/>
        <v/>
      </c>
      <c r="C780" s="31" t="str">
        <f t="shared" si="26"/>
        <v/>
      </c>
      <c r="D780" s="32"/>
      <c r="E780" s="33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3"/>
      <c r="R780" s="33"/>
      <c r="S780" s="33"/>
      <c r="T780" s="33"/>
      <c r="U780" s="35"/>
      <c r="V780" s="36"/>
      <c r="W780" s="37"/>
      <c r="X780" s="34"/>
      <c r="Y780" s="33"/>
      <c r="Z780" s="33"/>
      <c r="AA780" s="33"/>
      <c r="AB780" s="35"/>
      <c r="AC780" s="34"/>
      <c r="AD780" s="34"/>
      <c r="AE780" s="34"/>
      <c r="AF780" s="34"/>
      <c r="AG780" s="34"/>
      <c r="AH780" s="33"/>
      <c r="AI780" s="33"/>
      <c r="AJ780" s="34"/>
      <c r="AK780" s="33"/>
      <c r="AL780" s="33"/>
      <c r="AM780" s="33"/>
      <c r="AN780" s="34"/>
      <c r="AO780" s="34"/>
      <c r="AP780" s="33"/>
      <c r="AQ780" s="34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4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5"/>
      <c r="CC780" s="33"/>
      <c r="CD780" s="33"/>
      <c r="CE780" s="33"/>
      <c r="CF780" s="34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4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4"/>
      <c r="DN780" s="34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8"/>
    </row>
    <row r="781" spans="2:137" ht="13.2">
      <c r="B781" s="30" t="str">
        <f t="shared" si="24"/>
        <v/>
      </c>
      <c r="C781" s="31" t="str">
        <f t="shared" si="26"/>
        <v/>
      </c>
      <c r="D781" s="32"/>
      <c r="E781" s="33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3"/>
      <c r="R781" s="33"/>
      <c r="S781" s="33"/>
      <c r="T781" s="33"/>
      <c r="U781" s="35"/>
      <c r="V781" s="36"/>
      <c r="W781" s="37"/>
      <c r="X781" s="34"/>
      <c r="Y781" s="33"/>
      <c r="Z781" s="33"/>
      <c r="AA781" s="33"/>
      <c r="AB781" s="35"/>
      <c r="AC781" s="34"/>
      <c r="AD781" s="34"/>
      <c r="AE781" s="34"/>
      <c r="AF781" s="34"/>
      <c r="AG781" s="34"/>
      <c r="AH781" s="33"/>
      <c r="AI781" s="33"/>
      <c r="AJ781" s="34"/>
      <c r="AK781" s="33"/>
      <c r="AL781" s="33"/>
      <c r="AM781" s="33"/>
      <c r="AN781" s="34"/>
      <c r="AO781" s="34"/>
      <c r="AP781" s="33"/>
      <c r="AQ781" s="34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4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5"/>
      <c r="CC781" s="33"/>
      <c r="CD781" s="33"/>
      <c r="CE781" s="33"/>
      <c r="CF781" s="34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4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4"/>
      <c r="DN781" s="34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8"/>
    </row>
    <row r="782" spans="2:137" ht="13.2">
      <c r="B782" s="30" t="str">
        <f t="shared" si="24"/>
        <v/>
      </c>
      <c r="C782" s="31" t="str">
        <f t="shared" si="26"/>
        <v/>
      </c>
      <c r="D782" s="32"/>
      <c r="E782" s="33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3"/>
      <c r="R782" s="33"/>
      <c r="S782" s="33"/>
      <c r="T782" s="33"/>
      <c r="U782" s="35"/>
      <c r="V782" s="36"/>
      <c r="W782" s="37"/>
      <c r="X782" s="34"/>
      <c r="Y782" s="33"/>
      <c r="Z782" s="33"/>
      <c r="AA782" s="33"/>
      <c r="AB782" s="35"/>
      <c r="AC782" s="34"/>
      <c r="AD782" s="34"/>
      <c r="AE782" s="34"/>
      <c r="AF782" s="34"/>
      <c r="AG782" s="34"/>
      <c r="AH782" s="33"/>
      <c r="AI782" s="33"/>
      <c r="AJ782" s="34"/>
      <c r="AK782" s="33"/>
      <c r="AL782" s="33"/>
      <c r="AM782" s="33"/>
      <c r="AN782" s="34"/>
      <c r="AO782" s="34"/>
      <c r="AP782" s="33"/>
      <c r="AQ782" s="34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4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5"/>
      <c r="CC782" s="33"/>
      <c r="CD782" s="33"/>
      <c r="CE782" s="33"/>
      <c r="CF782" s="34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4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4"/>
      <c r="DN782" s="34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8"/>
    </row>
    <row r="783" spans="2:137" ht="13.2">
      <c r="B783" s="30" t="str">
        <f t="shared" si="24"/>
        <v/>
      </c>
      <c r="C783" s="31" t="str">
        <f t="shared" si="26"/>
        <v/>
      </c>
      <c r="D783" s="32"/>
      <c r="E783" s="33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3"/>
      <c r="R783" s="33"/>
      <c r="S783" s="33"/>
      <c r="T783" s="33"/>
      <c r="U783" s="35"/>
      <c r="V783" s="36"/>
      <c r="W783" s="37"/>
      <c r="X783" s="34"/>
      <c r="Y783" s="33"/>
      <c r="Z783" s="33"/>
      <c r="AA783" s="33"/>
      <c r="AB783" s="35"/>
      <c r="AC783" s="34"/>
      <c r="AD783" s="34"/>
      <c r="AE783" s="34"/>
      <c r="AF783" s="34"/>
      <c r="AG783" s="34"/>
      <c r="AH783" s="33"/>
      <c r="AI783" s="33"/>
      <c r="AJ783" s="34"/>
      <c r="AK783" s="33"/>
      <c r="AL783" s="33"/>
      <c r="AM783" s="33"/>
      <c r="AN783" s="34"/>
      <c r="AO783" s="34"/>
      <c r="AP783" s="33"/>
      <c r="AQ783" s="34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4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5"/>
      <c r="CC783" s="33"/>
      <c r="CD783" s="33"/>
      <c r="CE783" s="33"/>
      <c r="CF783" s="34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4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4"/>
      <c r="DN783" s="34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8"/>
    </row>
    <row r="784" spans="2:137" ht="13.2">
      <c r="B784" s="30" t="str">
        <f t="shared" si="24"/>
        <v/>
      </c>
      <c r="C784" s="31" t="str">
        <f t="shared" si="26"/>
        <v/>
      </c>
      <c r="D784" s="32"/>
      <c r="E784" s="33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3"/>
      <c r="R784" s="33"/>
      <c r="S784" s="33"/>
      <c r="T784" s="33"/>
      <c r="U784" s="35"/>
      <c r="V784" s="36"/>
      <c r="W784" s="37"/>
      <c r="X784" s="34"/>
      <c r="Y784" s="33"/>
      <c r="Z784" s="33"/>
      <c r="AA784" s="33"/>
      <c r="AB784" s="35"/>
      <c r="AC784" s="34"/>
      <c r="AD784" s="34"/>
      <c r="AE784" s="34"/>
      <c r="AF784" s="34"/>
      <c r="AG784" s="34"/>
      <c r="AH784" s="33"/>
      <c r="AI784" s="33"/>
      <c r="AJ784" s="34"/>
      <c r="AK784" s="33"/>
      <c r="AL784" s="33"/>
      <c r="AM784" s="33"/>
      <c r="AN784" s="34"/>
      <c r="AO784" s="34"/>
      <c r="AP784" s="33"/>
      <c r="AQ784" s="34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4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5"/>
      <c r="CC784" s="33"/>
      <c r="CD784" s="33"/>
      <c r="CE784" s="33"/>
      <c r="CF784" s="34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4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4"/>
      <c r="DN784" s="34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8"/>
    </row>
    <row r="785" spans="2:137" ht="13.2">
      <c r="B785" s="30" t="str">
        <f t="shared" si="24"/>
        <v/>
      </c>
      <c r="C785" s="31" t="str">
        <f t="shared" si="26"/>
        <v/>
      </c>
      <c r="D785" s="32"/>
      <c r="E785" s="33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3"/>
      <c r="R785" s="33"/>
      <c r="S785" s="33"/>
      <c r="T785" s="33"/>
      <c r="U785" s="35"/>
      <c r="V785" s="36"/>
      <c r="W785" s="37"/>
      <c r="X785" s="34"/>
      <c r="Y785" s="33"/>
      <c r="Z785" s="33"/>
      <c r="AA785" s="33"/>
      <c r="AB785" s="35"/>
      <c r="AC785" s="34"/>
      <c r="AD785" s="34"/>
      <c r="AE785" s="34"/>
      <c r="AF785" s="34"/>
      <c r="AG785" s="34"/>
      <c r="AH785" s="33"/>
      <c r="AI785" s="33"/>
      <c r="AJ785" s="34"/>
      <c r="AK785" s="33"/>
      <c r="AL785" s="33"/>
      <c r="AM785" s="33"/>
      <c r="AN785" s="34"/>
      <c r="AO785" s="34"/>
      <c r="AP785" s="33"/>
      <c r="AQ785" s="34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4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5"/>
      <c r="CC785" s="33"/>
      <c r="CD785" s="33"/>
      <c r="CE785" s="33"/>
      <c r="CF785" s="34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4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4"/>
      <c r="DN785" s="34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8"/>
    </row>
    <row r="786" spans="2:137" ht="13.2">
      <c r="B786" s="30" t="str">
        <f t="shared" si="24"/>
        <v/>
      </c>
      <c r="C786" s="31" t="str">
        <f t="shared" si="26"/>
        <v/>
      </c>
      <c r="D786" s="32"/>
      <c r="E786" s="33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3"/>
      <c r="R786" s="33"/>
      <c r="S786" s="33"/>
      <c r="T786" s="33"/>
      <c r="U786" s="35"/>
      <c r="V786" s="36"/>
      <c r="W786" s="37"/>
      <c r="X786" s="34"/>
      <c r="Y786" s="33"/>
      <c r="Z786" s="33"/>
      <c r="AA786" s="33"/>
      <c r="AB786" s="35"/>
      <c r="AC786" s="34"/>
      <c r="AD786" s="34"/>
      <c r="AE786" s="34"/>
      <c r="AF786" s="34"/>
      <c r="AG786" s="34"/>
      <c r="AH786" s="33"/>
      <c r="AI786" s="33"/>
      <c r="AJ786" s="34"/>
      <c r="AK786" s="33"/>
      <c r="AL786" s="33"/>
      <c r="AM786" s="33"/>
      <c r="AN786" s="34"/>
      <c r="AO786" s="34"/>
      <c r="AP786" s="33"/>
      <c r="AQ786" s="34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4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5"/>
      <c r="CC786" s="33"/>
      <c r="CD786" s="33"/>
      <c r="CE786" s="33"/>
      <c r="CF786" s="34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4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4"/>
      <c r="DN786" s="34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8"/>
    </row>
    <row r="787" spans="2:137" ht="13.2">
      <c r="B787" s="30" t="str">
        <f t="shared" si="24"/>
        <v/>
      </c>
      <c r="C787" s="31" t="str">
        <f t="shared" si="26"/>
        <v/>
      </c>
      <c r="D787" s="32"/>
      <c r="E787" s="33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3"/>
      <c r="R787" s="33"/>
      <c r="S787" s="33"/>
      <c r="T787" s="33"/>
      <c r="U787" s="35"/>
      <c r="V787" s="36"/>
      <c r="W787" s="37"/>
      <c r="X787" s="34"/>
      <c r="Y787" s="33"/>
      <c r="Z787" s="33"/>
      <c r="AA787" s="33"/>
      <c r="AB787" s="35"/>
      <c r="AC787" s="34"/>
      <c r="AD787" s="34"/>
      <c r="AE787" s="34"/>
      <c r="AF787" s="34"/>
      <c r="AG787" s="34"/>
      <c r="AH787" s="33"/>
      <c r="AI787" s="33"/>
      <c r="AJ787" s="34"/>
      <c r="AK787" s="33"/>
      <c r="AL787" s="33"/>
      <c r="AM787" s="33"/>
      <c r="AN787" s="34"/>
      <c r="AO787" s="34"/>
      <c r="AP787" s="33"/>
      <c r="AQ787" s="34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4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5"/>
      <c r="CC787" s="33"/>
      <c r="CD787" s="33"/>
      <c r="CE787" s="33"/>
      <c r="CF787" s="34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4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4"/>
      <c r="DN787" s="34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8"/>
    </row>
    <row r="788" spans="2:137" ht="13.2">
      <c r="B788" s="30" t="str">
        <f t="shared" si="24"/>
        <v/>
      </c>
      <c r="C788" s="31" t="str">
        <f t="shared" si="26"/>
        <v/>
      </c>
      <c r="D788" s="32"/>
      <c r="E788" s="33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3"/>
      <c r="R788" s="33"/>
      <c r="S788" s="33"/>
      <c r="T788" s="33"/>
      <c r="U788" s="35"/>
      <c r="V788" s="36"/>
      <c r="W788" s="37"/>
      <c r="X788" s="34"/>
      <c r="Y788" s="33"/>
      <c r="Z788" s="33"/>
      <c r="AA788" s="33"/>
      <c r="AB788" s="35"/>
      <c r="AC788" s="34"/>
      <c r="AD788" s="34"/>
      <c r="AE788" s="34"/>
      <c r="AF788" s="34"/>
      <c r="AG788" s="34"/>
      <c r="AH788" s="33"/>
      <c r="AI788" s="33"/>
      <c r="AJ788" s="34"/>
      <c r="AK788" s="33"/>
      <c r="AL788" s="33"/>
      <c r="AM788" s="33"/>
      <c r="AN788" s="34"/>
      <c r="AO788" s="34"/>
      <c r="AP788" s="33"/>
      <c r="AQ788" s="34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4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5"/>
      <c r="CC788" s="33"/>
      <c r="CD788" s="33"/>
      <c r="CE788" s="33"/>
      <c r="CF788" s="34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4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4"/>
      <c r="DN788" s="34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8"/>
    </row>
    <row r="789" spans="2:137" ht="13.2">
      <c r="B789" s="30" t="str">
        <f t="shared" si="24"/>
        <v/>
      </c>
      <c r="C789" s="31" t="str">
        <f t="shared" si="26"/>
        <v/>
      </c>
      <c r="D789" s="32"/>
      <c r="E789" s="33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3"/>
      <c r="R789" s="33"/>
      <c r="S789" s="33"/>
      <c r="T789" s="33"/>
      <c r="U789" s="35"/>
      <c r="V789" s="36"/>
      <c r="W789" s="37"/>
      <c r="X789" s="34"/>
      <c r="Y789" s="33"/>
      <c r="Z789" s="33"/>
      <c r="AA789" s="33"/>
      <c r="AB789" s="35"/>
      <c r="AC789" s="34"/>
      <c r="AD789" s="34"/>
      <c r="AE789" s="34"/>
      <c r="AF789" s="34"/>
      <c r="AG789" s="34"/>
      <c r="AH789" s="33"/>
      <c r="AI789" s="33"/>
      <c r="AJ789" s="34"/>
      <c r="AK789" s="33"/>
      <c r="AL789" s="33"/>
      <c r="AM789" s="33"/>
      <c r="AN789" s="34"/>
      <c r="AO789" s="34"/>
      <c r="AP789" s="33"/>
      <c r="AQ789" s="34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4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5"/>
      <c r="CC789" s="33"/>
      <c r="CD789" s="33"/>
      <c r="CE789" s="33"/>
      <c r="CF789" s="34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4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4"/>
      <c r="DN789" s="34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8"/>
    </row>
    <row r="790" spans="2:137" ht="13.2">
      <c r="B790" s="30" t="str">
        <f t="shared" si="24"/>
        <v/>
      </c>
      <c r="C790" s="31" t="str">
        <f t="shared" si="26"/>
        <v/>
      </c>
      <c r="D790" s="32"/>
      <c r="E790" s="33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3"/>
      <c r="R790" s="33"/>
      <c r="S790" s="33"/>
      <c r="T790" s="33"/>
      <c r="U790" s="35"/>
      <c r="V790" s="36"/>
      <c r="W790" s="37"/>
      <c r="X790" s="34"/>
      <c r="Y790" s="33"/>
      <c r="Z790" s="33"/>
      <c r="AA790" s="33"/>
      <c r="AB790" s="35"/>
      <c r="AC790" s="34"/>
      <c r="AD790" s="34"/>
      <c r="AE790" s="34"/>
      <c r="AF790" s="34"/>
      <c r="AG790" s="34"/>
      <c r="AH790" s="33"/>
      <c r="AI790" s="33"/>
      <c r="AJ790" s="34"/>
      <c r="AK790" s="33"/>
      <c r="AL790" s="33"/>
      <c r="AM790" s="33"/>
      <c r="AN790" s="34"/>
      <c r="AO790" s="34"/>
      <c r="AP790" s="33"/>
      <c r="AQ790" s="34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4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5"/>
      <c r="CC790" s="33"/>
      <c r="CD790" s="33"/>
      <c r="CE790" s="33"/>
      <c r="CF790" s="34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4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4"/>
      <c r="DN790" s="34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8"/>
    </row>
    <row r="791" spans="2:137" ht="13.2">
      <c r="B791" s="30" t="str">
        <f t="shared" si="24"/>
        <v/>
      </c>
      <c r="C791" s="31" t="str">
        <f t="shared" si="26"/>
        <v/>
      </c>
      <c r="D791" s="32"/>
      <c r="E791" s="33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3"/>
      <c r="R791" s="33"/>
      <c r="S791" s="33"/>
      <c r="T791" s="33"/>
      <c r="U791" s="35"/>
      <c r="V791" s="36"/>
      <c r="W791" s="37"/>
      <c r="X791" s="34"/>
      <c r="Y791" s="33"/>
      <c r="Z791" s="33"/>
      <c r="AA791" s="33"/>
      <c r="AB791" s="35"/>
      <c r="AC791" s="34"/>
      <c r="AD791" s="34"/>
      <c r="AE791" s="34"/>
      <c r="AF791" s="34"/>
      <c r="AG791" s="34"/>
      <c r="AH791" s="33"/>
      <c r="AI791" s="33"/>
      <c r="AJ791" s="34"/>
      <c r="AK791" s="33"/>
      <c r="AL791" s="33"/>
      <c r="AM791" s="33"/>
      <c r="AN791" s="34"/>
      <c r="AO791" s="34"/>
      <c r="AP791" s="33"/>
      <c r="AQ791" s="34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4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5"/>
      <c r="CC791" s="33"/>
      <c r="CD791" s="33"/>
      <c r="CE791" s="33"/>
      <c r="CF791" s="34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4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4"/>
      <c r="DN791" s="34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8"/>
    </row>
    <row r="792" spans="2:137" ht="13.2">
      <c r="B792" s="30" t="str">
        <f t="shared" si="24"/>
        <v/>
      </c>
      <c r="C792" s="31" t="str">
        <f t="shared" si="26"/>
        <v/>
      </c>
      <c r="D792" s="32"/>
      <c r="E792" s="33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3"/>
      <c r="R792" s="33"/>
      <c r="S792" s="33"/>
      <c r="T792" s="33"/>
      <c r="U792" s="35"/>
      <c r="V792" s="36"/>
      <c r="W792" s="37"/>
      <c r="X792" s="34"/>
      <c r="Y792" s="33"/>
      <c r="Z792" s="33"/>
      <c r="AA792" s="33"/>
      <c r="AB792" s="35"/>
      <c r="AC792" s="34"/>
      <c r="AD792" s="34"/>
      <c r="AE792" s="34"/>
      <c r="AF792" s="34"/>
      <c r="AG792" s="34"/>
      <c r="AH792" s="33"/>
      <c r="AI792" s="33"/>
      <c r="AJ792" s="34"/>
      <c r="AK792" s="33"/>
      <c r="AL792" s="33"/>
      <c r="AM792" s="33"/>
      <c r="AN792" s="34"/>
      <c r="AO792" s="34"/>
      <c r="AP792" s="33"/>
      <c r="AQ792" s="34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4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5"/>
      <c r="CC792" s="33"/>
      <c r="CD792" s="33"/>
      <c r="CE792" s="33"/>
      <c r="CF792" s="34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4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4"/>
      <c r="DN792" s="34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8"/>
    </row>
    <row r="793" spans="2:137" ht="13.2">
      <c r="B793" s="30" t="str">
        <f t="shared" si="24"/>
        <v/>
      </c>
      <c r="C793" s="31" t="str">
        <f t="shared" si="26"/>
        <v/>
      </c>
      <c r="D793" s="32"/>
      <c r="E793" s="33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3"/>
      <c r="R793" s="33"/>
      <c r="S793" s="33"/>
      <c r="T793" s="33"/>
      <c r="U793" s="35"/>
      <c r="V793" s="36"/>
      <c r="W793" s="37"/>
      <c r="X793" s="34"/>
      <c r="Y793" s="33"/>
      <c r="Z793" s="33"/>
      <c r="AA793" s="33"/>
      <c r="AB793" s="35"/>
      <c r="AC793" s="34"/>
      <c r="AD793" s="34"/>
      <c r="AE793" s="34"/>
      <c r="AF793" s="34"/>
      <c r="AG793" s="34"/>
      <c r="AH793" s="33"/>
      <c r="AI793" s="33"/>
      <c r="AJ793" s="34"/>
      <c r="AK793" s="33"/>
      <c r="AL793" s="33"/>
      <c r="AM793" s="33"/>
      <c r="AN793" s="34"/>
      <c r="AO793" s="34"/>
      <c r="AP793" s="33"/>
      <c r="AQ793" s="34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4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5"/>
      <c r="CC793" s="33"/>
      <c r="CD793" s="33"/>
      <c r="CE793" s="33"/>
      <c r="CF793" s="34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4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4"/>
      <c r="DN793" s="34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8"/>
    </row>
    <row r="794" spans="2:137" ht="13.2">
      <c r="B794" s="30" t="str">
        <f t="shared" si="24"/>
        <v/>
      </c>
      <c r="C794" s="31" t="str">
        <f t="shared" si="26"/>
        <v/>
      </c>
      <c r="D794" s="32"/>
      <c r="E794" s="33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3"/>
      <c r="R794" s="33"/>
      <c r="S794" s="33"/>
      <c r="T794" s="33"/>
      <c r="U794" s="35"/>
      <c r="V794" s="36"/>
      <c r="W794" s="37"/>
      <c r="X794" s="34"/>
      <c r="Y794" s="33"/>
      <c r="Z794" s="33"/>
      <c r="AA794" s="33"/>
      <c r="AB794" s="35"/>
      <c r="AC794" s="34"/>
      <c r="AD794" s="34"/>
      <c r="AE794" s="34"/>
      <c r="AF794" s="34"/>
      <c r="AG794" s="34"/>
      <c r="AH794" s="33"/>
      <c r="AI794" s="33"/>
      <c r="AJ794" s="34"/>
      <c r="AK794" s="33"/>
      <c r="AL794" s="33"/>
      <c r="AM794" s="33"/>
      <c r="AN794" s="34"/>
      <c r="AO794" s="34"/>
      <c r="AP794" s="33"/>
      <c r="AQ794" s="34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4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5"/>
      <c r="CC794" s="33"/>
      <c r="CD794" s="33"/>
      <c r="CE794" s="33"/>
      <c r="CF794" s="34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4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4"/>
      <c r="DN794" s="34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8"/>
    </row>
    <row r="795" spans="2:137" ht="13.2">
      <c r="B795" s="30" t="str">
        <f t="shared" si="24"/>
        <v/>
      </c>
      <c r="C795" s="31" t="str">
        <f t="shared" si="26"/>
        <v/>
      </c>
      <c r="D795" s="32"/>
      <c r="E795" s="33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3"/>
      <c r="R795" s="33"/>
      <c r="S795" s="33"/>
      <c r="T795" s="33"/>
      <c r="U795" s="35"/>
      <c r="V795" s="36"/>
      <c r="W795" s="37"/>
      <c r="X795" s="34"/>
      <c r="Y795" s="33"/>
      <c r="Z795" s="33"/>
      <c r="AA795" s="33"/>
      <c r="AB795" s="35"/>
      <c r="AC795" s="34"/>
      <c r="AD795" s="34"/>
      <c r="AE795" s="34"/>
      <c r="AF795" s="34"/>
      <c r="AG795" s="34"/>
      <c r="AH795" s="33"/>
      <c r="AI795" s="33"/>
      <c r="AJ795" s="34"/>
      <c r="AK795" s="33"/>
      <c r="AL795" s="33"/>
      <c r="AM795" s="33"/>
      <c r="AN795" s="34"/>
      <c r="AO795" s="34"/>
      <c r="AP795" s="33"/>
      <c r="AQ795" s="34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4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5"/>
      <c r="CC795" s="33"/>
      <c r="CD795" s="33"/>
      <c r="CE795" s="33"/>
      <c r="CF795" s="34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4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4"/>
      <c r="DN795" s="34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8"/>
    </row>
    <row r="796" spans="2:137" ht="13.2">
      <c r="B796" s="30" t="str">
        <f t="shared" si="24"/>
        <v/>
      </c>
      <c r="C796" s="31" t="str">
        <f t="shared" si="26"/>
        <v/>
      </c>
      <c r="D796" s="32"/>
      <c r="E796" s="33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3"/>
      <c r="R796" s="33"/>
      <c r="S796" s="33"/>
      <c r="T796" s="33"/>
      <c r="U796" s="35"/>
      <c r="V796" s="36"/>
      <c r="W796" s="37"/>
      <c r="X796" s="34"/>
      <c r="Y796" s="33"/>
      <c r="Z796" s="33"/>
      <c r="AA796" s="33"/>
      <c r="AB796" s="35"/>
      <c r="AC796" s="34"/>
      <c r="AD796" s="34"/>
      <c r="AE796" s="34"/>
      <c r="AF796" s="34"/>
      <c r="AG796" s="34"/>
      <c r="AH796" s="33"/>
      <c r="AI796" s="33"/>
      <c r="AJ796" s="34"/>
      <c r="AK796" s="33"/>
      <c r="AL796" s="33"/>
      <c r="AM796" s="33"/>
      <c r="AN796" s="34"/>
      <c r="AO796" s="34"/>
      <c r="AP796" s="33"/>
      <c r="AQ796" s="34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4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5"/>
      <c r="CC796" s="33"/>
      <c r="CD796" s="33"/>
      <c r="CE796" s="33"/>
      <c r="CF796" s="34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4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4"/>
      <c r="DN796" s="34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8"/>
    </row>
    <row r="797" spans="2:137" ht="13.2">
      <c r="B797" s="30" t="str">
        <f t="shared" si="24"/>
        <v/>
      </c>
      <c r="C797" s="31" t="str">
        <f t="shared" si="26"/>
        <v/>
      </c>
      <c r="D797" s="32"/>
      <c r="E797" s="33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3"/>
      <c r="R797" s="33"/>
      <c r="S797" s="33"/>
      <c r="T797" s="33"/>
      <c r="U797" s="35"/>
      <c r="V797" s="36"/>
      <c r="W797" s="37"/>
      <c r="X797" s="34"/>
      <c r="Y797" s="33"/>
      <c r="Z797" s="33"/>
      <c r="AA797" s="33"/>
      <c r="AB797" s="35"/>
      <c r="AC797" s="34"/>
      <c r="AD797" s="34"/>
      <c r="AE797" s="34"/>
      <c r="AF797" s="34"/>
      <c r="AG797" s="34"/>
      <c r="AH797" s="33"/>
      <c r="AI797" s="33"/>
      <c r="AJ797" s="34"/>
      <c r="AK797" s="33"/>
      <c r="AL797" s="33"/>
      <c r="AM797" s="33"/>
      <c r="AN797" s="34"/>
      <c r="AO797" s="34"/>
      <c r="AP797" s="33"/>
      <c r="AQ797" s="34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4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5"/>
      <c r="CC797" s="33"/>
      <c r="CD797" s="33"/>
      <c r="CE797" s="33"/>
      <c r="CF797" s="34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4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4"/>
      <c r="DN797" s="34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8"/>
    </row>
    <row r="798" spans="2:137" ht="13.2">
      <c r="B798" s="30" t="str">
        <f t="shared" si="24"/>
        <v/>
      </c>
      <c r="C798" s="31" t="str">
        <f t="shared" si="26"/>
        <v/>
      </c>
      <c r="D798" s="32"/>
      <c r="E798" s="33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3"/>
      <c r="R798" s="33"/>
      <c r="S798" s="33"/>
      <c r="T798" s="33"/>
      <c r="U798" s="35"/>
      <c r="V798" s="36"/>
      <c r="W798" s="37"/>
      <c r="X798" s="34"/>
      <c r="Y798" s="33"/>
      <c r="Z798" s="33"/>
      <c r="AA798" s="33"/>
      <c r="AB798" s="35"/>
      <c r="AC798" s="34"/>
      <c r="AD798" s="34"/>
      <c r="AE798" s="34"/>
      <c r="AF798" s="34"/>
      <c r="AG798" s="34"/>
      <c r="AH798" s="33"/>
      <c r="AI798" s="33"/>
      <c r="AJ798" s="34"/>
      <c r="AK798" s="33"/>
      <c r="AL798" s="33"/>
      <c r="AM798" s="33"/>
      <c r="AN798" s="34"/>
      <c r="AO798" s="34"/>
      <c r="AP798" s="33"/>
      <c r="AQ798" s="34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4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5"/>
      <c r="CC798" s="33"/>
      <c r="CD798" s="33"/>
      <c r="CE798" s="33"/>
      <c r="CF798" s="34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4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4"/>
      <c r="DN798" s="34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8"/>
    </row>
    <row r="799" spans="2:137" ht="13.2">
      <c r="B799" s="30" t="str">
        <f t="shared" si="24"/>
        <v/>
      </c>
      <c r="C799" s="31" t="str">
        <f t="shared" si="26"/>
        <v/>
      </c>
      <c r="D799" s="32"/>
      <c r="E799" s="33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3"/>
      <c r="R799" s="33"/>
      <c r="S799" s="33"/>
      <c r="T799" s="33"/>
      <c r="U799" s="35"/>
      <c r="V799" s="36"/>
      <c r="W799" s="37"/>
      <c r="X799" s="34"/>
      <c r="Y799" s="33"/>
      <c r="Z799" s="33"/>
      <c r="AA799" s="33"/>
      <c r="AB799" s="35"/>
      <c r="AC799" s="34"/>
      <c r="AD799" s="34"/>
      <c r="AE799" s="34"/>
      <c r="AF799" s="34"/>
      <c r="AG799" s="34"/>
      <c r="AH799" s="33"/>
      <c r="AI799" s="33"/>
      <c r="AJ799" s="34"/>
      <c r="AK799" s="33"/>
      <c r="AL799" s="33"/>
      <c r="AM799" s="33"/>
      <c r="AN799" s="34"/>
      <c r="AO799" s="34"/>
      <c r="AP799" s="33"/>
      <c r="AQ799" s="34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4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5"/>
      <c r="CC799" s="33"/>
      <c r="CD799" s="33"/>
      <c r="CE799" s="33"/>
      <c r="CF799" s="34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4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4"/>
      <c r="DN799" s="34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8"/>
    </row>
    <row r="800" spans="2:137" ht="13.2">
      <c r="B800" s="30" t="str">
        <f t="shared" si="24"/>
        <v/>
      </c>
      <c r="C800" s="31" t="str">
        <f t="shared" si="26"/>
        <v/>
      </c>
      <c r="D800" s="32"/>
      <c r="E800" s="33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3"/>
      <c r="R800" s="33"/>
      <c r="S800" s="33"/>
      <c r="T800" s="33"/>
      <c r="U800" s="35"/>
      <c r="V800" s="36"/>
      <c r="W800" s="37"/>
      <c r="X800" s="34"/>
      <c r="Y800" s="33"/>
      <c r="Z800" s="33"/>
      <c r="AA800" s="33"/>
      <c r="AB800" s="35"/>
      <c r="AC800" s="34"/>
      <c r="AD800" s="34"/>
      <c r="AE800" s="34"/>
      <c r="AF800" s="34"/>
      <c r="AG800" s="34"/>
      <c r="AH800" s="33"/>
      <c r="AI800" s="33"/>
      <c r="AJ800" s="34"/>
      <c r="AK800" s="33"/>
      <c r="AL800" s="33"/>
      <c r="AM800" s="33"/>
      <c r="AN800" s="34"/>
      <c r="AO800" s="34"/>
      <c r="AP800" s="33"/>
      <c r="AQ800" s="34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4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5"/>
      <c r="CC800" s="33"/>
      <c r="CD800" s="33"/>
      <c r="CE800" s="33"/>
      <c r="CF800" s="34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4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4"/>
      <c r="DN800" s="34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8"/>
    </row>
    <row r="801" spans="2:137" ht="13.2">
      <c r="B801" s="30" t="str">
        <f t="shared" si="24"/>
        <v/>
      </c>
      <c r="C801" s="31" t="str">
        <f t="shared" si="26"/>
        <v/>
      </c>
      <c r="D801" s="32"/>
      <c r="E801" s="33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3"/>
      <c r="R801" s="33"/>
      <c r="S801" s="33"/>
      <c r="T801" s="33"/>
      <c r="U801" s="35"/>
      <c r="V801" s="36"/>
      <c r="W801" s="37"/>
      <c r="X801" s="34"/>
      <c r="Y801" s="33"/>
      <c r="Z801" s="33"/>
      <c r="AA801" s="33"/>
      <c r="AB801" s="35"/>
      <c r="AC801" s="34"/>
      <c r="AD801" s="34"/>
      <c r="AE801" s="34"/>
      <c r="AF801" s="34"/>
      <c r="AG801" s="34"/>
      <c r="AH801" s="33"/>
      <c r="AI801" s="33"/>
      <c r="AJ801" s="34"/>
      <c r="AK801" s="33"/>
      <c r="AL801" s="33"/>
      <c r="AM801" s="33"/>
      <c r="AN801" s="34"/>
      <c r="AO801" s="34"/>
      <c r="AP801" s="33"/>
      <c r="AQ801" s="34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4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5"/>
      <c r="CC801" s="33"/>
      <c r="CD801" s="33"/>
      <c r="CE801" s="33"/>
      <c r="CF801" s="34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4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4"/>
      <c r="DN801" s="34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8"/>
    </row>
    <row r="802" spans="2:137" ht="13.2">
      <c r="B802" s="30" t="str">
        <f t="shared" si="24"/>
        <v/>
      </c>
      <c r="C802" s="31" t="str">
        <f t="shared" si="26"/>
        <v/>
      </c>
      <c r="D802" s="32"/>
      <c r="E802" s="33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3"/>
      <c r="R802" s="33"/>
      <c r="S802" s="33"/>
      <c r="T802" s="33"/>
      <c r="U802" s="35"/>
      <c r="V802" s="36"/>
      <c r="W802" s="37"/>
      <c r="X802" s="34"/>
      <c r="Y802" s="33"/>
      <c r="Z802" s="33"/>
      <c r="AA802" s="33"/>
      <c r="AB802" s="35"/>
      <c r="AC802" s="34"/>
      <c r="AD802" s="34"/>
      <c r="AE802" s="34"/>
      <c r="AF802" s="34"/>
      <c r="AG802" s="34"/>
      <c r="AH802" s="33"/>
      <c r="AI802" s="33"/>
      <c r="AJ802" s="34"/>
      <c r="AK802" s="33"/>
      <c r="AL802" s="33"/>
      <c r="AM802" s="33"/>
      <c r="AN802" s="34"/>
      <c r="AO802" s="34"/>
      <c r="AP802" s="33"/>
      <c r="AQ802" s="34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4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5"/>
      <c r="CC802" s="33"/>
      <c r="CD802" s="33"/>
      <c r="CE802" s="33"/>
      <c r="CF802" s="34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4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4"/>
      <c r="DN802" s="34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  <c r="EE802" s="33"/>
      <c r="EF802" s="33"/>
      <c r="EG802" s="38"/>
    </row>
    <row r="803" spans="2:137" ht="13.2">
      <c r="B803" s="30" t="str">
        <f t="shared" si="24"/>
        <v/>
      </c>
      <c r="C803" s="31" t="str">
        <f t="shared" si="26"/>
        <v/>
      </c>
      <c r="D803" s="32"/>
      <c r="E803" s="33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3"/>
      <c r="R803" s="33"/>
      <c r="S803" s="33"/>
      <c r="T803" s="33"/>
      <c r="U803" s="35"/>
      <c r="V803" s="36"/>
      <c r="W803" s="37"/>
      <c r="X803" s="34"/>
      <c r="Y803" s="33"/>
      <c r="Z803" s="33"/>
      <c r="AA803" s="33"/>
      <c r="AB803" s="35"/>
      <c r="AC803" s="34"/>
      <c r="AD803" s="34"/>
      <c r="AE803" s="34"/>
      <c r="AF803" s="34"/>
      <c r="AG803" s="34"/>
      <c r="AH803" s="33"/>
      <c r="AI803" s="33"/>
      <c r="AJ803" s="34"/>
      <c r="AK803" s="33"/>
      <c r="AL803" s="33"/>
      <c r="AM803" s="33"/>
      <c r="AN803" s="34"/>
      <c r="AO803" s="34"/>
      <c r="AP803" s="33"/>
      <c r="AQ803" s="34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4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5"/>
      <c r="CC803" s="33"/>
      <c r="CD803" s="33"/>
      <c r="CE803" s="33"/>
      <c r="CF803" s="34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4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4"/>
      <c r="DN803" s="34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  <c r="EE803" s="33"/>
      <c r="EF803" s="33"/>
      <c r="EG803" s="38"/>
    </row>
    <row r="804" spans="2:137" ht="13.2">
      <c r="B804" s="30" t="str">
        <f t="shared" si="24"/>
        <v/>
      </c>
      <c r="C804" s="31" t="str">
        <f t="shared" si="26"/>
        <v/>
      </c>
      <c r="D804" s="32"/>
      <c r="E804" s="33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3"/>
      <c r="R804" s="33"/>
      <c r="S804" s="33"/>
      <c r="T804" s="33"/>
      <c r="U804" s="35"/>
      <c r="V804" s="36"/>
      <c r="W804" s="37"/>
      <c r="X804" s="34"/>
      <c r="Y804" s="33"/>
      <c r="Z804" s="33"/>
      <c r="AA804" s="33"/>
      <c r="AB804" s="35"/>
      <c r="AC804" s="34"/>
      <c r="AD804" s="34"/>
      <c r="AE804" s="34"/>
      <c r="AF804" s="34"/>
      <c r="AG804" s="34"/>
      <c r="AH804" s="33"/>
      <c r="AI804" s="33"/>
      <c r="AJ804" s="34"/>
      <c r="AK804" s="33"/>
      <c r="AL804" s="33"/>
      <c r="AM804" s="33"/>
      <c r="AN804" s="34"/>
      <c r="AO804" s="34"/>
      <c r="AP804" s="33"/>
      <c r="AQ804" s="34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4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5"/>
      <c r="CC804" s="33"/>
      <c r="CD804" s="33"/>
      <c r="CE804" s="33"/>
      <c r="CF804" s="34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4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4"/>
      <c r="DN804" s="34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  <c r="EE804" s="33"/>
      <c r="EF804" s="33"/>
      <c r="EG804" s="38"/>
    </row>
    <row r="805" spans="2:137" ht="13.2">
      <c r="B805" s="30" t="str">
        <f t="shared" si="24"/>
        <v/>
      </c>
      <c r="C805" s="31" t="str">
        <f t="shared" si="26"/>
        <v/>
      </c>
      <c r="D805" s="32"/>
      <c r="E805" s="33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3"/>
      <c r="R805" s="33"/>
      <c r="S805" s="33"/>
      <c r="T805" s="33"/>
      <c r="U805" s="35"/>
      <c r="V805" s="36"/>
      <c r="W805" s="37"/>
      <c r="X805" s="34"/>
      <c r="Y805" s="33"/>
      <c r="Z805" s="33"/>
      <c r="AA805" s="33"/>
      <c r="AB805" s="35"/>
      <c r="AC805" s="34"/>
      <c r="AD805" s="34"/>
      <c r="AE805" s="34"/>
      <c r="AF805" s="34"/>
      <c r="AG805" s="34"/>
      <c r="AH805" s="33"/>
      <c r="AI805" s="33"/>
      <c r="AJ805" s="34"/>
      <c r="AK805" s="33"/>
      <c r="AL805" s="33"/>
      <c r="AM805" s="33"/>
      <c r="AN805" s="34"/>
      <c r="AO805" s="34"/>
      <c r="AP805" s="33"/>
      <c r="AQ805" s="34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4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5"/>
      <c r="CC805" s="33"/>
      <c r="CD805" s="33"/>
      <c r="CE805" s="33"/>
      <c r="CF805" s="34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4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4"/>
      <c r="DN805" s="34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  <c r="EE805" s="33"/>
      <c r="EF805" s="33"/>
      <c r="EG805" s="38"/>
    </row>
    <row r="806" spans="2:137" ht="13.2">
      <c r="B806" s="30" t="str">
        <f t="shared" si="24"/>
        <v/>
      </c>
      <c r="C806" s="31" t="str">
        <f t="shared" si="26"/>
        <v/>
      </c>
      <c r="D806" s="32"/>
      <c r="E806" s="33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3"/>
      <c r="R806" s="33"/>
      <c r="S806" s="33"/>
      <c r="T806" s="33"/>
      <c r="U806" s="35"/>
      <c r="V806" s="36"/>
      <c r="W806" s="37"/>
      <c r="X806" s="34"/>
      <c r="Y806" s="33"/>
      <c r="Z806" s="33"/>
      <c r="AA806" s="33"/>
      <c r="AB806" s="35"/>
      <c r="AC806" s="34"/>
      <c r="AD806" s="34"/>
      <c r="AE806" s="34"/>
      <c r="AF806" s="34"/>
      <c r="AG806" s="34"/>
      <c r="AH806" s="33"/>
      <c r="AI806" s="33"/>
      <c r="AJ806" s="34"/>
      <c r="AK806" s="33"/>
      <c r="AL806" s="33"/>
      <c r="AM806" s="33"/>
      <c r="AN806" s="34"/>
      <c r="AO806" s="34"/>
      <c r="AP806" s="33"/>
      <c r="AQ806" s="34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4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5"/>
      <c r="CC806" s="33"/>
      <c r="CD806" s="33"/>
      <c r="CE806" s="33"/>
      <c r="CF806" s="34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4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4"/>
      <c r="DN806" s="34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  <c r="EE806" s="33"/>
      <c r="EF806" s="33"/>
      <c r="EG806" s="38"/>
    </row>
    <row r="807" spans="2:137" ht="13.2">
      <c r="B807" s="30" t="str">
        <f t="shared" si="24"/>
        <v/>
      </c>
      <c r="C807" s="31" t="str">
        <f t="shared" si="26"/>
        <v/>
      </c>
      <c r="D807" s="32"/>
      <c r="E807" s="33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3"/>
      <c r="R807" s="33"/>
      <c r="S807" s="33"/>
      <c r="T807" s="33"/>
      <c r="U807" s="35"/>
      <c r="V807" s="36"/>
      <c r="W807" s="37"/>
      <c r="X807" s="34"/>
      <c r="Y807" s="33"/>
      <c r="Z807" s="33"/>
      <c r="AA807" s="33"/>
      <c r="AB807" s="35"/>
      <c r="AC807" s="34"/>
      <c r="AD807" s="34"/>
      <c r="AE807" s="34"/>
      <c r="AF807" s="34"/>
      <c r="AG807" s="34"/>
      <c r="AH807" s="33"/>
      <c r="AI807" s="33"/>
      <c r="AJ807" s="34"/>
      <c r="AK807" s="33"/>
      <c r="AL807" s="33"/>
      <c r="AM807" s="33"/>
      <c r="AN807" s="34"/>
      <c r="AO807" s="34"/>
      <c r="AP807" s="33"/>
      <c r="AQ807" s="34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4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5"/>
      <c r="CC807" s="33"/>
      <c r="CD807" s="33"/>
      <c r="CE807" s="33"/>
      <c r="CF807" s="34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4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4"/>
      <c r="DN807" s="34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  <c r="EE807" s="33"/>
      <c r="EF807" s="33"/>
      <c r="EG807" s="38"/>
    </row>
    <row r="808" spans="2:137" ht="13.2">
      <c r="B808" s="30" t="str">
        <f t="shared" si="24"/>
        <v/>
      </c>
      <c r="C808" s="31" t="str">
        <f t="shared" si="26"/>
        <v/>
      </c>
      <c r="D808" s="32"/>
      <c r="E808" s="33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3"/>
      <c r="R808" s="33"/>
      <c r="S808" s="33"/>
      <c r="T808" s="33"/>
      <c r="U808" s="35"/>
      <c r="V808" s="36"/>
      <c r="W808" s="37"/>
      <c r="X808" s="34"/>
      <c r="Y808" s="33"/>
      <c r="Z808" s="33"/>
      <c r="AA808" s="33"/>
      <c r="AB808" s="35"/>
      <c r="AC808" s="34"/>
      <c r="AD808" s="34"/>
      <c r="AE808" s="34"/>
      <c r="AF808" s="34"/>
      <c r="AG808" s="34"/>
      <c r="AH808" s="33"/>
      <c r="AI808" s="33"/>
      <c r="AJ808" s="34"/>
      <c r="AK808" s="33"/>
      <c r="AL808" s="33"/>
      <c r="AM808" s="33"/>
      <c r="AN808" s="34"/>
      <c r="AO808" s="34"/>
      <c r="AP808" s="33"/>
      <c r="AQ808" s="34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4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5"/>
      <c r="CC808" s="33"/>
      <c r="CD808" s="33"/>
      <c r="CE808" s="33"/>
      <c r="CF808" s="34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4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4"/>
      <c r="DN808" s="34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  <c r="EE808" s="33"/>
      <c r="EF808" s="33"/>
      <c r="EG808" s="38"/>
    </row>
    <row r="809" spans="2:137" ht="13.2">
      <c r="B809" s="30" t="str">
        <f t="shared" si="24"/>
        <v/>
      </c>
      <c r="C809" s="31" t="str">
        <f t="shared" si="26"/>
        <v/>
      </c>
      <c r="D809" s="32"/>
      <c r="E809" s="33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3"/>
      <c r="R809" s="33"/>
      <c r="S809" s="33"/>
      <c r="T809" s="33"/>
      <c r="U809" s="35"/>
      <c r="V809" s="36"/>
      <c r="W809" s="37"/>
      <c r="X809" s="34"/>
      <c r="Y809" s="33"/>
      <c r="Z809" s="33"/>
      <c r="AA809" s="33"/>
      <c r="AB809" s="35"/>
      <c r="AC809" s="34"/>
      <c r="AD809" s="34"/>
      <c r="AE809" s="34"/>
      <c r="AF809" s="34"/>
      <c r="AG809" s="34"/>
      <c r="AH809" s="33"/>
      <c r="AI809" s="33"/>
      <c r="AJ809" s="34"/>
      <c r="AK809" s="33"/>
      <c r="AL809" s="33"/>
      <c r="AM809" s="33"/>
      <c r="AN809" s="34"/>
      <c r="AO809" s="34"/>
      <c r="AP809" s="33"/>
      <c r="AQ809" s="34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4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5"/>
      <c r="CC809" s="33"/>
      <c r="CD809" s="33"/>
      <c r="CE809" s="33"/>
      <c r="CF809" s="34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4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4"/>
      <c r="DN809" s="34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  <c r="EE809" s="33"/>
      <c r="EF809" s="33"/>
      <c r="EG809" s="38"/>
    </row>
    <row r="810" spans="2:137" ht="13.2">
      <c r="B810" s="30" t="str">
        <f t="shared" si="24"/>
        <v/>
      </c>
      <c r="C810" s="31" t="str">
        <f t="shared" si="26"/>
        <v/>
      </c>
      <c r="D810" s="32"/>
      <c r="E810" s="33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3"/>
      <c r="R810" s="33"/>
      <c r="S810" s="33"/>
      <c r="T810" s="33"/>
      <c r="U810" s="35"/>
      <c r="V810" s="36"/>
      <c r="W810" s="37"/>
      <c r="X810" s="34"/>
      <c r="Y810" s="33"/>
      <c r="Z810" s="33"/>
      <c r="AA810" s="33"/>
      <c r="AB810" s="35"/>
      <c r="AC810" s="34"/>
      <c r="AD810" s="34"/>
      <c r="AE810" s="34"/>
      <c r="AF810" s="34"/>
      <c r="AG810" s="34"/>
      <c r="AH810" s="33"/>
      <c r="AI810" s="33"/>
      <c r="AJ810" s="34"/>
      <c r="AK810" s="33"/>
      <c r="AL810" s="33"/>
      <c r="AM810" s="33"/>
      <c r="AN810" s="34"/>
      <c r="AO810" s="34"/>
      <c r="AP810" s="33"/>
      <c r="AQ810" s="34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4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5"/>
      <c r="CC810" s="33"/>
      <c r="CD810" s="33"/>
      <c r="CE810" s="33"/>
      <c r="CF810" s="34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4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3"/>
      <c r="DL810" s="33"/>
      <c r="DM810" s="34"/>
      <c r="DN810" s="34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  <c r="EE810" s="33"/>
      <c r="EF810" s="33"/>
      <c r="EG810" s="38"/>
    </row>
    <row r="811" spans="2:137" ht="13.2">
      <c r="B811" s="30" t="str">
        <f t="shared" si="24"/>
        <v/>
      </c>
      <c r="C811" s="31" t="str">
        <f t="shared" si="26"/>
        <v/>
      </c>
      <c r="D811" s="32"/>
      <c r="E811" s="33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3"/>
      <c r="R811" s="33"/>
      <c r="S811" s="33"/>
      <c r="T811" s="33"/>
      <c r="U811" s="35"/>
      <c r="V811" s="36"/>
      <c r="W811" s="37"/>
      <c r="X811" s="34"/>
      <c r="Y811" s="33"/>
      <c r="Z811" s="33"/>
      <c r="AA811" s="33"/>
      <c r="AB811" s="35"/>
      <c r="AC811" s="34"/>
      <c r="AD811" s="34"/>
      <c r="AE811" s="34"/>
      <c r="AF811" s="34"/>
      <c r="AG811" s="34"/>
      <c r="AH811" s="33"/>
      <c r="AI811" s="33"/>
      <c r="AJ811" s="34"/>
      <c r="AK811" s="33"/>
      <c r="AL811" s="33"/>
      <c r="AM811" s="33"/>
      <c r="AN811" s="34"/>
      <c r="AO811" s="34"/>
      <c r="AP811" s="33"/>
      <c r="AQ811" s="34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4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5"/>
      <c r="CC811" s="33"/>
      <c r="CD811" s="33"/>
      <c r="CE811" s="33"/>
      <c r="CF811" s="34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4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4"/>
      <c r="DN811" s="34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  <c r="EE811" s="33"/>
      <c r="EF811" s="33"/>
      <c r="EG811" s="38"/>
    </row>
    <row r="812" spans="2:137" ht="13.2">
      <c r="B812" s="30" t="str">
        <f t="shared" si="24"/>
        <v/>
      </c>
      <c r="C812" s="31" t="str">
        <f t="shared" si="26"/>
        <v/>
      </c>
      <c r="D812" s="32"/>
      <c r="E812" s="33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3"/>
      <c r="R812" s="33"/>
      <c r="S812" s="33"/>
      <c r="T812" s="33"/>
      <c r="U812" s="35"/>
      <c r="V812" s="36"/>
      <c r="W812" s="37"/>
      <c r="X812" s="34"/>
      <c r="Y812" s="33"/>
      <c r="Z812" s="33"/>
      <c r="AA812" s="33"/>
      <c r="AB812" s="35"/>
      <c r="AC812" s="34"/>
      <c r="AD812" s="34"/>
      <c r="AE812" s="34"/>
      <c r="AF812" s="34"/>
      <c r="AG812" s="34"/>
      <c r="AH812" s="33"/>
      <c r="AI812" s="33"/>
      <c r="AJ812" s="34"/>
      <c r="AK812" s="33"/>
      <c r="AL812" s="33"/>
      <c r="AM812" s="33"/>
      <c r="AN812" s="34"/>
      <c r="AO812" s="34"/>
      <c r="AP812" s="33"/>
      <c r="AQ812" s="34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4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5"/>
      <c r="CC812" s="33"/>
      <c r="CD812" s="33"/>
      <c r="CE812" s="33"/>
      <c r="CF812" s="34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4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4"/>
      <c r="DN812" s="34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  <c r="EE812" s="33"/>
      <c r="EF812" s="33"/>
      <c r="EG812" s="38"/>
    </row>
    <row r="813" spans="2:137" ht="13.2">
      <c r="B813" s="30" t="str">
        <f t="shared" si="24"/>
        <v/>
      </c>
      <c r="C813" s="31" t="str">
        <f t="shared" si="26"/>
        <v/>
      </c>
      <c r="D813" s="32"/>
      <c r="E813" s="33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3"/>
      <c r="R813" s="33"/>
      <c r="S813" s="33"/>
      <c r="T813" s="33"/>
      <c r="U813" s="35"/>
      <c r="V813" s="36"/>
      <c r="W813" s="37"/>
      <c r="X813" s="34"/>
      <c r="Y813" s="33"/>
      <c r="Z813" s="33"/>
      <c r="AA813" s="33"/>
      <c r="AB813" s="35"/>
      <c r="AC813" s="34"/>
      <c r="AD813" s="34"/>
      <c r="AE813" s="34"/>
      <c r="AF813" s="34"/>
      <c r="AG813" s="34"/>
      <c r="AH813" s="33"/>
      <c r="AI813" s="33"/>
      <c r="AJ813" s="34"/>
      <c r="AK813" s="33"/>
      <c r="AL813" s="33"/>
      <c r="AM813" s="33"/>
      <c r="AN813" s="34"/>
      <c r="AO813" s="34"/>
      <c r="AP813" s="33"/>
      <c r="AQ813" s="34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4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5"/>
      <c r="CC813" s="33"/>
      <c r="CD813" s="33"/>
      <c r="CE813" s="33"/>
      <c r="CF813" s="34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4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4"/>
      <c r="DN813" s="34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  <c r="EE813" s="33"/>
      <c r="EF813" s="33"/>
      <c r="EG813" s="38"/>
    </row>
    <row r="814" spans="2:137" ht="13.2">
      <c r="B814" s="30" t="str">
        <f t="shared" si="24"/>
        <v/>
      </c>
      <c r="C814" s="31" t="str">
        <f t="shared" si="26"/>
        <v/>
      </c>
      <c r="D814" s="32"/>
      <c r="E814" s="33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3"/>
      <c r="R814" s="33"/>
      <c r="S814" s="33"/>
      <c r="T814" s="33"/>
      <c r="U814" s="35"/>
      <c r="V814" s="36"/>
      <c r="W814" s="37"/>
      <c r="X814" s="34"/>
      <c r="Y814" s="33"/>
      <c r="Z814" s="33"/>
      <c r="AA814" s="33"/>
      <c r="AB814" s="35"/>
      <c r="AC814" s="34"/>
      <c r="AD814" s="34"/>
      <c r="AE814" s="34"/>
      <c r="AF814" s="34"/>
      <c r="AG814" s="34"/>
      <c r="AH814" s="33"/>
      <c r="AI814" s="33"/>
      <c r="AJ814" s="34"/>
      <c r="AK814" s="33"/>
      <c r="AL814" s="33"/>
      <c r="AM814" s="33"/>
      <c r="AN814" s="34"/>
      <c r="AO814" s="34"/>
      <c r="AP814" s="33"/>
      <c r="AQ814" s="34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4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5"/>
      <c r="CC814" s="33"/>
      <c r="CD814" s="33"/>
      <c r="CE814" s="33"/>
      <c r="CF814" s="34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4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4"/>
      <c r="DN814" s="34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  <c r="EE814" s="33"/>
      <c r="EF814" s="33"/>
      <c r="EG814" s="38"/>
    </row>
    <row r="815" spans="2:137" ht="13.2">
      <c r="B815" s="30" t="str">
        <f t="shared" si="24"/>
        <v/>
      </c>
      <c r="C815" s="31" t="str">
        <f t="shared" si="26"/>
        <v/>
      </c>
      <c r="D815" s="32"/>
      <c r="E815" s="33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3"/>
      <c r="R815" s="33"/>
      <c r="S815" s="33"/>
      <c r="T815" s="33"/>
      <c r="U815" s="35"/>
      <c r="V815" s="36"/>
      <c r="W815" s="37"/>
      <c r="X815" s="34"/>
      <c r="Y815" s="33"/>
      <c r="Z815" s="33"/>
      <c r="AA815" s="33"/>
      <c r="AB815" s="35"/>
      <c r="AC815" s="34"/>
      <c r="AD815" s="34"/>
      <c r="AE815" s="34"/>
      <c r="AF815" s="34"/>
      <c r="AG815" s="34"/>
      <c r="AH815" s="33"/>
      <c r="AI815" s="33"/>
      <c r="AJ815" s="34"/>
      <c r="AK815" s="33"/>
      <c r="AL815" s="33"/>
      <c r="AM815" s="33"/>
      <c r="AN815" s="34"/>
      <c r="AO815" s="34"/>
      <c r="AP815" s="33"/>
      <c r="AQ815" s="34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4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5"/>
      <c r="CC815" s="33"/>
      <c r="CD815" s="33"/>
      <c r="CE815" s="33"/>
      <c r="CF815" s="34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4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4"/>
      <c r="DN815" s="34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  <c r="EE815" s="33"/>
      <c r="EF815" s="33"/>
      <c r="EG815" s="38"/>
    </row>
    <row r="816" spans="2:137" ht="13.2">
      <c r="B816" s="30" t="str">
        <f t="shared" si="24"/>
        <v/>
      </c>
      <c r="C816" s="31" t="str">
        <f t="shared" si="26"/>
        <v/>
      </c>
      <c r="D816" s="32"/>
      <c r="E816" s="33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3"/>
      <c r="R816" s="33"/>
      <c r="S816" s="33"/>
      <c r="T816" s="33"/>
      <c r="U816" s="35"/>
      <c r="V816" s="36"/>
      <c r="W816" s="37"/>
      <c r="X816" s="34"/>
      <c r="Y816" s="33"/>
      <c r="Z816" s="33"/>
      <c r="AA816" s="33"/>
      <c r="AB816" s="35"/>
      <c r="AC816" s="34"/>
      <c r="AD816" s="34"/>
      <c r="AE816" s="34"/>
      <c r="AF816" s="34"/>
      <c r="AG816" s="34"/>
      <c r="AH816" s="33"/>
      <c r="AI816" s="33"/>
      <c r="AJ816" s="34"/>
      <c r="AK816" s="33"/>
      <c r="AL816" s="33"/>
      <c r="AM816" s="33"/>
      <c r="AN816" s="34"/>
      <c r="AO816" s="34"/>
      <c r="AP816" s="33"/>
      <c r="AQ816" s="34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4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5"/>
      <c r="CC816" s="33"/>
      <c r="CD816" s="33"/>
      <c r="CE816" s="33"/>
      <c r="CF816" s="34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4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4"/>
      <c r="DN816" s="34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  <c r="EE816" s="33"/>
      <c r="EF816" s="33"/>
      <c r="EG816" s="38"/>
    </row>
    <row r="817" spans="2:137" ht="13.2">
      <c r="B817" s="30" t="str">
        <f t="shared" si="24"/>
        <v/>
      </c>
      <c r="C817" s="31" t="str">
        <f t="shared" si="26"/>
        <v/>
      </c>
      <c r="D817" s="32"/>
      <c r="E817" s="33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3"/>
      <c r="R817" s="33"/>
      <c r="S817" s="33"/>
      <c r="T817" s="33"/>
      <c r="U817" s="35"/>
      <c r="V817" s="36"/>
      <c r="W817" s="37"/>
      <c r="X817" s="34"/>
      <c r="Y817" s="33"/>
      <c r="Z817" s="33"/>
      <c r="AA817" s="33"/>
      <c r="AB817" s="35"/>
      <c r="AC817" s="34"/>
      <c r="AD817" s="34"/>
      <c r="AE817" s="34"/>
      <c r="AF817" s="34"/>
      <c r="AG817" s="34"/>
      <c r="AH817" s="33"/>
      <c r="AI817" s="33"/>
      <c r="AJ817" s="34"/>
      <c r="AK817" s="33"/>
      <c r="AL817" s="33"/>
      <c r="AM817" s="33"/>
      <c r="AN817" s="34"/>
      <c r="AO817" s="34"/>
      <c r="AP817" s="33"/>
      <c r="AQ817" s="34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4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5"/>
      <c r="CC817" s="33"/>
      <c r="CD817" s="33"/>
      <c r="CE817" s="33"/>
      <c r="CF817" s="34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4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4"/>
      <c r="DN817" s="34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  <c r="EE817" s="33"/>
      <c r="EF817" s="33"/>
      <c r="EG817" s="38"/>
    </row>
    <row r="818" spans="2:137" ht="13.2">
      <c r="B818" s="30" t="str">
        <f t="shared" si="24"/>
        <v/>
      </c>
      <c r="C818" s="31" t="str">
        <f t="shared" si="26"/>
        <v/>
      </c>
      <c r="D818" s="32"/>
      <c r="E818" s="33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3"/>
      <c r="R818" s="33"/>
      <c r="S818" s="33"/>
      <c r="T818" s="33"/>
      <c r="U818" s="35"/>
      <c r="V818" s="36"/>
      <c r="W818" s="37"/>
      <c r="X818" s="34"/>
      <c r="Y818" s="33"/>
      <c r="Z818" s="33"/>
      <c r="AA818" s="33"/>
      <c r="AB818" s="35"/>
      <c r="AC818" s="34"/>
      <c r="AD818" s="34"/>
      <c r="AE818" s="34"/>
      <c r="AF818" s="34"/>
      <c r="AG818" s="34"/>
      <c r="AH818" s="33"/>
      <c r="AI818" s="33"/>
      <c r="AJ818" s="34"/>
      <c r="AK818" s="33"/>
      <c r="AL818" s="33"/>
      <c r="AM818" s="33"/>
      <c r="AN818" s="34"/>
      <c r="AO818" s="34"/>
      <c r="AP818" s="33"/>
      <c r="AQ818" s="34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4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5"/>
      <c r="CC818" s="33"/>
      <c r="CD818" s="33"/>
      <c r="CE818" s="33"/>
      <c r="CF818" s="34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4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4"/>
      <c r="DN818" s="34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  <c r="EE818" s="33"/>
      <c r="EF818" s="33"/>
      <c r="EG818" s="38"/>
    </row>
    <row r="819" spans="2:137" ht="13.2">
      <c r="B819" s="30" t="str">
        <f t="shared" si="24"/>
        <v/>
      </c>
      <c r="C819" s="31" t="str">
        <f t="shared" si="26"/>
        <v/>
      </c>
      <c r="D819" s="32"/>
      <c r="E819" s="33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3"/>
      <c r="R819" s="33"/>
      <c r="S819" s="33"/>
      <c r="T819" s="33"/>
      <c r="U819" s="35"/>
      <c r="V819" s="36"/>
      <c r="W819" s="37"/>
      <c r="X819" s="34"/>
      <c r="Y819" s="33"/>
      <c r="Z819" s="33"/>
      <c r="AA819" s="33"/>
      <c r="AB819" s="35"/>
      <c r="AC819" s="34"/>
      <c r="AD819" s="34"/>
      <c r="AE819" s="34"/>
      <c r="AF819" s="34"/>
      <c r="AG819" s="34"/>
      <c r="AH819" s="33"/>
      <c r="AI819" s="33"/>
      <c r="AJ819" s="34"/>
      <c r="AK819" s="33"/>
      <c r="AL819" s="33"/>
      <c r="AM819" s="33"/>
      <c r="AN819" s="34"/>
      <c r="AO819" s="34"/>
      <c r="AP819" s="33"/>
      <c r="AQ819" s="34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4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5"/>
      <c r="CC819" s="33"/>
      <c r="CD819" s="33"/>
      <c r="CE819" s="33"/>
      <c r="CF819" s="34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4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4"/>
      <c r="DN819" s="34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  <c r="EE819" s="33"/>
      <c r="EF819" s="33"/>
      <c r="EG819" s="38"/>
    </row>
    <row r="820" spans="2:137" ht="13.2">
      <c r="B820" s="30" t="str">
        <f t="shared" si="24"/>
        <v/>
      </c>
      <c r="C820" s="31" t="str">
        <f t="shared" si="26"/>
        <v/>
      </c>
      <c r="D820" s="32"/>
      <c r="E820" s="33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3"/>
      <c r="R820" s="33"/>
      <c r="S820" s="33"/>
      <c r="T820" s="33"/>
      <c r="U820" s="35"/>
      <c r="V820" s="36"/>
      <c r="W820" s="37"/>
      <c r="X820" s="34"/>
      <c r="Y820" s="33"/>
      <c r="Z820" s="33"/>
      <c r="AA820" s="33"/>
      <c r="AB820" s="35"/>
      <c r="AC820" s="34"/>
      <c r="AD820" s="34"/>
      <c r="AE820" s="34"/>
      <c r="AF820" s="34"/>
      <c r="AG820" s="34"/>
      <c r="AH820" s="33"/>
      <c r="AI820" s="33"/>
      <c r="AJ820" s="34"/>
      <c r="AK820" s="33"/>
      <c r="AL820" s="33"/>
      <c r="AM820" s="33"/>
      <c r="AN820" s="34"/>
      <c r="AO820" s="34"/>
      <c r="AP820" s="33"/>
      <c r="AQ820" s="34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4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5"/>
      <c r="CC820" s="33"/>
      <c r="CD820" s="33"/>
      <c r="CE820" s="33"/>
      <c r="CF820" s="34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4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4"/>
      <c r="DN820" s="34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  <c r="EE820" s="33"/>
      <c r="EF820" s="33"/>
      <c r="EG820" s="38"/>
    </row>
    <row r="821" spans="2:137" ht="13.2">
      <c r="B821" s="30" t="str">
        <f t="shared" si="24"/>
        <v/>
      </c>
      <c r="C821" s="31" t="str">
        <f t="shared" si="26"/>
        <v/>
      </c>
      <c r="D821" s="32"/>
      <c r="E821" s="33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3"/>
      <c r="R821" s="33"/>
      <c r="S821" s="33"/>
      <c r="T821" s="33"/>
      <c r="U821" s="35"/>
      <c r="V821" s="36"/>
      <c r="W821" s="37"/>
      <c r="X821" s="34"/>
      <c r="Y821" s="33"/>
      <c r="Z821" s="33"/>
      <c r="AA821" s="33"/>
      <c r="AB821" s="35"/>
      <c r="AC821" s="34"/>
      <c r="AD821" s="34"/>
      <c r="AE821" s="34"/>
      <c r="AF821" s="34"/>
      <c r="AG821" s="34"/>
      <c r="AH821" s="33"/>
      <c r="AI821" s="33"/>
      <c r="AJ821" s="34"/>
      <c r="AK821" s="33"/>
      <c r="AL821" s="33"/>
      <c r="AM821" s="33"/>
      <c r="AN821" s="34"/>
      <c r="AO821" s="34"/>
      <c r="AP821" s="33"/>
      <c r="AQ821" s="34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4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5"/>
      <c r="CC821" s="33"/>
      <c r="CD821" s="33"/>
      <c r="CE821" s="33"/>
      <c r="CF821" s="34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4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4"/>
      <c r="DN821" s="34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  <c r="EE821" s="33"/>
      <c r="EF821" s="33"/>
      <c r="EG821" s="38"/>
    </row>
    <row r="822" spans="2:137" ht="13.2">
      <c r="B822" s="30" t="str">
        <f t="shared" si="24"/>
        <v/>
      </c>
      <c r="C822" s="31" t="str">
        <f t="shared" si="26"/>
        <v/>
      </c>
      <c r="D822" s="32"/>
      <c r="E822" s="33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3"/>
      <c r="R822" s="33"/>
      <c r="S822" s="33"/>
      <c r="T822" s="33"/>
      <c r="U822" s="35"/>
      <c r="V822" s="36"/>
      <c r="W822" s="37"/>
      <c r="X822" s="34"/>
      <c r="Y822" s="33"/>
      <c r="Z822" s="33"/>
      <c r="AA822" s="33"/>
      <c r="AB822" s="35"/>
      <c r="AC822" s="34"/>
      <c r="AD822" s="34"/>
      <c r="AE822" s="34"/>
      <c r="AF822" s="34"/>
      <c r="AG822" s="34"/>
      <c r="AH822" s="33"/>
      <c r="AI822" s="33"/>
      <c r="AJ822" s="34"/>
      <c r="AK822" s="33"/>
      <c r="AL822" s="33"/>
      <c r="AM822" s="33"/>
      <c r="AN822" s="34"/>
      <c r="AO822" s="34"/>
      <c r="AP822" s="33"/>
      <c r="AQ822" s="34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4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5"/>
      <c r="CC822" s="33"/>
      <c r="CD822" s="33"/>
      <c r="CE822" s="33"/>
      <c r="CF822" s="34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4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4"/>
      <c r="DN822" s="34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  <c r="EE822" s="33"/>
      <c r="EF822" s="33"/>
      <c r="EG822" s="38"/>
    </row>
    <row r="823" spans="2:137" ht="13.2">
      <c r="B823" s="30" t="str">
        <f t="shared" si="24"/>
        <v/>
      </c>
      <c r="C823" s="31" t="str">
        <f t="shared" si="26"/>
        <v/>
      </c>
      <c r="D823" s="32"/>
      <c r="E823" s="33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3"/>
      <c r="R823" s="33"/>
      <c r="S823" s="33"/>
      <c r="T823" s="33"/>
      <c r="U823" s="35"/>
      <c r="V823" s="36"/>
      <c r="W823" s="37"/>
      <c r="X823" s="34"/>
      <c r="Y823" s="33"/>
      <c r="Z823" s="33"/>
      <c r="AA823" s="33"/>
      <c r="AB823" s="35"/>
      <c r="AC823" s="34"/>
      <c r="AD823" s="34"/>
      <c r="AE823" s="34"/>
      <c r="AF823" s="34"/>
      <c r="AG823" s="34"/>
      <c r="AH823" s="33"/>
      <c r="AI823" s="33"/>
      <c r="AJ823" s="34"/>
      <c r="AK823" s="33"/>
      <c r="AL823" s="33"/>
      <c r="AM823" s="33"/>
      <c r="AN823" s="34"/>
      <c r="AO823" s="34"/>
      <c r="AP823" s="33"/>
      <c r="AQ823" s="34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4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5"/>
      <c r="CC823" s="33"/>
      <c r="CD823" s="33"/>
      <c r="CE823" s="33"/>
      <c r="CF823" s="34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4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4"/>
      <c r="DN823" s="34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  <c r="EE823" s="33"/>
      <c r="EF823" s="33"/>
      <c r="EG823" s="38"/>
    </row>
    <row r="824" spans="2:137" ht="13.2">
      <c r="B824" s="30" t="str">
        <f t="shared" si="24"/>
        <v/>
      </c>
      <c r="C824" s="31" t="str">
        <f t="shared" si="26"/>
        <v/>
      </c>
      <c r="D824" s="32"/>
      <c r="E824" s="33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3"/>
      <c r="R824" s="33"/>
      <c r="S824" s="33"/>
      <c r="T824" s="33"/>
      <c r="U824" s="35"/>
      <c r="V824" s="36"/>
      <c r="W824" s="37"/>
      <c r="X824" s="34"/>
      <c r="Y824" s="33"/>
      <c r="Z824" s="33"/>
      <c r="AA824" s="33"/>
      <c r="AB824" s="35"/>
      <c r="AC824" s="34"/>
      <c r="AD824" s="34"/>
      <c r="AE824" s="34"/>
      <c r="AF824" s="34"/>
      <c r="AG824" s="34"/>
      <c r="AH824" s="33"/>
      <c r="AI824" s="33"/>
      <c r="AJ824" s="34"/>
      <c r="AK824" s="33"/>
      <c r="AL824" s="33"/>
      <c r="AM824" s="33"/>
      <c r="AN824" s="34"/>
      <c r="AO824" s="34"/>
      <c r="AP824" s="33"/>
      <c r="AQ824" s="34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4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5"/>
      <c r="CC824" s="33"/>
      <c r="CD824" s="33"/>
      <c r="CE824" s="33"/>
      <c r="CF824" s="34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4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4"/>
      <c r="DN824" s="34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  <c r="EE824" s="33"/>
      <c r="EF824" s="33"/>
      <c r="EG824" s="38"/>
    </row>
    <row r="825" spans="2:137" ht="13.2">
      <c r="B825" s="30" t="str">
        <f t="shared" si="24"/>
        <v/>
      </c>
      <c r="C825" s="31" t="str">
        <f t="shared" si="26"/>
        <v/>
      </c>
      <c r="D825" s="32"/>
      <c r="E825" s="33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3"/>
      <c r="R825" s="33"/>
      <c r="S825" s="33"/>
      <c r="T825" s="33"/>
      <c r="U825" s="35"/>
      <c r="V825" s="36"/>
      <c r="W825" s="37"/>
      <c r="X825" s="34"/>
      <c r="Y825" s="33"/>
      <c r="Z825" s="33"/>
      <c r="AA825" s="33"/>
      <c r="AB825" s="35"/>
      <c r="AC825" s="34"/>
      <c r="AD825" s="34"/>
      <c r="AE825" s="34"/>
      <c r="AF825" s="34"/>
      <c r="AG825" s="34"/>
      <c r="AH825" s="33"/>
      <c r="AI825" s="33"/>
      <c r="AJ825" s="34"/>
      <c r="AK825" s="33"/>
      <c r="AL825" s="33"/>
      <c r="AM825" s="33"/>
      <c r="AN825" s="34"/>
      <c r="AO825" s="34"/>
      <c r="AP825" s="33"/>
      <c r="AQ825" s="34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4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5"/>
      <c r="CC825" s="33"/>
      <c r="CD825" s="33"/>
      <c r="CE825" s="33"/>
      <c r="CF825" s="34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4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4"/>
      <c r="DN825" s="34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  <c r="EE825" s="33"/>
      <c r="EF825" s="33"/>
      <c r="EG825" s="38"/>
    </row>
    <row r="826" spans="2:137" ht="13.2">
      <c r="B826" s="30" t="str">
        <f t="shared" si="24"/>
        <v/>
      </c>
      <c r="C826" s="31" t="str">
        <f t="shared" si="26"/>
        <v/>
      </c>
      <c r="D826" s="32"/>
      <c r="E826" s="33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3"/>
      <c r="R826" s="33"/>
      <c r="S826" s="33"/>
      <c r="T826" s="33"/>
      <c r="U826" s="35"/>
      <c r="V826" s="36"/>
      <c r="W826" s="37"/>
      <c r="X826" s="34"/>
      <c r="Y826" s="33"/>
      <c r="Z826" s="33"/>
      <c r="AA826" s="33"/>
      <c r="AB826" s="35"/>
      <c r="AC826" s="34"/>
      <c r="AD826" s="34"/>
      <c r="AE826" s="34"/>
      <c r="AF826" s="34"/>
      <c r="AG826" s="34"/>
      <c r="AH826" s="33"/>
      <c r="AI826" s="33"/>
      <c r="AJ826" s="34"/>
      <c r="AK826" s="33"/>
      <c r="AL826" s="33"/>
      <c r="AM826" s="33"/>
      <c r="AN826" s="34"/>
      <c r="AO826" s="34"/>
      <c r="AP826" s="33"/>
      <c r="AQ826" s="34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4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5"/>
      <c r="CC826" s="33"/>
      <c r="CD826" s="33"/>
      <c r="CE826" s="33"/>
      <c r="CF826" s="34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4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4"/>
      <c r="DN826" s="34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  <c r="EE826" s="33"/>
      <c r="EF826" s="33"/>
      <c r="EG826" s="38"/>
    </row>
    <row r="827" spans="2:137" ht="13.2">
      <c r="B827" s="30" t="str">
        <f t="shared" si="24"/>
        <v/>
      </c>
      <c r="C827" s="31" t="str">
        <f t="shared" si="26"/>
        <v/>
      </c>
      <c r="D827" s="32"/>
      <c r="E827" s="33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3"/>
      <c r="R827" s="33"/>
      <c r="S827" s="33"/>
      <c r="T827" s="33"/>
      <c r="U827" s="35"/>
      <c r="V827" s="36"/>
      <c r="W827" s="37"/>
      <c r="X827" s="34"/>
      <c r="Y827" s="33"/>
      <c r="Z827" s="33"/>
      <c r="AA827" s="33"/>
      <c r="AB827" s="35"/>
      <c r="AC827" s="34"/>
      <c r="AD827" s="34"/>
      <c r="AE827" s="34"/>
      <c r="AF827" s="34"/>
      <c r="AG827" s="34"/>
      <c r="AH827" s="33"/>
      <c r="AI827" s="33"/>
      <c r="AJ827" s="34"/>
      <c r="AK827" s="33"/>
      <c r="AL827" s="33"/>
      <c r="AM827" s="33"/>
      <c r="AN827" s="34"/>
      <c r="AO827" s="34"/>
      <c r="AP827" s="33"/>
      <c r="AQ827" s="34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4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5"/>
      <c r="CC827" s="33"/>
      <c r="CD827" s="33"/>
      <c r="CE827" s="33"/>
      <c r="CF827" s="34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4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3"/>
      <c r="DL827" s="33"/>
      <c r="DM827" s="34"/>
      <c r="DN827" s="34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  <c r="EE827" s="33"/>
      <c r="EF827" s="33"/>
      <c r="EG827" s="38"/>
    </row>
    <row r="828" spans="2:137" ht="13.2">
      <c r="B828" s="30" t="str">
        <f t="shared" si="24"/>
        <v/>
      </c>
      <c r="C828" s="31" t="str">
        <f t="shared" si="26"/>
        <v/>
      </c>
      <c r="D828" s="32"/>
      <c r="E828" s="33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3"/>
      <c r="R828" s="33"/>
      <c r="S828" s="33"/>
      <c r="T828" s="33"/>
      <c r="U828" s="35"/>
      <c r="V828" s="36"/>
      <c r="W828" s="37"/>
      <c r="X828" s="34"/>
      <c r="Y828" s="33"/>
      <c r="Z828" s="33"/>
      <c r="AA828" s="33"/>
      <c r="AB828" s="35"/>
      <c r="AC828" s="34"/>
      <c r="AD828" s="34"/>
      <c r="AE828" s="34"/>
      <c r="AF828" s="34"/>
      <c r="AG828" s="34"/>
      <c r="AH828" s="33"/>
      <c r="AI828" s="33"/>
      <c r="AJ828" s="34"/>
      <c r="AK828" s="33"/>
      <c r="AL828" s="33"/>
      <c r="AM828" s="33"/>
      <c r="AN828" s="34"/>
      <c r="AO828" s="34"/>
      <c r="AP828" s="33"/>
      <c r="AQ828" s="34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4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5"/>
      <c r="CC828" s="33"/>
      <c r="CD828" s="33"/>
      <c r="CE828" s="33"/>
      <c r="CF828" s="34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4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4"/>
      <c r="DN828" s="34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  <c r="EE828" s="33"/>
      <c r="EF828" s="33"/>
      <c r="EG828" s="38"/>
    </row>
    <row r="829" spans="2:137" ht="13.2">
      <c r="B829" s="30" t="str">
        <f t="shared" si="24"/>
        <v/>
      </c>
      <c r="C829" s="31" t="str">
        <f t="shared" si="26"/>
        <v/>
      </c>
      <c r="D829" s="32"/>
      <c r="E829" s="33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3"/>
      <c r="R829" s="33"/>
      <c r="S829" s="33"/>
      <c r="T829" s="33"/>
      <c r="U829" s="35"/>
      <c r="V829" s="36"/>
      <c r="W829" s="37"/>
      <c r="X829" s="34"/>
      <c r="Y829" s="33"/>
      <c r="Z829" s="33"/>
      <c r="AA829" s="33"/>
      <c r="AB829" s="35"/>
      <c r="AC829" s="34"/>
      <c r="AD829" s="34"/>
      <c r="AE829" s="34"/>
      <c r="AF829" s="34"/>
      <c r="AG829" s="34"/>
      <c r="AH829" s="33"/>
      <c r="AI829" s="33"/>
      <c r="AJ829" s="34"/>
      <c r="AK829" s="33"/>
      <c r="AL829" s="33"/>
      <c r="AM829" s="33"/>
      <c r="AN829" s="34"/>
      <c r="AO829" s="34"/>
      <c r="AP829" s="33"/>
      <c r="AQ829" s="34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4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5"/>
      <c r="CC829" s="33"/>
      <c r="CD829" s="33"/>
      <c r="CE829" s="33"/>
      <c r="CF829" s="34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4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4"/>
      <c r="DN829" s="34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  <c r="EE829" s="33"/>
      <c r="EF829" s="33"/>
      <c r="EG829" s="38"/>
    </row>
    <row r="830" spans="2:137" ht="13.2">
      <c r="B830" s="30" t="str">
        <f t="shared" si="24"/>
        <v/>
      </c>
      <c r="C830" s="31" t="str">
        <f t="shared" si="26"/>
        <v/>
      </c>
      <c r="D830" s="32"/>
      <c r="E830" s="33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3"/>
      <c r="R830" s="33"/>
      <c r="S830" s="33"/>
      <c r="T830" s="33"/>
      <c r="U830" s="35"/>
      <c r="V830" s="36"/>
      <c r="W830" s="37"/>
      <c r="X830" s="34"/>
      <c r="Y830" s="33"/>
      <c r="Z830" s="33"/>
      <c r="AA830" s="33"/>
      <c r="AB830" s="35"/>
      <c r="AC830" s="34"/>
      <c r="AD830" s="34"/>
      <c r="AE830" s="34"/>
      <c r="AF830" s="34"/>
      <c r="AG830" s="34"/>
      <c r="AH830" s="33"/>
      <c r="AI830" s="33"/>
      <c r="AJ830" s="34"/>
      <c r="AK830" s="33"/>
      <c r="AL830" s="33"/>
      <c r="AM830" s="33"/>
      <c r="AN830" s="34"/>
      <c r="AO830" s="34"/>
      <c r="AP830" s="33"/>
      <c r="AQ830" s="34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4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5"/>
      <c r="CC830" s="33"/>
      <c r="CD830" s="33"/>
      <c r="CE830" s="33"/>
      <c r="CF830" s="34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4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4"/>
      <c r="DN830" s="34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  <c r="EE830" s="33"/>
      <c r="EF830" s="33"/>
      <c r="EG830" s="38"/>
    </row>
    <row r="831" spans="2:137" ht="13.2">
      <c r="B831" s="30" t="str">
        <f t="shared" si="24"/>
        <v/>
      </c>
      <c r="C831" s="31" t="str">
        <f t="shared" si="26"/>
        <v/>
      </c>
      <c r="D831" s="32"/>
      <c r="E831" s="33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3"/>
      <c r="R831" s="33"/>
      <c r="S831" s="33"/>
      <c r="T831" s="33"/>
      <c r="U831" s="35"/>
      <c r="V831" s="36"/>
      <c r="W831" s="37"/>
      <c r="X831" s="34"/>
      <c r="Y831" s="33"/>
      <c r="Z831" s="33"/>
      <c r="AA831" s="33"/>
      <c r="AB831" s="35"/>
      <c r="AC831" s="34"/>
      <c r="AD831" s="34"/>
      <c r="AE831" s="34"/>
      <c r="AF831" s="34"/>
      <c r="AG831" s="34"/>
      <c r="AH831" s="33"/>
      <c r="AI831" s="33"/>
      <c r="AJ831" s="34"/>
      <c r="AK831" s="33"/>
      <c r="AL831" s="33"/>
      <c r="AM831" s="33"/>
      <c r="AN831" s="34"/>
      <c r="AO831" s="34"/>
      <c r="AP831" s="33"/>
      <c r="AQ831" s="34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4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5"/>
      <c r="CC831" s="33"/>
      <c r="CD831" s="33"/>
      <c r="CE831" s="33"/>
      <c r="CF831" s="34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4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4"/>
      <c r="DN831" s="34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  <c r="EE831" s="33"/>
      <c r="EF831" s="33"/>
      <c r="EG831" s="38"/>
    </row>
    <row r="832" spans="2:137" ht="13.2">
      <c r="B832" s="30" t="str">
        <f t="shared" si="24"/>
        <v/>
      </c>
      <c r="C832" s="31" t="str">
        <f t="shared" si="26"/>
        <v/>
      </c>
      <c r="D832" s="32"/>
      <c r="E832" s="33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3"/>
      <c r="R832" s="33"/>
      <c r="S832" s="33"/>
      <c r="T832" s="33"/>
      <c r="U832" s="35"/>
      <c r="V832" s="36"/>
      <c r="W832" s="37"/>
      <c r="X832" s="34"/>
      <c r="Y832" s="33"/>
      <c r="Z832" s="33"/>
      <c r="AA832" s="33"/>
      <c r="AB832" s="35"/>
      <c r="AC832" s="34"/>
      <c r="AD832" s="34"/>
      <c r="AE832" s="34"/>
      <c r="AF832" s="34"/>
      <c r="AG832" s="34"/>
      <c r="AH832" s="33"/>
      <c r="AI832" s="33"/>
      <c r="AJ832" s="34"/>
      <c r="AK832" s="33"/>
      <c r="AL832" s="33"/>
      <c r="AM832" s="33"/>
      <c r="AN832" s="34"/>
      <c r="AO832" s="34"/>
      <c r="AP832" s="33"/>
      <c r="AQ832" s="34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4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5"/>
      <c r="CC832" s="33"/>
      <c r="CD832" s="33"/>
      <c r="CE832" s="33"/>
      <c r="CF832" s="34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4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4"/>
      <c r="DN832" s="34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  <c r="EE832" s="33"/>
      <c r="EF832" s="33"/>
      <c r="EG832" s="38"/>
    </row>
    <row r="833" spans="2:137" ht="13.2">
      <c r="B833" s="30" t="str">
        <f t="shared" si="24"/>
        <v/>
      </c>
      <c r="C833" s="31" t="str">
        <f t="shared" si="26"/>
        <v/>
      </c>
      <c r="D833" s="32"/>
      <c r="E833" s="33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3"/>
      <c r="R833" s="33"/>
      <c r="S833" s="33"/>
      <c r="T833" s="33"/>
      <c r="U833" s="35"/>
      <c r="V833" s="36"/>
      <c r="W833" s="37"/>
      <c r="X833" s="34"/>
      <c r="Y833" s="33"/>
      <c r="Z833" s="33"/>
      <c r="AA833" s="33"/>
      <c r="AB833" s="35"/>
      <c r="AC833" s="34"/>
      <c r="AD833" s="34"/>
      <c r="AE833" s="34"/>
      <c r="AF833" s="34"/>
      <c r="AG833" s="34"/>
      <c r="AH833" s="33"/>
      <c r="AI833" s="33"/>
      <c r="AJ833" s="34"/>
      <c r="AK833" s="33"/>
      <c r="AL833" s="33"/>
      <c r="AM833" s="33"/>
      <c r="AN833" s="34"/>
      <c r="AO833" s="34"/>
      <c r="AP833" s="33"/>
      <c r="AQ833" s="34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4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5"/>
      <c r="CC833" s="33"/>
      <c r="CD833" s="33"/>
      <c r="CE833" s="33"/>
      <c r="CF833" s="34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4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4"/>
      <c r="DN833" s="34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  <c r="EE833" s="33"/>
      <c r="EF833" s="33"/>
      <c r="EG833" s="38"/>
    </row>
    <row r="834" spans="2:137" ht="13.2">
      <c r="B834" s="30" t="str">
        <f t="shared" si="24"/>
        <v/>
      </c>
      <c r="C834" s="31" t="str">
        <f t="shared" si="26"/>
        <v/>
      </c>
      <c r="D834" s="32"/>
      <c r="E834" s="33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3"/>
      <c r="R834" s="33"/>
      <c r="S834" s="33"/>
      <c r="T834" s="33"/>
      <c r="U834" s="35"/>
      <c r="V834" s="36"/>
      <c r="W834" s="37"/>
      <c r="X834" s="34"/>
      <c r="Y834" s="33"/>
      <c r="Z834" s="33"/>
      <c r="AA834" s="33"/>
      <c r="AB834" s="35"/>
      <c r="AC834" s="34"/>
      <c r="AD834" s="34"/>
      <c r="AE834" s="34"/>
      <c r="AF834" s="34"/>
      <c r="AG834" s="34"/>
      <c r="AH834" s="33"/>
      <c r="AI834" s="33"/>
      <c r="AJ834" s="34"/>
      <c r="AK834" s="33"/>
      <c r="AL834" s="33"/>
      <c r="AM834" s="33"/>
      <c r="AN834" s="34"/>
      <c r="AO834" s="34"/>
      <c r="AP834" s="33"/>
      <c r="AQ834" s="34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4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5"/>
      <c r="CC834" s="33"/>
      <c r="CD834" s="33"/>
      <c r="CE834" s="33"/>
      <c r="CF834" s="34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4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3"/>
      <c r="DL834" s="33"/>
      <c r="DM834" s="34"/>
      <c r="DN834" s="34"/>
      <c r="DO834" s="33"/>
      <c r="DP834" s="33"/>
      <c r="DQ834" s="33"/>
      <c r="DR834" s="33"/>
      <c r="DS834" s="33"/>
      <c r="DT834" s="33"/>
      <c r="DU834" s="33"/>
      <c r="DV834" s="33"/>
      <c r="DW834" s="33"/>
      <c r="DX834" s="33"/>
      <c r="DY834" s="33"/>
      <c r="DZ834" s="33"/>
      <c r="EA834" s="33"/>
      <c r="EB834" s="33"/>
      <c r="EC834" s="33"/>
      <c r="ED834" s="33"/>
      <c r="EE834" s="33"/>
      <c r="EF834" s="33"/>
      <c r="EG834" s="38"/>
    </row>
    <row r="835" spans="2:137" ht="13.2">
      <c r="B835" s="30" t="str">
        <f t="shared" si="24"/>
        <v/>
      </c>
      <c r="C835" s="31" t="str">
        <f t="shared" si="26"/>
        <v/>
      </c>
      <c r="D835" s="32"/>
      <c r="E835" s="33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3"/>
      <c r="R835" s="33"/>
      <c r="S835" s="33"/>
      <c r="T835" s="33"/>
      <c r="U835" s="35"/>
      <c r="V835" s="36"/>
      <c r="W835" s="37"/>
      <c r="X835" s="34"/>
      <c r="Y835" s="33"/>
      <c r="Z835" s="33"/>
      <c r="AA835" s="33"/>
      <c r="AB835" s="35"/>
      <c r="AC835" s="34"/>
      <c r="AD835" s="34"/>
      <c r="AE835" s="34"/>
      <c r="AF835" s="34"/>
      <c r="AG835" s="34"/>
      <c r="AH835" s="33"/>
      <c r="AI835" s="33"/>
      <c r="AJ835" s="34"/>
      <c r="AK835" s="33"/>
      <c r="AL835" s="33"/>
      <c r="AM835" s="33"/>
      <c r="AN835" s="34"/>
      <c r="AO835" s="34"/>
      <c r="AP835" s="33"/>
      <c r="AQ835" s="34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4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5"/>
      <c r="CC835" s="33"/>
      <c r="CD835" s="33"/>
      <c r="CE835" s="33"/>
      <c r="CF835" s="34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4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3"/>
      <c r="DL835" s="33"/>
      <c r="DM835" s="34"/>
      <c r="DN835" s="34"/>
      <c r="DO835" s="33"/>
      <c r="DP835" s="33"/>
      <c r="DQ835" s="33"/>
      <c r="DR835" s="33"/>
      <c r="DS835" s="33"/>
      <c r="DT835" s="33"/>
      <c r="DU835" s="33"/>
      <c r="DV835" s="33"/>
      <c r="DW835" s="33"/>
      <c r="DX835" s="33"/>
      <c r="DY835" s="33"/>
      <c r="DZ835" s="33"/>
      <c r="EA835" s="33"/>
      <c r="EB835" s="33"/>
      <c r="EC835" s="33"/>
      <c r="ED835" s="33"/>
      <c r="EE835" s="33"/>
      <c r="EF835" s="33"/>
      <c r="EG835" s="38"/>
    </row>
    <row r="836" spans="2:137" ht="13.2">
      <c r="B836" s="30" t="str">
        <f t="shared" si="24"/>
        <v/>
      </c>
      <c r="C836" s="31" t="str">
        <f t="shared" ref="C836:C899" si="27">IF(SUM(E836:EG836)=0,"",SUM(E836:EG836))</f>
        <v/>
      </c>
      <c r="D836" s="32"/>
      <c r="E836" s="33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3"/>
      <c r="R836" s="33"/>
      <c r="S836" s="33"/>
      <c r="T836" s="33"/>
      <c r="U836" s="35"/>
      <c r="V836" s="36"/>
      <c r="W836" s="37"/>
      <c r="X836" s="34"/>
      <c r="Y836" s="33"/>
      <c r="Z836" s="33"/>
      <c r="AA836" s="33"/>
      <c r="AB836" s="35"/>
      <c r="AC836" s="34"/>
      <c r="AD836" s="34"/>
      <c r="AE836" s="34"/>
      <c r="AF836" s="34"/>
      <c r="AG836" s="34"/>
      <c r="AH836" s="33"/>
      <c r="AI836" s="33"/>
      <c r="AJ836" s="34"/>
      <c r="AK836" s="33"/>
      <c r="AL836" s="33"/>
      <c r="AM836" s="33"/>
      <c r="AN836" s="34"/>
      <c r="AO836" s="34"/>
      <c r="AP836" s="33"/>
      <c r="AQ836" s="34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4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5"/>
      <c r="CC836" s="33"/>
      <c r="CD836" s="33"/>
      <c r="CE836" s="33"/>
      <c r="CF836" s="34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4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3"/>
      <c r="DL836" s="33"/>
      <c r="DM836" s="34"/>
      <c r="DN836" s="34"/>
      <c r="DO836" s="33"/>
      <c r="DP836" s="33"/>
      <c r="DQ836" s="33"/>
      <c r="DR836" s="33"/>
      <c r="DS836" s="33"/>
      <c r="DT836" s="33"/>
      <c r="DU836" s="33"/>
      <c r="DV836" s="33"/>
      <c r="DW836" s="33"/>
      <c r="DX836" s="33"/>
      <c r="DY836" s="33"/>
      <c r="DZ836" s="33"/>
      <c r="EA836" s="33"/>
      <c r="EB836" s="33"/>
      <c r="EC836" s="33"/>
      <c r="ED836" s="33"/>
      <c r="EE836" s="33"/>
      <c r="EF836" s="33"/>
      <c r="EG836" s="38"/>
    </row>
    <row r="837" spans="2:137" ht="13.2">
      <c r="B837" s="30" t="str">
        <f t="shared" si="24"/>
        <v/>
      </c>
      <c r="C837" s="31" t="str">
        <f t="shared" si="27"/>
        <v/>
      </c>
      <c r="D837" s="32"/>
      <c r="E837" s="33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3"/>
      <c r="R837" s="33"/>
      <c r="S837" s="33"/>
      <c r="T837" s="33"/>
      <c r="U837" s="35"/>
      <c r="V837" s="36"/>
      <c r="W837" s="37"/>
      <c r="X837" s="34"/>
      <c r="Y837" s="33"/>
      <c r="Z837" s="33"/>
      <c r="AA837" s="33"/>
      <c r="AB837" s="35"/>
      <c r="AC837" s="34"/>
      <c r="AD837" s="34"/>
      <c r="AE837" s="34"/>
      <c r="AF837" s="34"/>
      <c r="AG837" s="34"/>
      <c r="AH837" s="33"/>
      <c r="AI837" s="33"/>
      <c r="AJ837" s="34"/>
      <c r="AK837" s="33"/>
      <c r="AL837" s="33"/>
      <c r="AM837" s="33"/>
      <c r="AN837" s="34"/>
      <c r="AO837" s="34"/>
      <c r="AP837" s="33"/>
      <c r="AQ837" s="34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4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5"/>
      <c r="CC837" s="33"/>
      <c r="CD837" s="33"/>
      <c r="CE837" s="33"/>
      <c r="CF837" s="34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4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3"/>
      <c r="DL837" s="33"/>
      <c r="DM837" s="34"/>
      <c r="DN837" s="34"/>
      <c r="DO837" s="33"/>
      <c r="DP837" s="33"/>
      <c r="DQ837" s="33"/>
      <c r="DR837" s="33"/>
      <c r="DS837" s="33"/>
      <c r="DT837" s="33"/>
      <c r="DU837" s="33"/>
      <c r="DV837" s="33"/>
      <c r="DW837" s="33"/>
      <c r="DX837" s="33"/>
      <c r="DY837" s="33"/>
      <c r="DZ837" s="33"/>
      <c r="EA837" s="33"/>
      <c r="EB837" s="33"/>
      <c r="EC837" s="33"/>
      <c r="ED837" s="33"/>
      <c r="EE837" s="33"/>
      <c r="EF837" s="33"/>
      <c r="EG837" s="38"/>
    </row>
    <row r="838" spans="2:137" ht="13.2">
      <c r="B838" s="30" t="str">
        <f t="shared" si="24"/>
        <v/>
      </c>
      <c r="C838" s="31" t="str">
        <f t="shared" si="27"/>
        <v/>
      </c>
      <c r="D838" s="32"/>
      <c r="E838" s="33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3"/>
      <c r="R838" s="33"/>
      <c r="S838" s="33"/>
      <c r="T838" s="33"/>
      <c r="U838" s="35"/>
      <c r="V838" s="36"/>
      <c r="W838" s="37"/>
      <c r="X838" s="34"/>
      <c r="Y838" s="33"/>
      <c r="Z838" s="33"/>
      <c r="AA838" s="33"/>
      <c r="AB838" s="35"/>
      <c r="AC838" s="34"/>
      <c r="AD838" s="34"/>
      <c r="AE838" s="34"/>
      <c r="AF838" s="34"/>
      <c r="AG838" s="34"/>
      <c r="AH838" s="33"/>
      <c r="AI838" s="33"/>
      <c r="AJ838" s="34"/>
      <c r="AK838" s="33"/>
      <c r="AL838" s="33"/>
      <c r="AM838" s="33"/>
      <c r="AN838" s="34"/>
      <c r="AO838" s="34"/>
      <c r="AP838" s="33"/>
      <c r="AQ838" s="34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4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5"/>
      <c r="CC838" s="33"/>
      <c r="CD838" s="33"/>
      <c r="CE838" s="33"/>
      <c r="CF838" s="34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4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3"/>
      <c r="DL838" s="33"/>
      <c r="DM838" s="34"/>
      <c r="DN838" s="34"/>
      <c r="DO838" s="33"/>
      <c r="DP838" s="33"/>
      <c r="DQ838" s="33"/>
      <c r="DR838" s="33"/>
      <c r="DS838" s="33"/>
      <c r="DT838" s="33"/>
      <c r="DU838" s="33"/>
      <c r="DV838" s="33"/>
      <c r="DW838" s="33"/>
      <c r="DX838" s="33"/>
      <c r="DY838" s="33"/>
      <c r="DZ838" s="33"/>
      <c r="EA838" s="33"/>
      <c r="EB838" s="33"/>
      <c r="EC838" s="33"/>
      <c r="ED838" s="33"/>
      <c r="EE838" s="33"/>
      <c r="EF838" s="33"/>
      <c r="EG838" s="38"/>
    </row>
    <row r="839" spans="2:137" ht="13.2">
      <c r="B839" s="30" t="str">
        <f t="shared" si="24"/>
        <v/>
      </c>
      <c r="C839" s="31" t="str">
        <f t="shared" si="27"/>
        <v/>
      </c>
      <c r="D839" s="32"/>
      <c r="E839" s="33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3"/>
      <c r="R839" s="33"/>
      <c r="S839" s="33"/>
      <c r="T839" s="33"/>
      <c r="U839" s="35"/>
      <c r="V839" s="36"/>
      <c r="W839" s="37"/>
      <c r="X839" s="34"/>
      <c r="Y839" s="33"/>
      <c r="Z839" s="33"/>
      <c r="AA839" s="33"/>
      <c r="AB839" s="35"/>
      <c r="AC839" s="34"/>
      <c r="AD839" s="34"/>
      <c r="AE839" s="34"/>
      <c r="AF839" s="34"/>
      <c r="AG839" s="34"/>
      <c r="AH839" s="33"/>
      <c r="AI839" s="33"/>
      <c r="AJ839" s="34"/>
      <c r="AK839" s="33"/>
      <c r="AL839" s="33"/>
      <c r="AM839" s="33"/>
      <c r="AN839" s="34"/>
      <c r="AO839" s="34"/>
      <c r="AP839" s="33"/>
      <c r="AQ839" s="34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4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5"/>
      <c r="CC839" s="33"/>
      <c r="CD839" s="33"/>
      <c r="CE839" s="33"/>
      <c r="CF839" s="34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4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3"/>
      <c r="DL839" s="33"/>
      <c r="DM839" s="34"/>
      <c r="DN839" s="34"/>
      <c r="DO839" s="33"/>
      <c r="DP839" s="33"/>
      <c r="DQ839" s="33"/>
      <c r="DR839" s="33"/>
      <c r="DS839" s="33"/>
      <c r="DT839" s="33"/>
      <c r="DU839" s="33"/>
      <c r="DV839" s="33"/>
      <c r="DW839" s="33"/>
      <c r="DX839" s="33"/>
      <c r="DY839" s="33"/>
      <c r="DZ839" s="33"/>
      <c r="EA839" s="33"/>
      <c r="EB839" s="33"/>
      <c r="EC839" s="33"/>
      <c r="ED839" s="33"/>
      <c r="EE839" s="33"/>
      <c r="EF839" s="33"/>
      <c r="EG839" s="38"/>
    </row>
    <row r="840" spans="2:137" ht="13.2">
      <c r="B840" s="30" t="str">
        <f t="shared" si="24"/>
        <v/>
      </c>
      <c r="C840" s="31" t="str">
        <f t="shared" si="27"/>
        <v/>
      </c>
      <c r="D840" s="32"/>
      <c r="E840" s="33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3"/>
      <c r="R840" s="33"/>
      <c r="S840" s="33"/>
      <c r="T840" s="33"/>
      <c r="U840" s="35"/>
      <c r="V840" s="36"/>
      <c r="W840" s="37"/>
      <c r="X840" s="34"/>
      <c r="Y840" s="33"/>
      <c r="Z840" s="33"/>
      <c r="AA840" s="33"/>
      <c r="AB840" s="35"/>
      <c r="AC840" s="34"/>
      <c r="AD840" s="34"/>
      <c r="AE840" s="34"/>
      <c r="AF840" s="34"/>
      <c r="AG840" s="34"/>
      <c r="AH840" s="33"/>
      <c r="AI840" s="33"/>
      <c r="AJ840" s="34"/>
      <c r="AK840" s="33"/>
      <c r="AL840" s="33"/>
      <c r="AM840" s="33"/>
      <c r="AN840" s="34"/>
      <c r="AO840" s="34"/>
      <c r="AP840" s="33"/>
      <c r="AQ840" s="34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4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5"/>
      <c r="CC840" s="33"/>
      <c r="CD840" s="33"/>
      <c r="CE840" s="33"/>
      <c r="CF840" s="34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4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3"/>
      <c r="DL840" s="33"/>
      <c r="DM840" s="34"/>
      <c r="DN840" s="34"/>
      <c r="DO840" s="33"/>
      <c r="DP840" s="33"/>
      <c r="DQ840" s="33"/>
      <c r="DR840" s="33"/>
      <c r="DS840" s="33"/>
      <c r="DT840" s="33"/>
      <c r="DU840" s="33"/>
      <c r="DV840" s="33"/>
      <c r="DW840" s="33"/>
      <c r="DX840" s="33"/>
      <c r="DY840" s="33"/>
      <c r="DZ840" s="33"/>
      <c r="EA840" s="33"/>
      <c r="EB840" s="33"/>
      <c r="EC840" s="33"/>
      <c r="ED840" s="33"/>
      <c r="EE840" s="33"/>
      <c r="EF840" s="33"/>
      <c r="EG840" s="38"/>
    </row>
    <row r="841" spans="2:137" ht="13.2">
      <c r="B841" s="30" t="str">
        <f t="shared" si="24"/>
        <v/>
      </c>
      <c r="C841" s="31" t="str">
        <f t="shared" si="27"/>
        <v/>
      </c>
      <c r="D841" s="32"/>
      <c r="E841" s="33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3"/>
      <c r="R841" s="33"/>
      <c r="S841" s="33"/>
      <c r="T841" s="33"/>
      <c r="U841" s="35"/>
      <c r="V841" s="36"/>
      <c r="W841" s="37"/>
      <c r="X841" s="34"/>
      <c r="Y841" s="33"/>
      <c r="Z841" s="33"/>
      <c r="AA841" s="33"/>
      <c r="AB841" s="35"/>
      <c r="AC841" s="34"/>
      <c r="AD841" s="34"/>
      <c r="AE841" s="34"/>
      <c r="AF841" s="34"/>
      <c r="AG841" s="34"/>
      <c r="AH841" s="33"/>
      <c r="AI841" s="33"/>
      <c r="AJ841" s="34"/>
      <c r="AK841" s="33"/>
      <c r="AL841" s="33"/>
      <c r="AM841" s="33"/>
      <c r="AN841" s="34"/>
      <c r="AO841" s="34"/>
      <c r="AP841" s="33"/>
      <c r="AQ841" s="34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4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5"/>
      <c r="CC841" s="33"/>
      <c r="CD841" s="33"/>
      <c r="CE841" s="33"/>
      <c r="CF841" s="34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4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3"/>
      <c r="DL841" s="33"/>
      <c r="DM841" s="34"/>
      <c r="DN841" s="34"/>
      <c r="DO841" s="33"/>
      <c r="DP841" s="33"/>
      <c r="DQ841" s="33"/>
      <c r="DR841" s="33"/>
      <c r="DS841" s="33"/>
      <c r="DT841" s="33"/>
      <c r="DU841" s="33"/>
      <c r="DV841" s="33"/>
      <c r="DW841" s="33"/>
      <c r="DX841" s="33"/>
      <c r="DY841" s="33"/>
      <c r="DZ841" s="33"/>
      <c r="EA841" s="33"/>
      <c r="EB841" s="33"/>
      <c r="EC841" s="33"/>
      <c r="ED841" s="33"/>
      <c r="EE841" s="33"/>
      <c r="EF841" s="33"/>
      <c r="EG841" s="38"/>
    </row>
    <row r="842" spans="2:137" ht="13.2">
      <c r="B842" s="30" t="str">
        <f t="shared" si="24"/>
        <v/>
      </c>
      <c r="C842" s="31" t="str">
        <f t="shared" si="27"/>
        <v/>
      </c>
      <c r="D842" s="32"/>
      <c r="E842" s="33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3"/>
      <c r="R842" s="33"/>
      <c r="S842" s="33"/>
      <c r="T842" s="33"/>
      <c r="U842" s="35"/>
      <c r="V842" s="36"/>
      <c r="W842" s="37"/>
      <c r="X842" s="34"/>
      <c r="Y842" s="33"/>
      <c r="Z842" s="33"/>
      <c r="AA842" s="33"/>
      <c r="AB842" s="35"/>
      <c r="AC842" s="34"/>
      <c r="AD842" s="34"/>
      <c r="AE842" s="34"/>
      <c r="AF842" s="34"/>
      <c r="AG842" s="34"/>
      <c r="AH842" s="33"/>
      <c r="AI842" s="33"/>
      <c r="AJ842" s="34"/>
      <c r="AK842" s="33"/>
      <c r="AL842" s="33"/>
      <c r="AM842" s="33"/>
      <c r="AN842" s="34"/>
      <c r="AO842" s="34"/>
      <c r="AP842" s="33"/>
      <c r="AQ842" s="34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4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5"/>
      <c r="CC842" s="33"/>
      <c r="CD842" s="33"/>
      <c r="CE842" s="33"/>
      <c r="CF842" s="34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4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3"/>
      <c r="DL842" s="33"/>
      <c r="DM842" s="34"/>
      <c r="DN842" s="34"/>
      <c r="DO842" s="33"/>
      <c r="DP842" s="33"/>
      <c r="DQ842" s="33"/>
      <c r="DR842" s="33"/>
      <c r="DS842" s="33"/>
      <c r="DT842" s="33"/>
      <c r="DU842" s="33"/>
      <c r="DV842" s="33"/>
      <c r="DW842" s="33"/>
      <c r="DX842" s="33"/>
      <c r="DY842" s="33"/>
      <c r="DZ842" s="33"/>
      <c r="EA842" s="33"/>
      <c r="EB842" s="33"/>
      <c r="EC842" s="33"/>
      <c r="ED842" s="33"/>
      <c r="EE842" s="33"/>
      <c r="EF842" s="33"/>
      <c r="EG842" s="38"/>
    </row>
    <row r="843" spans="2:137" ht="13.2">
      <c r="B843" s="30" t="str">
        <f t="shared" si="24"/>
        <v/>
      </c>
      <c r="C843" s="31" t="str">
        <f t="shared" si="27"/>
        <v/>
      </c>
      <c r="D843" s="32"/>
      <c r="E843" s="33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3"/>
      <c r="R843" s="33"/>
      <c r="S843" s="33"/>
      <c r="T843" s="33"/>
      <c r="U843" s="35"/>
      <c r="V843" s="36"/>
      <c r="W843" s="37"/>
      <c r="X843" s="34"/>
      <c r="Y843" s="33"/>
      <c r="Z843" s="33"/>
      <c r="AA843" s="33"/>
      <c r="AB843" s="35"/>
      <c r="AC843" s="34"/>
      <c r="AD843" s="34"/>
      <c r="AE843" s="34"/>
      <c r="AF843" s="34"/>
      <c r="AG843" s="34"/>
      <c r="AH843" s="33"/>
      <c r="AI843" s="33"/>
      <c r="AJ843" s="34"/>
      <c r="AK843" s="33"/>
      <c r="AL843" s="33"/>
      <c r="AM843" s="33"/>
      <c r="AN843" s="34"/>
      <c r="AO843" s="34"/>
      <c r="AP843" s="33"/>
      <c r="AQ843" s="34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4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5"/>
      <c r="CC843" s="33"/>
      <c r="CD843" s="33"/>
      <c r="CE843" s="33"/>
      <c r="CF843" s="34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4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3"/>
      <c r="DL843" s="33"/>
      <c r="DM843" s="34"/>
      <c r="DN843" s="34"/>
      <c r="DO843" s="33"/>
      <c r="DP843" s="33"/>
      <c r="DQ843" s="33"/>
      <c r="DR843" s="33"/>
      <c r="DS843" s="33"/>
      <c r="DT843" s="33"/>
      <c r="DU843" s="33"/>
      <c r="DV843" s="33"/>
      <c r="DW843" s="33"/>
      <c r="DX843" s="33"/>
      <c r="DY843" s="33"/>
      <c r="DZ843" s="33"/>
      <c r="EA843" s="33"/>
      <c r="EB843" s="33"/>
      <c r="EC843" s="33"/>
      <c r="ED843" s="33"/>
      <c r="EE843" s="33"/>
      <c r="EF843" s="33"/>
      <c r="EG843" s="38"/>
    </row>
    <row r="844" spans="2:137" ht="13.2">
      <c r="B844" s="30" t="str">
        <f t="shared" si="24"/>
        <v/>
      </c>
      <c r="C844" s="31" t="str">
        <f t="shared" si="27"/>
        <v/>
      </c>
      <c r="D844" s="32"/>
      <c r="E844" s="33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3"/>
      <c r="R844" s="33"/>
      <c r="S844" s="33"/>
      <c r="T844" s="33"/>
      <c r="U844" s="35"/>
      <c r="V844" s="36"/>
      <c r="W844" s="37"/>
      <c r="X844" s="34"/>
      <c r="Y844" s="33"/>
      <c r="Z844" s="33"/>
      <c r="AA844" s="33"/>
      <c r="AB844" s="35"/>
      <c r="AC844" s="34"/>
      <c r="AD844" s="34"/>
      <c r="AE844" s="34"/>
      <c r="AF844" s="34"/>
      <c r="AG844" s="34"/>
      <c r="AH844" s="33"/>
      <c r="AI844" s="33"/>
      <c r="AJ844" s="34"/>
      <c r="AK844" s="33"/>
      <c r="AL844" s="33"/>
      <c r="AM844" s="33"/>
      <c r="AN844" s="34"/>
      <c r="AO844" s="34"/>
      <c r="AP844" s="33"/>
      <c r="AQ844" s="34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4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5"/>
      <c r="CC844" s="33"/>
      <c r="CD844" s="33"/>
      <c r="CE844" s="33"/>
      <c r="CF844" s="34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4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3"/>
      <c r="DL844" s="33"/>
      <c r="DM844" s="34"/>
      <c r="DN844" s="34"/>
      <c r="DO844" s="33"/>
      <c r="DP844" s="33"/>
      <c r="DQ844" s="33"/>
      <c r="DR844" s="33"/>
      <c r="DS844" s="33"/>
      <c r="DT844" s="33"/>
      <c r="DU844" s="33"/>
      <c r="DV844" s="33"/>
      <c r="DW844" s="33"/>
      <c r="DX844" s="33"/>
      <c r="DY844" s="33"/>
      <c r="DZ844" s="33"/>
      <c r="EA844" s="33"/>
      <c r="EB844" s="33"/>
      <c r="EC844" s="33"/>
      <c r="ED844" s="33"/>
      <c r="EE844" s="33"/>
      <c r="EF844" s="33"/>
      <c r="EG844" s="38"/>
    </row>
    <row r="845" spans="2:137" ht="13.2">
      <c r="B845" s="30" t="str">
        <f t="shared" si="24"/>
        <v/>
      </c>
      <c r="C845" s="31" t="str">
        <f t="shared" si="27"/>
        <v/>
      </c>
      <c r="D845" s="32"/>
      <c r="E845" s="33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3"/>
      <c r="R845" s="33"/>
      <c r="S845" s="33"/>
      <c r="T845" s="33"/>
      <c r="U845" s="35"/>
      <c r="V845" s="36"/>
      <c r="W845" s="37"/>
      <c r="X845" s="34"/>
      <c r="Y845" s="33"/>
      <c r="Z845" s="33"/>
      <c r="AA845" s="33"/>
      <c r="AB845" s="35"/>
      <c r="AC845" s="34"/>
      <c r="AD845" s="34"/>
      <c r="AE845" s="34"/>
      <c r="AF845" s="34"/>
      <c r="AG845" s="34"/>
      <c r="AH845" s="33"/>
      <c r="AI845" s="33"/>
      <c r="AJ845" s="34"/>
      <c r="AK845" s="33"/>
      <c r="AL845" s="33"/>
      <c r="AM845" s="33"/>
      <c r="AN845" s="34"/>
      <c r="AO845" s="34"/>
      <c r="AP845" s="33"/>
      <c r="AQ845" s="34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4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5"/>
      <c r="CC845" s="33"/>
      <c r="CD845" s="33"/>
      <c r="CE845" s="33"/>
      <c r="CF845" s="34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4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4"/>
      <c r="DN845" s="34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  <c r="EE845" s="33"/>
      <c r="EF845" s="33"/>
      <c r="EG845" s="38"/>
    </row>
    <row r="846" spans="2:137" ht="13.2">
      <c r="B846" s="30" t="str">
        <f t="shared" si="24"/>
        <v/>
      </c>
      <c r="C846" s="31" t="str">
        <f t="shared" si="27"/>
        <v/>
      </c>
      <c r="D846" s="32"/>
      <c r="E846" s="33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3"/>
      <c r="R846" s="33"/>
      <c r="S846" s="33"/>
      <c r="T846" s="33"/>
      <c r="U846" s="35"/>
      <c r="V846" s="36"/>
      <c r="W846" s="37"/>
      <c r="X846" s="34"/>
      <c r="Y846" s="33"/>
      <c r="Z846" s="33"/>
      <c r="AA846" s="33"/>
      <c r="AB846" s="35"/>
      <c r="AC846" s="34"/>
      <c r="AD846" s="34"/>
      <c r="AE846" s="34"/>
      <c r="AF846" s="34"/>
      <c r="AG846" s="34"/>
      <c r="AH846" s="33"/>
      <c r="AI846" s="33"/>
      <c r="AJ846" s="34"/>
      <c r="AK846" s="33"/>
      <c r="AL846" s="33"/>
      <c r="AM846" s="33"/>
      <c r="AN846" s="34"/>
      <c r="AO846" s="34"/>
      <c r="AP846" s="33"/>
      <c r="AQ846" s="34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4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5"/>
      <c r="CC846" s="33"/>
      <c r="CD846" s="33"/>
      <c r="CE846" s="33"/>
      <c r="CF846" s="34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4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4"/>
      <c r="DN846" s="34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  <c r="EE846" s="33"/>
      <c r="EF846" s="33"/>
      <c r="EG846" s="38"/>
    </row>
    <row r="847" spans="2:137" ht="13.2">
      <c r="B847" s="30" t="str">
        <f t="shared" si="24"/>
        <v/>
      </c>
      <c r="C847" s="31" t="str">
        <f t="shared" si="27"/>
        <v/>
      </c>
      <c r="D847" s="32"/>
      <c r="E847" s="33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3"/>
      <c r="R847" s="33"/>
      <c r="S847" s="33"/>
      <c r="T847" s="33"/>
      <c r="U847" s="35"/>
      <c r="V847" s="36"/>
      <c r="W847" s="37"/>
      <c r="X847" s="34"/>
      <c r="Y847" s="33"/>
      <c r="Z847" s="33"/>
      <c r="AA847" s="33"/>
      <c r="AB847" s="35"/>
      <c r="AC847" s="34"/>
      <c r="AD847" s="34"/>
      <c r="AE847" s="34"/>
      <c r="AF847" s="34"/>
      <c r="AG847" s="34"/>
      <c r="AH847" s="33"/>
      <c r="AI847" s="33"/>
      <c r="AJ847" s="34"/>
      <c r="AK847" s="33"/>
      <c r="AL847" s="33"/>
      <c r="AM847" s="33"/>
      <c r="AN847" s="34"/>
      <c r="AO847" s="34"/>
      <c r="AP847" s="33"/>
      <c r="AQ847" s="34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4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5"/>
      <c r="CC847" s="33"/>
      <c r="CD847" s="33"/>
      <c r="CE847" s="33"/>
      <c r="CF847" s="34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4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3"/>
      <c r="DL847" s="33"/>
      <c r="DM847" s="34"/>
      <c r="DN847" s="34"/>
      <c r="DO847" s="33"/>
      <c r="DP847" s="33"/>
      <c r="DQ847" s="33"/>
      <c r="DR847" s="33"/>
      <c r="DS847" s="33"/>
      <c r="DT847" s="33"/>
      <c r="DU847" s="33"/>
      <c r="DV847" s="33"/>
      <c r="DW847" s="33"/>
      <c r="DX847" s="33"/>
      <c r="DY847" s="33"/>
      <c r="DZ847" s="33"/>
      <c r="EA847" s="33"/>
      <c r="EB847" s="33"/>
      <c r="EC847" s="33"/>
      <c r="ED847" s="33"/>
      <c r="EE847" s="33"/>
      <c r="EF847" s="33"/>
      <c r="EG847" s="38"/>
    </row>
    <row r="848" spans="2:137" ht="13.2">
      <c r="B848" s="30" t="str">
        <f t="shared" si="24"/>
        <v/>
      </c>
      <c r="C848" s="31" t="str">
        <f t="shared" si="27"/>
        <v/>
      </c>
      <c r="D848" s="32"/>
      <c r="E848" s="33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3"/>
      <c r="R848" s="33"/>
      <c r="S848" s="33"/>
      <c r="T848" s="33"/>
      <c r="U848" s="35"/>
      <c r="V848" s="36"/>
      <c r="W848" s="37"/>
      <c r="X848" s="34"/>
      <c r="Y848" s="33"/>
      <c r="Z848" s="33"/>
      <c r="AA848" s="33"/>
      <c r="AB848" s="35"/>
      <c r="AC848" s="34"/>
      <c r="AD848" s="34"/>
      <c r="AE848" s="34"/>
      <c r="AF848" s="34"/>
      <c r="AG848" s="34"/>
      <c r="AH848" s="33"/>
      <c r="AI848" s="33"/>
      <c r="AJ848" s="34"/>
      <c r="AK848" s="33"/>
      <c r="AL848" s="33"/>
      <c r="AM848" s="33"/>
      <c r="AN848" s="34"/>
      <c r="AO848" s="34"/>
      <c r="AP848" s="33"/>
      <c r="AQ848" s="34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4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5"/>
      <c r="CC848" s="33"/>
      <c r="CD848" s="33"/>
      <c r="CE848" s="33"/>
      <c r="CF848" s="34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4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3"/>
      <c r="DL848" s="33"/>
      <c r="DM848" s="34"/>
      <c r="DN848" s="34"/>
      <c r="DO848" s="33"/>
      <c r="DP848" s="33"/>
      <c r="DQ848" s="33"/>
      <c r="DR848" s="33"/>
      <c r="DS848" s="33"/>
      <c r="DT848" s="33"/>
      <c r="DU848" s="33"/>
      <c r="DV848" s="33"/>
      <c r="DW848" s="33"/>
      <c r="DX848" s="33"/>
      <c r="DY848" s="33"/>
      <c r="DZ848" s="33"/>
      <c r="EA848" s="33"/>
      <c r="EB848" s="33"/>
      <c r="EC848" s="33"/>
      <c r="ED848" s="33"/>
      <c r="EE848" s="33"/>
      <c r="EF848" s="33"/>
      <c r="EG848" s="38"/>
    </row>
    <row r="849" spans="2:137" ht="13.2">
      <c r="B849" s="30" t="str">
        <f t="shared" si="24"/>
        <v/>
      </c>
      <c r="C849" s="31" t="str">
        <f t="shared" si="27"/>
        <v/>
      </c>
      <c r="D849" s="32"/>
      <c r="E849" s="33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3"/>
      <c r="R849" s="33"/>
      <c r="S849" s="33"/>
      <c r="T849" s="33"/>
      <c r="U849" s="35"/>
      <c r="V849" s="36"/>
      <c r="W849" s="37"/>
      <c r="X849" s="34"/>
      <c r="Y849" s="33"/>
      <c r="Z849" s="33"/>
      <c r="AA849" s="33"/>
      <c r="AB849" s="35"/>
      <c r="AC849" s="34"/>
      <c r="AD849" s="34"/>
      <c r="AE849" s="34"/>
      <c r="AF849" s="34"/>
      <c r="AG849" s="34"/>
      <c r="AH849" s="33"/>
      <c r="AI849" s="33"/>
      <c r="AJ849" s="34"/>
      <c r="AK849" s="33"/>
      <c r="AL849" s="33"/>
      <c r="AM849" s="33"/>
      <c r="AN849" s="34"/>
      <c r="AO849" s="34"/>
      <c r="AP849" s="33"/>
      <c r="AQ849" s="34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4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5"/>
      <c r="CC849" s="33"/>
      <c r="CD849" s="33"/>
      <c r="CE849" s="33"/>
      <c r="CF849" s="34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4"/>
      <c r="DA849" s="33"/>
      <c r="DB849" s="33"/>
      <c r="DC849" s="33"/>
      <c r="DD849" s="33"/>
      <c r="DE849" s="33"/>
      <c r="DF849" s="33"/>
      <c r="DG849" s="33"/>
      <c r="DH849" s="33"/>
      <c r="DI849" s="33"/>
      <c r="DJ849" s="33"/>
      <c r="DK849" s="33"/>
      <c r="DL849" s="33"/>
      <c r="DM849" s="34"/>
      <c r="DN849" s="34"/>
      <c r="DO849" s="33"/>
      <c r="DP849" s="33"/>
      <c r="DQ849" s="33"/>
      <c r="DR849" s="33"/>
      <c r="DS849" s="33"/>
      <c r="DT849" s="33"/>
      <c r="DU849" s="33"/>
      <c r="DV849" s="33"/>
      <c r="DW849" s="33"/>
      <c r="DX849" s="33"/>
      <c r="DY849" s="33"/>
      <c r="DZ849" s="33"/>
      <c r="EA849" s="33"/>
      <c r="EB849" s="33"/>
      <c r="EC849" s="33"/>
      <c r="ED849" s="33"/>
      <c r="EE849" s="33"/>
      <c r="EF849" s="33"/>
      <c r="EG849" s="38"/>
    </row>
    <row r="850" spans="2:137" ht="13.2">
      <c r="B850" s="30" t="str">
        <f t="shared" si="24"/>
        <v/>
      </c>
      <c r="C850" s="31" t="str">
        <f t="shared" si="27"/>
        <v/>
      </c>
      <c r="D850" s="32"/>
      <c r="E850" s="33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3"/>
      <c r="R850" s="33"/>
      <c r="S850" s="33"/>
      <c r="T850" s="33"/>
      <c r="U850" s="35"/>
      <c r="V850" s="36"/>
      <c r="W850" s="37"/>
      <c r="X850" s="34"/>
      <c r="Y850" s="33"/>
      <c r="Z850" s="33"/>
      <c r="AA850" s="33"/>
      <c r="AB850" s="35"/>
      <c r="AC850" s="34"/>
      <c r="AD850" s="34"/>
      <c r="AE850" s="34"/>
      <c r="AF850" s="34"/>
      <c r="AG850" s="34"/>
      <c r="AH850" s="33"/>
      <c r="AI850" s="33"/>
      <c r="AJ850" s="34"/>
      <c r="AK850" s="33"/>
      <c r="AL850" s="33"/>
      <c r="AM850" s="33"/>
      <c r="AN850" s="34"/>
      <c r="AO850" s="34"/>
      <c r="AP850" s="33"/>
      <c r="AQ850" s="34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4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5"/>
      <c r="CC850" s="33"/>
      <c r="CD850" s="33"/>
      <c r="CE850" s="33"/>
      <c r="CF850" s="34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4"/>
      <c r="DA850" s="33"/>
      <c r="DB850" s="33"/>
      <c r="DC850" s="33"/>
      <c r="DD850" s="33"/>
      <c r="DE850" s="33"/>
      <c r="DF850" s="33"/>
      <c r="DG850" s="33"/>
      <c r="DH850" s="33"/>
      <c r="DI850" s="33"/>
      <c r="DJ850" s="33"/>
      <c r="DK850" s="33"/>
      <c r="DL850" s="33"/>
      <c r="DM850" s="34"/>
      <c r="DN850" s="34"/>
      <c r="DO850" s="33"/>
      <c r="DP850" s="33"/>
      <c r="DQ850" s="33"/>
      <c r="DR850" s="33"/>
      <c r="DS850" s="33"/>
      <c r="DT850" s="33"/>
      <c r="DU850" s="33"/>
      <c r="DV850" s="33"/>
      <c r="DW850" s="33"/>
      <c r="DX850" s="33"/>
      <c r="DY850" s="33"/>
      <c r="DZ850" s="33"/>
      <c r="EA850" s="33"/>
      <c r="EB850" s="33"/>
      <c r="EC850" s="33"/>
      <c r="ED850" s="33"/>
      <c r="EE850" s="33"/>
      <c r="EF850" s="33"/>
      <c r="EG850" s="38"/>
    </row>
    <row r="851" spans="2:137" ht="13.2">
      <c r="B851" s="30" t="str">
        <f t="shared" si="24"/>
        <v/>
      </c>
      <c r="C851" s="31" t="str">
        <f t="shared" si="27"/>
        <v/>
      </c>
      <c r="D851" s="32"/>
      <c r="E851" s="33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3"/>
      <c r="R851" s="33"/>
      <c r="S851" s="33"/>
      <c r="T851" s="33"/>
      <c r="U851" s="35"/>
      <c r="V851" s="36"/>
      <c r="W851" s="37"/>
      <c r="X851" s="34"/>
      <c r="Y851" s="33"/>
      <c r="Z851" s="33"/>
      <c r="AA851" s="33"/>
      <c r="AB851" s="35"/>
      <c r="AC851" s="34"/>
      <c r="AD851" s="34"/>
      <c r="AE851" s="34"/>
      <c r="AF851" s="34"/>
      <c r="AG851" s="34"/>
      <c r="AH851" s="33"/>
      <c r="AI851" s="33"/>
      <c r="AJ851" s="34"/>
      <c r="AK851" s="33"/>
      <c r="AL851" s="33"/>
      <c r="AM851" s="33"/>
      <c r="AN851" s="34"/>
      <c r="AO851" s="34"/>
      <c r="AP851" s="33"/>
      <c r="AQ851" s="34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4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5"/>
      <c r="CC851" s="33"/>
      <c r="CD851" s="33"/>
      <c r="CE851" s="33"/>
      <c r="CF851" s="34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4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3"/>
      <c r="DL851" s="33"/>
      <c r="DM851" s="34"/>
      <c r="DN851" s="34"/>
      <c r="DO851" s="33"/>
      <c r="DP851" s="33"/>
      <c r="DQ851" s="33"/>
      <c r="DR851" s="33"/>
      <c r="DS851" s="33"/>
      <c r="DT851" s="33"/>
      <c r="DU851" s="33"/>
      <c r="DV851" s="33"/>
      <c r="DW851" s="33"/>
      <c r="DX851" s="33"/>
      <c r="DY851" s="33"/>
      <c r="DZ851" s="33"/>
      <c r="EA851" s="33"/>
      <c r="EB851" s="33"/>
      <c r="EC851" s="33"/>
      <c r="ED851" s="33"/>
      <c r="EE851" s="33"/>
      <c r="EF851" s="33"/>
      <c r="EG851" s="38"/>
    </row>
    <row r="852" spans="2:137" ht="13.2">
      <c r="B852" s="30" t="str">
        <f t="shared" si="24"/>
        <v/>
      </c>
      <c r="C852" s="31" t="str">
        <f t="shared" si="27"/>
        <v/>
      </c>
      <c r="D852" s="32"/>
      <c r="E852" s="33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3"/>
      <c r="R852" s="33"/>
      <c r="S852" s="33"/>
      <c r="T852" s="33"/>
      <c r="U852" s="35"/>
      <c r="V852" s="36"/>
      <c r="W852" s="37"/>
      <c r="X852" s="34"/>
      <c r="Y852" s="33"/>
      <c r="Z852" s="33"/>
      <c r="AA852" s="33"/>
      <c r="AB852" s="35"/>
      <c r="AC852" s="34"/>
      <c r="AD852" s="34"/>
      <c r="AE852" s="34"/>
      <c r="AF852" s="34"/>
      <c r="AG852" s="34"/>
      <c r="AH852" s="33"/>
      <c r="AI852" s="33"/>
      <c r="AJ852" s="34"/>
      <c r="AK852" s="33"/>
      <c r="AL852" s="33"/>
      <c r="AM852" s="33"/>
      <c r="AN852" s="34"/>
      <c r="AO852" s="34"/>
      <c r="AP852" s="33"/>
      <c r="AQ852" s="34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4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5"/>
      <c r="CC852" s="33"/>
      <c r="CD852" s="33"/>
      <c r="CE852" s="33"/>
      <c r="CF852" s="34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4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3"/>
      <c r="DL852" s="33"/>
      <c r="DM852" s="34"/>
      <c r="DN852" s="34"/>
      <c r="DO852" s="33"/>
      <c r="DP852" s="33"/>
      <c r="DQ852" s="33"/>
      <c r="DR852" s="33"/>
      <c r="DS852" s="33"/>
      <c r="DT852" s="33"/>
      <c r="DU852" s="33"/>
      <c r="DV852" s="33"/>
      <c r="DW852" s="33"/>
      <c r="DX852" s="33"/>
      <c r="DY852" s="33"/>
      <c r="DZ852" s="33"/>
      <c r="EA852" s="33"/>
      <c r="EB852" s="33"/>
      <c r="EC852" s="33"/>
      <c r="ED852" s="33"/>
      <c r="EE852" s="33"/>
      <c r="EF852" s="33"/>
      <c r="EG852" s="38"/>
    </row>
    <row r="853" spans="2:137" ht="13.2">
      <c r="B853" s="30" t="str">
        <f t="shared" si="24"/>
        <v/>
      </c>
      <c r="C853" s="31" t="str">
        <f t="shared" si="27"/>
        <v/>
      </c>
      <c r="D853" s="32"/>
      <c r="E853" s="33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3"/>
      <c r="R853" s="33"/>
      <c r="S853" s="33"/>
      <c r="T853" s="33"/>
      <c r="U853" s="35"/>
      <c r="V853" s="36"/>
      <c r="W853" s="37"/>
      <c r="X853" s="34"/>
      <c r="Y853" s="33"/>
      <c r="Z853" s="33"/>
      <c r="AA853" s="33"/>
      <c r="AB853" s="35"/>
      <c r="AC853" s="34"/>
      <c r="AD853" s="34"/>
      <c r="AE853" s="34"/>
      <c r="AF853" s="34"/>
      <c r="AG853" s="34"/>
      <c r="AH853" s="33"/>
      <c r="AI853" s="33"/>
      <c r="AJ853" s="34"/>
      <c r="AK853" s="33"/>
      <c r="AL853" s="33"/>
      <c r="AM853" s="33"/>
      <c r="AN853" s="34"/>
      <c r="AO853" s="34"/>
      <c r="AP853" s="33"/>
      <c r="AQ853" s="34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4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5"/>
      <c r="CC853" s="33"/>
      <c r="CD853" s="33"/>
      <c r="CE853" s="33"/>
      <c r="CF853" s="34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4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3"/>
      <c r="DL853" s="33"/>
      <c r="DM853" s="34"/>
      <c r="DN853" s="34"/>
      <c r="DO853" s="33"/>
      <c r="DP853" s="33"/>
      <c r="DQ853" s="33"/>
      <c r="DR853" s="33"/>
      <c r="DS853" s="33"/>
      <c r="DT853" s="33"/>
      <c r="DU853" s="33"/>
      <c r="DV853" s="33"/>
      <c r="DW853" s="33"/>
      <c r="DX853" s="33"/>
      <c r="DY853" s="33"/>
      <c r="DZ853" s="33"/>
      <c r="EA853" s="33"/>
      <c r="EB853" s="33"/>
      <c r="EC853" s="33"/>
      <c r="ED853" s="33"/>
      <c r="EE853" s="33"/>
      <c r="EF853" s="33"/>
      <c r="EG853" s="38"/>
    </row>
    <row r="854" spans="2:137" ht="13.2">
      <c r="B854" s="30" t="str">
        <f t="shared" si="24"/>
        <v/>
      </c>
      <c r="C854" s="31" t="str">
        <f t="shared" si="27"/>
        <v/>
      </c>
      <c r="D854" s="32"/>
      <c r="E854" s="33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3"/>
      <c r="R854" s="33"/>
      <c r="S854" s="33"/>
      <c r="T854" s="33"/>
      <c r="U854" s="35"/>
      <c r="V854" s="36"/>
      <c r="W854" s="37"/>
      <c r="X854" s="34"/>
      <c r="Y854" s="33"/>
      <c r="Z854" s="33"/>
      <c r="AA854" s="33"/>
      <c r="AB854" s="35"/>
      <c r="AC854" s="34"/>
      <c r="AD854" s="34"/>
      <c r="AE854" s="34"/>
      <c r="AF854" s="34"/>
      <c r="AG854" s="34"/>
      <c r="AH854" s="33"/>
      <c r="AI854" s="33"/>
      <c r="AJ854" s="34"/>
      <c r="AK854" s="33"/>
      <c r="AL854" s="33"/>
      <c r="AM854" s="33"/>
      <c r="AN854" s="34"/>
      <c r="AO854" s="34"/>
      <c r="AP854" s="33"/>
      <c r="AQ854" s="34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4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5"/>
      <c r="CC854" s="33"/>
      <c r="CD854" s="33"/>
      <c r="CE854" s="33"/>
      <c r="CF854" s="34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4"/>
      <c r="DA854" s="33"/>
      <c r="DB854" s="33"/>
      <c r="DC854" s="33"/>
      <c r="DD854" s="33"/>
      <c r="DE854" s="33"/>
      <c r="DF854" s="33"/>
      <c r="DG854" s="33"/>
      <c r="DH854" s="33"/>
      <c r="DI854" s="33"/>
      <c r="DJ854" s="33"/>
      <c r="DK854" s="33"/>
      <c r="DL854" s="33"/>
      <c r="DM854" s="34"/>
      <c r="DN854" s="34"/>
      <c r="DO854" s="33"/>
      <c r="DP854" s="33"/>
      <c r="DQ854" s="33"/>
      <c r="DR854" s="33"/>
      <c r="DS854" s="33"/>
      <c r="DT854" s="33"/>
      <c r="DU854" s="33"/>
      <c r="DV854" s="33"/>
      <c r="DW854" s="33"/>
      <c r="DX854" s="33"/>
      <c r="DY854" s="33"/>
      <c r="DZ854" s="33"/>
      <c r="EA854" s="33"/>
      <c r="EB854" s="33"/>
      <c r="EC854" s="33"/>
      <c r="ED854" s="33"/>
      <c r="EE854" s="33"/>
      <c r="EF854" s="33"/>
      <c r="EG854" s="38"/>
    </row>
    <row r="855" spans="2:137" ht="13.2">
      <c r="B855" s="30" t="str">
        <f t="shared" si="24"/>
        <v/>
      </c>
      <c r="C855" s="31" t="str">
        <f t="shared" si="27"/>
        <v/>
      </c>
      <c r="D855" s="32"/>
      <c r="E855" s="33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3"/>
      <c r="R855" s="33"/>
      <c r="S855" s="33"/>
      <c r="T855" s="33"/>
      <c r="U855" s="35"/>
      <c r="V855" s="36"/>
      <c r="W855" s="37"/>
      <c r="X855" s="34"/>
      <c r="Y855" s="33"/>
      <c r="Z855" s="33"/>
      <c r="AA855" s="33"/>
      <c r="AB855" s="35"/>
      <c r="AC855" s="34"/>
      <c r="AD855" s="34"/>
      <c r="AE855" s="34"/>
      <c r="AF855" s="34"/>
      <c r="AG855" s="34"/>
      <c r="AH855" s="33"/>
      <c r="AI855" s="33"/>
      <c r="AJ855" s="34"/>
      <c r="AK855" s="33"/>
      <c r="AL855" s="33"/>
      <c r="AM855" s="33"/>
      <c r="AN855" s="34"/>
      <c r="AO855" s="34"/>
      <c r="AP855" s="33"/>
      <c r="AQ855" s="34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4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5"/>
      <c r="CC855" s="33"/>
      <c r="CD855" s="33"/>
      <c r="CE855" s="33"/>
      <c r="CF855" s="34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4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3"/>
      <c r="DL855" s="33"/>
      <c r="DM855" s="34"/>
      <c r="DN855" s="34"/>
      <c r="DO855" s="33"/>
      <c r="DP855" s="33"/>
      <c r="DQ855" s="33"/>
      <c r="DR855" s="33"/>
      <c r="DS855" s="33"/>
      <c r="DT855" s="33"/>
      <c r="DU855" s="33"/>
      <c r="DV855" s="33"/>
      <c r="DW855" s="33"/>
      <c r="DX855" s="33"/>
      <c r="DY855" s="33"/>
      <c r="DZ855" s="33"/>
      <c r="EA855" s="33"/>
      <c r="EB855" s="33"/>
      <c r="EC855" s="33"/>
      <c r="ED855" s="33"/>
      <c r="EE855" s="33"/>
      <c r="EF855" s="33"/>
      <c r="EG855" s="38"/>
    </row>
    <row r="856" spans="2:137" ht="13.2">
      <c r="B856" s="30" t="str">
        <f t="shared" si="24"/>
        <v/>
      </c>
      <c r="C856" s="31" t="str">
        <f t="shared" si="27"/>
        <v/>
      </c>
      <c r="D856" s="32"/>
      <c r="E856" s="33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3"/>
      <c r="R856" s="33"/>
      <c r="S856" s="33"/>
      <c r="T856" s="33"/>
      <c r="U856" s="35"/>
      <c r="V856" s="36"/>
      <c r="W856" s="37"/>
      <c r="X856" s="34"/>
      <c r="Y856" s="33"/>
      <c r="Z856" s="33"/>
      <c r="AA856" s="33"/>
      <c r="AB856" s="35"/>
      <c r="AC856" s="34"/>
      <c r="AD856" s="34"/>
      <c r="AE856" s="34"/>
      <c r="AF856" s="34"/>
      <c r="AG856" s="34"/>
      <c r="AH856" s="33"/>
      <c r="AI856" s="33"/>
      <c r="AJ856" s="34"/>
      <c r="AK856" s="33"/>
      <c r="AL856" s="33"/>
      <c r="AM856" s="33"/>
      <c r="AN856" s="34"/>
      <c r="AO856" s="34"/>
      <c r="AP856" s="33"/>
      <c r="AQ856" s="34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4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5"/>
      <c r="CC856" s="33"/>
      <c r="CD856" s="33"/>
      <c r="CE856" s="33"/>
      <c r="CF856" s="34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4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3"/>
      <c r="DL856" s="33"/>
      <c r="DM856" s="34"/>
      <c r="DN856" s="34"/>
      <c r="DO856" s="33"/>
      <c r="DP856" s="33"/>
      <c r="DQ856" s="33"/>
      <c r="DR856" s="33"/>
      <c r="DS856" s="33"/>
      <c r="DT856" s="33"/>
      <c r="DU856" s="33"/>
      <c r="DV856" s="33"/>
      <c r="DW856" s="33"/>
      <c r="DX856" s="33"/>
      <c r="DY856" s="33"/>
      <c r="DZ856" s="33"/>
      <c r="EA856" s="33"/>
      <c r="EB856" s="33"/>
      <c r="EC856" s="33"/>
      <c r="ED856" s="33"/>
      <c r="EE856" s="33"/>
      <c r="EF856" s="33"/>
      <c r="EG856" s="38"/>
    </row>
    <row r="857" spans="2:137" ht="13.2">
      <c r="B857" s="30" t="str">
        <f t="shared" si="24"/>
        <v/>
      </c>
      <c r="C857" s="31" t="str">
        <f t="shared" si="27"/>
        <v/>
      </c>
      <c r="D857" s="32"/>
      <c r="E857" s="33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3"/>
      <c r="R857" s="33"/>
      <c r="S857" s="33"/>
      <c r="T857" s="33"/>
      <c r="U857" s="35"/>
      <c r="V857" s="36"/>
      <c r="W857" s="37"/>
      <c r="X857" s="34"/>
      <c r="Y857" s="33"/>
      <c r="Z857" s="33"/>
      <c r="AA857" s="33"/>
      <c r="AB857" s="35"/>
      <c r="AC857" s="34"/>
      <c r="AD857" s="34"/>
      <c r="AE857" s="34"/>
      <c r="AF857" s="34"/>
      <c r="AG857" s="34"/>
      <c r="AH857" s="33"/>
      <c r="AI857" s="33"/>
      <c r="AJ857" s="34"/>
      <c r="AK857" s="33"/>
      <c r="AL857" s="33"/>
      <c r="AM857" s="33"/>
      <c r="AN857" s="34"/>
      <c r="AO857" s="34"/>
      <c r="AP857" s="33"/>
      <c r="AQ857" s="34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4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5"/>
      <c r="CC857" s="33"/>
      <c r="CD857" s="33"/>
      <c r="CE857" s="33"/>
      <c r="CF857" s="34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4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3"/>
      <c r="DL857" s="33"/>
      <c r="DM857" s="34"/>
      <c r="DN857" s="34"/>
      <c r="DO857" s="33"/>
      <c r="DP857" s="33"/>
      <c r="DQ857" s="33"/>
      <c r="DR857" s="33"/>
      <c r="DS857" s="33"/>
      <c r="DT857" s="33"/>
      <c r="DU857" s="33"/>
      <c r="DV857" s="33"/>
      <c r="DW857" s="33"/>
      <c r="DX857" s="33"/>
      <c r="DY857" s="33"/>
      <c r="DZ857" s="33"/>
      <c r="EA857" s="33"/>
      <c r="EB857" s="33"/>
      <c r="EC857" s="33"/>
      <c r="ED857" s="33"/>
      <c r="EE857" s="33"/>
      <c r="EF857" s="33"/>
      <c r="EG857" s="38"/>
    </row>
    <row r="858" spans="2:137" ht="13.2">
      <c r="B858" s="30" t="str">
        <f t="shared" si="24"/>
        <v/>
      </c>
      <c r="C858" s="31" t="str">
        <f t="shared" si="27"/>
        <v/>
      </c>
      <c r="D858" s="32"/>
      <c r="E858" s="33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3"/>
      <c r="R858" s="33"/>
      <c r="S858" s="33"/>
      <c r="T858" s="33"/>
      <c r="U858" s="35"/>
      <c r="V858" s="36"/>
      <c r="W858" s="37"/>
      <c r="X858" s="34"/>
      <c r="Y858" s="33"/>
      <c r="Z858" s="33"/>
      <c r="AA858" s="33"/>
      <c r="AB858" s="35"/>
      <c r="AC858" s="34"/>
      <c r="AD858" s="34"/>
      <c r="AE858" s="34"/>
      <c r="AF858" s="34"/>
      <c r="AG858" s="34"/>
      <c r="AH858" s="33"/>
      <c r="AI858" s="33"/>
      <c r="AJ858" s="34"/>
      <c r="AK858" s="33"/>
      <c r="AL858" s="33"/>
      <c r="AM858" s="33"/>
      <c r="AN858" s="34"/>
      <c r="AO858" s="34"/>
      <c r="AP858" s="33"/>
      <c r="AQ858" s="34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4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5"/>
      <c r="CC858" s="33"/>
      <c r="CD858" s="33"/>
      <c r="CE858" s="33"/>
      <c r="CF858" s="34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4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3"/>
      <c r="DL858" s="33"/>
      <c r="DM858" s="34"/>
      <c r="DN858" s="34"/>
      <c r="DO858" s="33"/>
      <c r="DP858" s="33"/>
      <c r="DQ858" s="33"/>
      <c r="DR858" s="33"/>
      <c r="DS858" s="33"/>
      <c r="DT858" s="33"/>
      <c r="DU858" s="33"/>
      <c r="DV858" s="33"/>
      <c r="DW858" s="33"/>
      <c r="DX858" s="33"/>
      <c r="DY858" s="33"/>
      <c r="DZ858" s="33"/>
      <c r="EA858" s="33"/>
      <c r="EB858" s="33"/>
      <c r="EC858" s="33"/>
      <c r="ED858" s="33"/>
      <c r="EE858" s="33"/>
      <c r="EF858" s="33"/>
      <c r="EG858" s="38"/>
    </row>
    <row r="859" spans="2:137" ht="13.2">
      <c r="B859" s="30" t="str">
        <f t="shared" si="24"/>
        <v/>
      </c>
      <c r="C859" s="31" t="str">
        <f t="shared" si="27"/>
        <v/>
      </c>
      <c r="D859" s="32"/>
      <c r="E859" s="33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3"/>
      <c r="R859" s="33"/>
      <c r="S859" s="33"/>
      <c r="T859" s="33"/>
      <c r="U859" s="35"/>
      <c r="V859" s="36"/>
      <c r="W859" s="37"/>
      <c r="X859" s="34"/>
      <c r="Y859" s="33"/>
      <c r="Z859" s="33"/>
      <c r="AA859" s="33"/>
      <c r="AB859" s="35"/>
      <c r="AC859" s="34"/>
      <c r="AD859" s="34"/>
      <c r="AE859" s="34"/>
      <c r="AF859" s="34"/>
      <c r="AG859" s="34"/>
      <c r="AH859" s="33"/>
      <c r="AI859" s="33"/>
      <c r="AJ859" s="34"/>
      <c r="AK859" s="33"/>
      <c r="AL859" s="33"/>
      <c r="AM859" s="33"/>
      <c r="AN859" s="34"/>
      <c r="AO859" s="34"/>
      <c r="AP859" s="33"/>
      <c r="AQ859" s="34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4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5"/>
      <c r="CC859" s="33"/>
      <c r="CD859" s="33"/>
      <c r="CE859" s="33"/>
      <c r="CF859" s="34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4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3"/>
      <c r="DL859" s="33"/>
      <c r="DM859" s="34"/>
      <c r="DN859" s="34"/>
      <c r="DO859" s="33"/>
      <c r="DP859" s="33"/>
      <c r="DQ859" s="33"/>
      <c r="DR859" s="33"/>
      <c r="DS859" s="33"/>
      <c r="DT859" s="33"/>
      <c r="DU859" s="33"/>
      <c r="DV859" s="33"/>
      <c r="DW859" s="33"/>
      <c r="DX859" s="33"/>
      <c r="DY859" s="33"/>
      <c r="DZ859" s="33"/>
      <c r="EA859" s="33"/>
      <c r="EB859" s="33"/>
      <c r="EC859" s="33"/>
      <c r="ED859" s="33"/>
      <c r="EE859" s="33"/>
      <c r="EF859" s="33"/>
      <c r="EG859" s="38"/>
    </row>
    <row r="860" spans="2:137" ht="13.2">
      <c r="B860" s="30" t="str">
        <f t="shared" si="24"/>
        <v/>
      </c>
      <c r="C860" s="31" t="str">
        <f t="shared" si="27"/>
        <v/>
      </c>
      <c r="D860" s="32"/>
      <c r="E860" s="33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3"/>
      <c r="R860" s="33"/>
      <c r="S860" s="33"/>
      <c r="T860" s="33"/>
      <c r="U860" s="35"/>
      <c r="V860" s="36"/>
      <c r="W860" s="37"/>
      <c r="X860" s="34"/>
      <c r="Y860" s="33"/>
      <c r="Z860" s="33"/>
      <c r="AA860" s="33"/>
      <c r="AB860" s="35"/>
      <c r="AC860" s="34"/>
      <c r="AD860" s="34"/>
      <c r="AE860" s="34"/>
      <c r="AF860" s="34"/>
      <c r="AG860" s="34"/>
      <c r="AH860" s="33"/>
      <c r="AI860" s="33"/>
      <c r="AJ860" s="34"/>
      <c r="AK860" s="33"/>
      <c r="AL860" s="33"/>
      <c r="AM860" s="33"/>
      <c r="AN860" s="34"/>
      <c r="AO860" s="34"/>
      <c r="AP860" s="33"/>
      <c r="AQ860" s="34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4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5"/>
      <c r="CC860" s="33"/>
      <c r="CD860" s="33"/>
      <c r="CE860" s="33"/>
      <c r="CF860" s="34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4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3"/>
      <c r="DL860" s="33"/>
      <c r="DM860" s="34"/>
      <c r="DN860" s="34"/>
      <c r="DO860" s="33"/>
      <c r="DP860" s="33"/>
      <c r="DQ860" s="33"/>
      <c r="DR860" s="33"/>
      <c r="DS860" s="33"/>
      <c r="DT860" s="33"/>
      <c r="DU860" s="33"/>
      <c r="DV860" s="33"/>
      <c r="DW860" s="33"/>
      <c r="DX860" s="33"/>
      <c r="DY860" s="33"/>
      <c r="DZ860" s="33"/>
      <c r="EA860" s="33"/>
      <c r="EB860" s="33"/>
      <c r="EC860" s="33"/>
      <c r="ED860" s="33"/>
      <c r="EE860" s="33"/>
      <c r="EF860" s="33"/>
      <c r="EG860" s="38"/>
    </row>
    <row r="861" spans="2:137" ht="13.2">
      <c r="B861" s="30" t="str">
        <f t="shared" si="24"/>
        <v/>
      </c>
      <c r="C861" s="31" t="str">
        <f t="shared" si="27"/>
        <v/>
      </c>
      <c r="D861" s="32"/>
      <c r="E861" s="33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3"/>
      <c r="R861" s="33"/>
      <c r="S861" s="33"/>
      <c r="T861" s="33"/>
      <c r="U861" s="35"/>
      <c r="V861" s="36"/>
      <c r="W861" s="37"/>
      <c r="X861" s="34"/>
      <c r="Y861" s="33"/>
      <c r="Z861" s="33"/>
      <c r="AA861" s="33"/>
      <c r="AB861" s="35"/>
      <c r="AC861" s="34"/>
      <c r="AD861" s="34"/>
      <c r="AE861" s="34"/>
      <c r="AF861" s="34"/>
      <c r="AG861" s="34"/>
      <c r="AH861" s="33"/>
      <c r="AI861" s="33"/>
      <c r="AJ861" s="34"/>
      <c r="AK861" s="33"/>
      <c r="AL861" s="33"/>
      <c r="AM861" s="33"/>
      <c r="AN861" s="34"/>
      <c r="AO861" s="34"/>
      <c r="AP861" s="33"/>
      <c r="AQ861" s="34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4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5"/>
      <c r="CC861" s="33"/>
      <c r="CD861" s="33"/>
      <c r="CE861" s="33"/>
      <c r="CF861" s="34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4"/>
      <c r="DA861" s="33"/>
      <c r="DB861" s="33"/>
      <c r="DC861" s="33"/>
      <c r="DD861" s="33"/>
      <c r="DE861" s="33"/>
      <c r="DF861" s="33"/>
      <c r="DG861" s="33"/>
      <c r="DH861" s="33"/>
      <c r="DI861" s="33"/>
      <c r="DJ861" s="33"/>
      <c r="DK861" s="33"/>
      <c r="DL861" s="33"/>
      <c r="DM861" s="34"/>
      <c r="DN861" s="34"/>
      <c r="DO861" s="33"/>
      <c r="DP861" s="33"/>
      <c r="DQ861" s="33"/>
      <c r="DR861" s="33"/>
      <c r="DS861" s="33"/>
      <c r="DT861" s="33"/>
      <c r="DU861" s="33"/>
      <c r="DV861" s="33"/>
      <c r="DW861" s="33"/>
      <c r="DX861" s="33"/>
      <c r="DY861" s="33"/>
      <c r="DZ861" s="33"/>
      <c r="EA861" s="33"/>
      <c r="EB861" s="33"/>
      <c r="EC861" s="33"/>
      <c r="ED861" s="33"/>
      <c r="EE861" s="33"/>
      <c r="EF861" s="33"/>
      <c r="EG861" s="38"/>
    </row>
    <row r="862" spans="2:137" ht="13.2">
      <c r="B862" s="30" t="str">
        <f t="shared" si="24"/>
        <v/>
      </c>
      <c r="C862" s="31" t="str">
        <f t="shared" si="27"/>
        <v/>
      </c>
      <c r="D862" s="32"/>
      <c r="E862" s="33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3"/>
      <c r="R862" s="33"/>
      <c r="S862" s="33"/>
      <c r="T862" s="33"/>
      <c r="U862" s="35"/>
      <c r="V862" s="36"/>
      <c r="W862" s="37"/>
      <c r="X862" s="34"/>
      <c r="Y862" s="33"/>
      <c r="Z862" s="33"/>
      <c r="AA862" s="33"/>
      <c r="AB862" s="35"/>
      <c r="AC862" s="34"/>
      <c r="AD862" s="34"/>
      <c r="AE862" s="34"/>
      <c r="AF862" s="34"/>
      <c r="AG862" s="34"/>
      <c r="AH862" s="33"/>
      <c r="AI862" s="33"/>
      <c r="AJ862" s="34"/>
      <c r="AK862" s="33"/>
      <c r="AL862" s="33"/>
      <c r="AM862" s="33"/>
      <c r="AN862" s="34"/>
      <c r="AO862" s="34"/>
      <c r="AP862" s="33"/>
      <c r="AQ862" s="34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4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5"/>
      <c r="CC862" s="33"/>
      <c r="CD862" s="33"/>
      <c r="CE862" s="33"/>
      <c r="CF862" s="34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4"/>
      <c r="DA862" s="33"/>
      <c r="DB862" s="33"/>
      <c r="DC862" s="33"/>
      <c r="DD862" s="33"/>
      <c r="DE862" s="33"/>
      <c r="DF862" s="33"/>
      <c r="DG862" s="33"/>
      <c r="DH862" s="33"/>
      <c r="DI862" s="33"/>
      <c r="DJ862" s="33"/>
      <c r="DK862" s="33"/>
      <c r="DL862" s="33"/>
      <c r="DM862" s="34"/>
      <c r="DN862" s="34"/>
      <c r="DO862" s="33"/>
      <c r="DP862" s="33"/>
      <c r="DQ862" s="33"/>
      <c r="DR862" s="33"/>
      <c r="DS862" s="33"/>
      <c r="DT862" s="33"/>
      <c r="DU862" s="33"/>
      <c r="DV862" s="33"/>
      <c r="DW862" s="33"/>
      <c r="DX862" s="33"/>
      <c r="DY862" s="33"/>
      <c r="DZ862" s="33"/>
      <c r="EA862" s="33"/>
      <c r="EB862" s="33"/>
      <c r="EC862" s="33"/>
      <c r="ED862" s="33"/>
      <c r="EE862" s="33"/>
      <c r="EF862" s="33"/>
      <c r="EG862" s="38"/>
    </row>
    <row r="863" spans="2:137" ht="13.2">
      <c r="B863" s="30" t="str">
        <f t="shared" si="24"/>
        <v/>
      </c>
      <c r="C863" s="31" t="str">
        <f t="shared" si="27"/>
        <v/>
      </c>
      <c r="D863" s="32"/>
      <c r="E863" s="33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3"/>
      <c r="R863" s="33"/>
      <c r="S863" s="33"/>
      <c r="T863" s="33"/>
      <c r="U863" s="35"/>
      <c r="V863" s="36"/>
      <c r="W863" s="37"/>
      <c r="X863" s="34"/>
      <c r="Y863" s="33"/>
      <c r="Z863" s="33"/>
      <c r="AA863" s="33"/>
      <c r="AB863" s="35"/>
      <c r="AC863" s="34"/>
      <c r="AD863" s="34"/>
      <c r="AE863" s="34"/>
      <c r="AF863" s="34"/>
      <c r="AG863" s="34"/>
      <c r="AH863" s="33"/>
      <c r="AI863" s="33"/>
      <c r="AJ863" s="34"/>
      <c r="AK863" s="33"/>
      <c r="AL863" s="33"/>
      <c r="AM863" s="33"/>
      <c r="AN863" s="34"/>
      <c r="AO863" s="34"/>
      <c r="AP863" s="33"/>
      <c r="AQ863" s="34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4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5"/>
      <c r="CC863" s="33"/>
      <c r="CD863" s="33"/>
      <c r="CE863" s="33"/>
      <c r="CF863" s="34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4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3"/>
      <c r="DL863" s="33"/>
      <c r="DM863" s="34"/>
      <c r="DN863" s="34"/>
      <c r="DO863" s="33"/>
      <c r="DP863" s="33"/>
      <c r="DQ863" s="33"/>
      <c r="DR863" s="33"/>
      <c r="DS863" s="33"/>
      <c r="DT863" s="33"/>
      <c r="DU863" s="33"/>
      <c r="DV863" s="33"/>
      <c r="DW863" s="33"/>
      <c r="DX863" s="33"/>
      <c r="DY863" s="33"/>
      <c r="DZ863" s="33"/>
      <c r="EA863" s="33"/>
      <c r="EB863" s="33"/>
      <c r="EC863" s="33"/>
      <c r="ED863" s="33"/>
      <c r="EE863" s="33"/>
      <c r="EF863" s="33"/>
      <c r="EG863" s="38"/>
    </row>
    <row r="864" spans="2:137" ht="13.2">
      <c r="B864" s="30" t="str">
        <f t="shared" si="24"/>
        <v/>
      </c>
      <c r="C864" s="31" t="str">
        <f t="shared" si="27"/>
        <v/>
      </c>
      <c r="D864" s="32"/>
      <c r="E864" s="33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3"/>
      <c r="R864" s="33"/>
      <c r="S864" s="33"/>
      <c r="T864" s="33"/>
      <c r="U864" s="35"/>
      <c r="V864" s="36"/>
      <c r="W864" s="37"/>
      <c r="X864" s="34"/>
      <c r="Y864" s="33"/>
      <c r="Z864" s="33"/>
      <c r="AA864" s="33"/>
      <c r="AB864" s="35"/>
      <c r="AC864" s="34"/>
      <c r="AD864" s="34"/>
      <c r="AE864" s="34"/>
      <c r="AF864" s="34"/>
      <c r="AG864" s="34"/>
      <c r="AH864" s="33"/>
      <c r="AI864" s="33"/>
      <c r="AJ864" s="34"/>
      <c r="AK864" s="33"/>
      <c r="AL864" s="33"/>
      <c r="AM864" s="33"/>
      <c r="AN864" s="34"/>
      <c r="AO864" s="34"/>
      <c r="AP864" s="33"/>
      <c r="AQ864" s="34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4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5"/>
      <c r="CC864" s="33"/>
      <c r="CD864" s="33"/>
      <c r="CE864" s="33"/>
      <c r="CF864" s="34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4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3"/>
      <c r="DL864" s="33"/>
      <c r="DM864" s="34"/>
      <c r="DN864" s="34"/>
      <c r="DO864" s="33"/>
      <c r="DP864" s="33"/>
      <c r="DQ864" s="33"/>
      <c r="DR864" s="33"/>
      <c r="DS864" s="33"/>
      <c r="DT864" s="33"/>
      <c r="DU864" s="33"/>
      <c r="DV864" s="33"/>
      <c r="DW864" s="33"/>
      <c r="DX864" s="33"/>
      <c r="DY864" s="33"/>
      <c r="DZ864" s="33"/>
      <c r="EA864" s="33"/>
      <c r="EB864" s="33"/>
      <c r="EC864" s="33"/>
      <c r="ED864" s="33"/>
      <c r="EE864" s="33"/>
      <c r="EF864" s="33"/>
      <c r="EG864" s="38"/>
    </row>
    <row r="865" spans="2:137" ht="13.2">
      <c r="B865" s="30" t="str">
        <f t="shared" si="24"/>
        <v/>
      </c>
      <c r="C865" s="31" t="str">
        <f t="shared" si="27"/>
        <v/>
      </c>
      <c r="D865" s="32"/>
      <c r="E865" s="33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3"/>
      <c r="R865" s="33"/>
      <c r="S865" s="33"/>
      <c r="T865" s="33"/>
      <c r="U865" s="35"/>
      <c r="V865" s="36"/>
      <c r="W865" s="37"/>
      <c r="X865" s="34"/>
      <c r="Y865" s="33"/>
      <c r="Z865" s="33"/>
      <c r="AA865" s="33"/>
      <c r="AB865" s="35"/>
      <c r="AC865" s="34"/>
      <c r="AD865" s="34"/>
      <c r="AE865" s="34"/>
      <c r="AF865" s="34"/>
      <c r="AG865" s="34"/>
      <c r="AH865" s="33"/>
      <c r="AI865" s="33"/>
      <c r="AJ865" s="34"/>
      <c r="AK865" s="33"/>
      <c r="AL865" s="33"/>
      <c r="AM865" s="33"/>
      <c r="AN865" s="34"/>
      <c r="AO865" s="34"/>
      <c r="AP865" s="33"/>
      <c r="AQ865" s="34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4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5"/>
      <c r="CC865" s="33"/>
      <c r="CD865" s="33"/>
      <c r="CE865" s="33"/>
      <c r="CF865" s="34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4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3"/>
      <c r="DL865" s="33"/>
      <c r="DM865" s="34"/>
      <c r="DN865" s="34"/>
      <c r="DO865" s="33"/>
      <c r="DP865" s="33"/>
      <c r="DQ865" s="33"/>
      <c r="DR865" s="33"/>
      <c r="DS865" s="33"/>
      <c r="DT865" s="33"/>
      <c r="DU865" s="33"/>
      <c r="DV865" s="33"/>
      <c r="DW865" s="33"/>
      <c r="DX865" s="33"/>
      <c r="DY865" s="33"/>
      <c r="DZ865" s="33"/>
      <c r="EA865" s="33"/>
      <c r="EB865" s="33"/>
      <c r="EC865" s="33"/>
      <c r="ED865" s="33"/>
      <c r="EE865" s="33"/>
      <c r="EF865" s="33"/>
      <c r="EG865" s="38"/>
    </row>
    <row r="866" spans="2:137" ht="13.2">
      <c r="B866" s="30" t="str">
        <f t="shared" si="24"/>
        <v/>
      </c>
      <c r="C866" s="31" t="str">
        <f t="shared" si="27"/>
        <v/>
      </c>
      <c r="D866" s="32"/>
      <c r="E866" s="33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3"/>
      <c r="R866" s="33"/>
      <c r="S866" s="33"/>
      <c r="T866" s="33"/>
      <c r="U866" s="35"/>
      <c r="V866" s="36"/>
      <c r="W866" s="37"/>
      <c r="X866" s="34"/>
      <c r="Y866" s="33"/>
      <c r="Z866" s="33"/>
      <c r="AA866" s="33"/>
      <c r="AB866" s="35"/>
      <c r="AC866" s="34"/>
      <c r="AD866" s="34"/>
      <c r="AE866" s="34"/>
      <c r="AF866" s="34"/>
      <c r="AG866" s="34"/>
      <c r="AH866" s="33"/>
      <c r="AI866" s="33"/>
      <c r="AJ866" s="34"/>
      <c r="AK866" s="33"/>
      <c r="AL866" s="33"/>
      <c r="AM866" s="33"/>
      <c r="AN866" s="34"/>
      <c r="AO866" s="34"/>
      <c r="AP866" s="33"/>
      <c r="AQ866" s="34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4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5"/>
      <c r="CC866" s="33"/>
      <c r="CD866" s="33"/>
      <c r="CE866" s="33"/>
      <c r="CF866" s="34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4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4"/>
      <c r="DN866" s="34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  <c r="EE866" s="33"/>
      <c r="EF866" s="33"/>
      <c r="EG866" s="38"/>
    </row>
    <row r="867" spans="2:137" ht="13.2">
      <c r="B867" s="30" t="str">
        <f t="shared" si="24"/>
        <v/>
      </c>
      <c r="C867" s="31" t="str">
        <f t="shared" si="27"/>
        <v/>
      </c>
      <c r="D867" s="32"/>
      <c r="E867" s="33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3"/>
      <c r="R867" s="33"/>
      <c r="S867" s="33"/>
      <c r="T867" s="33"/>
      <c r="U867" s="35"/>
      <c r="V867" s="36"/>
      <c r="W867" s="37"/>
      <c r="X867" s="34"/>
      <c r="Y867" s="33"/>
      <c r="Z867" s="33"/>
      <c r="AA867" s="33"/>
      <c r="AB867" s="35"/>
      <c r="AC867" s="34"/>
      <c r="AD867" s="34"/>
      <c r="AE867" s="34"/>
      <c r="AF867" s="34"/>
      <c r="AG867" s="34"/>
      <c r="AH867" s="33"/>
      <c r="AI867" s="33"/>
      <c r="AJ867" s="34"/>
      <c r="AK867" s="33"/>
      <c r="AL867" s="33"/>
      <c r="AM867" s="33"/>
      <c r="AN867" s="34"/>
      <c r="AO867" s="34"/>
      <c r="AP867" s="33"/>
      <c r="AQ867" s="34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4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5"/>
      <c r="CC867" s="33"/>
      <c r="CD867" s="33"/>
      <c r="CE867" s="33"/>
      <c r="CF867" s="34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4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4"/>
      <c r="DN867" s="34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  <c r="EE867" s="33"/>
      <c r="EF867" s="33"/>
      <c r="EG867" s="38"/>
    </row>
    <row r="868" spans="2:137" ht="13.2">
      <c r="B868" s="30" t="str">
        <f t="shared" si="24"/>
        <v/>
      </c>
      <c r="C868" s="31" t="str">
        <f t="shared" si="27"/>
        <v/>
      </c>
      <c r="D868" s="32"/>
      <c r="E868" s="33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3"/>
      <c r="R868" s="33"/>
      <c r="S868" s="33"/>
      <c r="T868" s="33"/>
      <c r="U868" s="35"/>
      <c r="V868" s="36"/>
      <c r="W868" s="37"/>
      <c r="X868" s="34"/>
      <c r="Y868" s="33"/>
      <c r="Z868" s="33"/>
      <c r="AA868" s="33"/>
      <c r="AB868" s="35"/>
      <c r="AC868" s="34"/>
      <c r="AD868" s="34"/>
      <c r="AE868" s="34"/>
      <c r="AF868" s="34"/>
      <c r="AG868" s="34"/>
      <c r="AH868" s="33"/>
      <c r="AI868" s="33"/>
      <c r="AJ868" s="34"/>
      <c r="AK868" s="33"/>
      <c r="AL868" s="33"/>
      <c r="AM868" s="33"/>
      <c r="AN868" s="34"/>
      <c r="AO868" s="34"/>
      <c r="AP868" s="33"/>
      <c r="AQ868" s="34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4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5"/>
      <c r="CC868" s="33"/>
      <c r="CD868" s="33"/>
      <c r="CE868" s="33"/>
      <c r="CF868" s="34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4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4"/>
      <c r="DN868" s="34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  <c r="EE868" s="33"/>
      <c r="EF868" s="33"/>
      <c r="EG868" s="38"/>
    </row>
    <row r="869" spans="2:137" ht="13.2">
      <c r="B869" s="30" t="str">
        <f t="shared" si="24"/>
        <v/>
      </c>
      <c r="C869" s="31" t="str">
        <f t="shared" si="27"/>
        <v/>
      </c>
      <c r="D869" s="32"/>
      <c r="E869" s="33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3"/>
      <c r="R869" s="33"/>
      <c r="S869" s="33"/>
      <c r="T869" s="33"/>
      <c r="U869" s="35"/>
      <c r="V869" s="36"/>
      <c r="W869" s="37"/>
      <c r="X869" s="34"/>
      <c r="Y869" s="33"/>
      <c r="Z869" s="33"/>
      <c r="AA869" s="33"/>
      <c r="AB869" s="35"/>
      <c r="AC869" s="34"/>
      <c r="AD869" s="34"/>
      <c r="AE869" s="34"/>
      <c r="AF869" s="34"/>
      <c r="AG869" s="34"/>
      <c r="AH869" s="33"/>
      <c r="AI869" s="33"/>
      <c r="AJ869" s="34"/>
      <c r="AK869" s="33"/>
      <c r="AL869" s="33"/>
      <c r="AM869" s="33"/>
      <c r="AN869" s="34"/>
      <c r="AO869" s="34"/>
      <c r="AP869" s="33"/>
      <c r="AQ869" s="34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4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5"/>
      <c r="CC869" s="33"/>
      <c r="CD869" s="33"/>
      <c r="CE869" s="33"/>
      <c r="CF869" s="34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4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4"/>
      <c r="DN869" s="34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  <c r="EE869" s="33"/>
      <c r="EF869" s="33"/>
      <c r="EG869" s="38"/>
    </row>
    <row r="870" spans="2:137" ht="13.2">
      <c r="B870" s="30" t="str">
        <f t="shared" si="24"/>
        <v/>
      </c>
      <c r="C870" s="31" t="str">
        <f t="shared" si="27"/>
        <v/>
      </c>
      <c r="D870" s="32"/>
      <c r="E870" s="33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3"/>
      <c r="R870" s="33"/>
      <c r="S870" s="33"/>
      <c r="T870" s="33"/>
      <c r="U870" s="35"/>
      <c r="V870" s="36"/>
      <c r="W870" s="37"/>
      <c r="X870" s="34"/>
      <c r="Y870" s="33"/>
      <c r="Z870" s="33"/>
      <c r="AA870" s="33"/>
      <c r="AB870" s="35"/>
      <c r="AC870" s="34"/>
      <c r="AD870" s="34"/>
      <c r="AE870" s="34"/>
      <c r="AF870" s="34"/>
      <c r="AG870" s="34"/>
      <c r="AH870" s="33"/>
      <c r="AI870" s="33"/>
      <c r="AJ870" s="34"/>
      <c r="AK870" s="33"/>
      <c r="AL870" s="33"/>
      <c r="AM870" s="33"/>
      <c r="AN870" s="34"/>
      <c r="AO870" s="34"/>
      <c r="AP870" s="33"/>
      <c r="AQ870" s="34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4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5"/>
      <c r="CC870" s="33"/>
      <c r="CD870" s="33"/>
      <c r="CE870" s="33"/>
      <c r="CF870" s="34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4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3"/>
      <c r="DL870" s="33"/>
      <c r="DM870" s="34"/>
      <c r="DN870" s="34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  <c r="EE870" s="33"/>
      <c r="EF870" s="33"/>
      <c r="EG870" s="38"/>
    </row>
    <row r="871" spans="2:137" ht="13.2">
      <c r="B871" s="30" t="str">
        <f t="shared" si="24"/>
        <v/>
      </c>
      <c r="C871" s="31" t="str">
        <f t="shared" si="27"/>
        <v/>
      </c>
      <c r="D871" s="32"/>
      <c r="E871" s="33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3"/>
      <c r="R871" s="33"/>
      <c r="S871" s="33"/>
      <c r="T871" s="33"/>
      <c r="U871" s="35"/>
      <c r="V871" s="36"/>
      <c r="W871" s="37"/>
      <c r="X871" s="34"/>
      <c r="Y871" s="33"/>
      <c r="Z871" s="33"/>
      <c r="AA871" s="33"/>
      <c r="AB871" s="35"/>
      <c r="AC871" s="34"/>
      <c r="AD871" s="34"/>
      <c r="AE871" s="34"/>
      <c r="AF871" s="34"/>
      <c r="AG871" s="34"/>
      <c r="AH871" s="33"/>
      <c r="AI871" s="33"/>
      <c r="AJ871" s="34"/>
      <c r="AK871" s="33"/>
      <c r="AL871" s="33"/>
      <c r="AM871" s="33"/>
      <c r="AN871" s="34"/>
      <c r="AO871" s="34"/>
      <c r="AP871" s="33"/>
      <c r="AQ871" s="34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4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5"/>
      <c r="CC871" s="33"/>
      <c r="CD871" s="33"/>
      <c r="CE871" s="33"/>
      <c r="CF871" s="34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4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4"/>
      <c r="DN871" s="34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  <c r="EE871" s="33"/>
      <c r="EF871" s="33"/>
      <c r="EG871" s="38"/>
    </row>
    <row r="872" spans="2:137" ht="13.2">
      <c r="B872" s="30" t="str">
        <f t="shared" si="24"/>
        <v/>
      </c>
      <c r="C872" s="31" t="str">
        <f t="shared" si="27"/>
        <v/>
      </c>
      <c r="D872" s="32"/>
      <c r="E872" s="33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3"/>
      <c r="R872" s="33"/>
      <c r="S872" s="33"/>
      <c r="T872" s="33"/>
      <c r="U872" s="35"/>
      <c r="V872" s="36"/>
      <c r="W872" s="37"/>
      <c r="X872" s="34"/>
      <c r="Y872" s="33"/>
      <c r="Z872" s="33"/>
      <c r="AA872" s="33"/>
      <c r="AB872" s="35"/>
      <c r="AC872" s="34"/>
      <c r="AD872" s="34"/>
      <c r="AE872" s="34"/>
      <c r="AF872" s="34"/>
      <c r="AG872" s="34"/>
      <c r="AH872" s="33"/>
      <c r="AI872" s="33"/>
      <c r="AJ872" s="34"/>
      <c r="AK872" s="33"/>
      <c r="AL872" s="33"/>
      <c r="AM872" s="33"/>
      <c r="AN872" s="34"/>
      <c r="AO872" s="34"/>
      <c r="AP872" s="33"/>
      <c r="AQ872" s="34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4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5"/>
      <c r="CC872" s="33"/>
      <c r="CD872" s="33"/>
      <c r="CE872" s="33"/>
      <c r="CF872" s="34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4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4"/>
      <c r="DN872" s="34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  <c r="EE872" s="33"/>
      <c r="EF872" s="33"/>
      <c r="EG872" s="38"/>
    </row>
    <row r="873" spans="2:137" ht="13.2">
      <c r="B873" s="30" t="str">
        <f t="shared" si="24"/>
        <v/>
      </c>
      <c r="C873" s="31" t="str">
        <f t="shared" si="27"/>
        <v/>
      </c>
      <c r="D873" s="32"/>
      <c r="E873" s="33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3"/>
      <c r="R873" s="33"/>
      <c r="S873" s="33"/>
      <c r="T873" s="33"/>
      <c r="U873" s="35"/>
      <c r="V873" s="36"/>
      <c r="W873" s="37"/>
      <c r="X873" s="34"/>
      <c r="Y873" s="33"/>
      <c r="Z873" s="33"/>
      <c r="AA873" s="33"/>
      <c r="AB873" s="35"/>
      <c r="AC873" s="34"/>
      <c r="AD873" s="34"/>
      <c r="AE873" s="34"/>
      <c r="AF873" s="34"/>
      <c r="AG873" s="34"/>
      <c r="AH873" s="33"/>
      <c r="AI873" s="33"/>
      <c r="AJ873" s="34"/>
      <c r="AK873" s="33"/>
      <c r="AL873" s="33"/>
      <c r="AM873" s="33"/>
      <c r="AN873" s="34"/>
      <c r="AO873" s="34"/>
      <c r="AP873" s="33"/>
      <c r="AQ873" s="34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4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5"/>
      <c r="CC873" s="33"/>
      <c r="CD873" s="33"/>
      <c r="CE873" s="33"/>
      <c r="CF873" s="34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4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4"/>
      <c r="DN873" s="34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  <c r="EE873" s="33"/>
      <c r="EF873" s="33"/>
      <c r="EG873" s="38"/>
    </row>
    <row r="874" spans="2:137" ht="13.2">
      <c r="B874" s="30" t="str">
        <f t="shared" si="24"/>
        <v/>
      </c>
      <c r="C874" s="31" t="str">
        <f t="shared" si="27"/>
        <v/>
      </c>
      <c r="D874" s="32"/>
      <c r="E874" s="33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3"/>
      <c r="R874" s="33"/>
      <c r="S874" s="33"/>
      <c r="T874" s="33"/>
      <c r="U874" s="35"/>
      <c r="V874" s="36"/>
      <c r="W874" s="37"/>
      <c r="X874" s="34"/>
      <c r="Y874" s="33"/>
      <c r="Z874" s="33"/>
      <c r="AA874" s="33"/>
      <c r="AB874" s="35"/>
      <c r="AC874" s="34"/>
      <c r="AD874" s="34"/>
      <c r="AE874" s="34"/>
      <c r="AF874" s="34"/>
      <c r="AG874" s="34"/>
      <c r="AH874" s="33"/>
      <c r="AI874" s="33"/>
      <c r="AJ874" s="34"/>
      <c r="AK874" s="33"/>
      <c r="AL874" s="33"/>
      <c r="AM874" s="33"/>
      <c r="AN874" s="34"/>
      <c r="AO874" s="34"/>
      <c r="AP874" s="33"/>
      <c r="AQ874" s="34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4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5"/>
      <c r="CC874" s="33"/>
      <c r="CD874" s="33"/>
      <c r="CE874" s="33"/>
      <c r="CF874" s="34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4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4"/>
      <c r="DN874" s="34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  <c r="EE874" s="33"/>
      <c r="EF874" s="33"/>
      <c r="EG874" s="38"/>
    </row>
    <row r="875" spans="2:137" ht="13.2">
      <c r="B875" s="30" t="str">
        <f t="shared" si="24"/>
        <v/>
      </c>
      <c r="C875" s="31" t="str">
        <f t="shared" si="27"/>
        <v/>
      </c>
      <c r="D875" s="32"/>
      <c r="E875" s="33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3"/>
      <c r="R875" s="33"/>
      <c r="S875" s="33"/>
      <c r="T875" s="33"/>
      <c r="U875" s="35"/>
      <c r="V875" s="36"/>
      <c r="W875" s="37"/>
      <c r="X875" s="34"/>
      <c r="Y875" s="33"/>
      <c r="Z875" s="33"/>
      <c r="AA875" s="33"/>
      <c r="AB875" s="35"/>
      <c r="AC875" s="34"/>
      <c r="AD875" s="34"/>
      <c r="AE875" s="34"/>
      <c r="AF875" s="34"/>
      <c r="AG875" s="34"/>
      <c r="AH875" s="33"/>
      <c r="AI875" s="33"/>
      <c r="AJ875" s="34"/>
      <c r="AK875" s="33"/>
      <c r="AL875" s="33"/>
      <c r="AM875" s="33"/>
      <c r="AN875" s="34"/>
      <c r="AO875" s="34"/>
      <c r="AP875" s="33"/>
      <c r="AQ875" s="34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4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5"/>
      <c r="CC875" s="33"/>
      <c r="CD875" s="33"/>
      <c r="CE875" s="33"/>
      <c r="CF875" s="34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4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4"/>
      <c r="DN875" s="34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  <c r="EE875" s="33"/>
      <c r="EF875" s="33"/>
      <c r="EG875" s="38"/>
    </row>
    <row r="876" spans="2:137" ht="13.2">
      <c r="B876" s="30" t="str">
        <f t="shared" si="24"/>
        <v/>
      </c>
      <c r="C876" s="31" t="str">
        <f t="shared" si="27"/>
        <v/>
      </c>
      <c r="D876" s="32"/>
      <c r="E876" s="33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3"/>
      <c r="R876" s="33"/>
      <c r="S876" s="33"/>
      <c r="T876" s="33"/>
      <c r="U876" s="35"/>
      <c r="V876" s="36"/>
      <c r="W876" s="37"/>
      <c r="X876" s="34"/>
      <c r="Y876" s="33"/>
      <c r="Z876" s="33"/>
      <c r="AA876" s="33"/>
      <c r="AB876" s="35"/>
      <c r="AC876" s="34"/>
      <c r="AD876" s="34"/>
      <c r="AE876" s="34"/>
      <c r="AF876" s="34"/>
      <c r="AG876" s="34"/>
      <c r="AH876" s="33"/>
      <c r="AI876" s="33"/>
      <c r="AJ876" s="34"/>
      <c r="AK876" s="33"/>
      <c r="AL876" s="33"/>
      <c r="AM876" s="33"/>
      <c r="AN876" s="34"/>
      <c r="AO876" s="34"/>
      <c r="AP876" s="33"/>
      <c r="AQ876" s="34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4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5"/>
      <c r="CC876" s="33"/>
      <c r="CD876" s="33"/>
      <c r="CE876" s="33"/>
      <c r="CF876" s="34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4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4"/>
      <c r="DN876" s="34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  <c r="EE876" s="33"/>
      <c r="EF876" s="33"/>
      <c r="EG876" s="38"/>
    </row>
    <row r="877" spans="2:137" ht="13.2">
      <c r="B877" s="30" t="str">
        <f t="shared" si="24"/>
        <v/>
      </c>
      <c r="C877" s="31" t="str">
        <f t="shared" si="27"/>
        <v/>
      </c>
      <c r="D877" s="32"/>
      <c r="E877" s="33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3"/>
      <c r="R877" s="33"/>
      <c r="S877" s="33"/>
      <c r="T877" s="33"/>
      <c r="U877" s="35"/>
      <c r="V877" s="36"/>
      <c r="W877" s="37"/>
      <c r="X877" s="34"/>
      <c r="Y877" s="33"/>
      <c r="Z877" s="33"/>
      <c r="AA877" s="33"/>
      <c r="AB877" s="35"/>
      <c r="AC877" s="34"/>
      <c r="AD877" s="34"/>
      <c r="AE877" s="34"/>
      <c r="AF877" s="34"/>
      <c r="AG877" s="34"/>
      <c r="AH877" s="33"/>
      <c r="AI877" s="33"/>
      <c r="AJ877" s="34"/>
      <c r="AK877" s="33"/>
      <c r="AL877" s="33"/>
      <c r="AM877" s="33"/>
      <c r="AN877" s="34"/>
      <c r="AO877" s="34"/>
      <c r="AP877" s="33"/>
      <c r="AQ877" s="34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4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5"/>
      <c r="CC877" s="33"/>
      <c r="CD877" s="33"/>
      <c r="CE877" s="33"/>
      <c r="CF877" s="34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4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4"/>
      <c r="DN877" s="34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  <c r="EE877" s="33"/>
      <c r="EF877" s="33"/>
      <c r="EG877" s="38"/>
    </row>
    <row r="878" spans="2:137" ht="13.2">
      <c r="B878" s="30" t="str">
        <f t="shared" si="24"/>
        <v/>
      </c>
      <c r="C878" s="31" t="str">
        <f t="shared" si="27"/>
        <v/>
      </c>
      <c r="D878" s="32"/>
      <c r="E878" s="33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3"/>
      <c r="R878" s="33"/>
      <c r="S878" s="33"/>
      <c r="T878" s="33"/>
      <c r="U878" s="35"/>
      <c r="V878" s="36"/>
      <c r="W878" s="37"/>
      <c r="X878" s="34"/>
      <c r="Y878" s="33"/>
      <c r="Z878" s="33"/>
      <c r="AA878" s="33"/>
      <c r="AB878" s="35"/>
      <c r="AC878" s="34"/>
      <c r="AD878" s="34"/>
      <c r="AE878" s="34"/>
      <c r="AF878" s="34"/>
      <c r="AG878" s="34"/>
      <c r="AH878" s="33"/>
      <c r="AI878" s="33"/>
      <c r="AJ878" s="34"/>
      <c r="AK878" s="33"/>
      <c r="AL878" s="33"/>
      <c r="AM878" s="33"/>
      <c r="AN878" s="34"/>
      <c r="AO878" s="34"/>
      <c r="AP878" s="33"/>
      <c r="AQ878" s="34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4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5"/>
      <c r="CC878" s="33"/>
      <c r="CD878" s="33"/>
      <c r="CE878" s="33"/>
      <c r="CF878" s="34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4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4"/>
      <c r="DN878" s="34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  <c r="EE878" s="33"/>
      <c r="EF878" s="33"/>
      <c r="EG878" s="38"/>
    </row>
    <row r="879" spans="2:137" ht="13.2">
      <c r="B879" s="30" t="str">
        <f t="shared" si="24"/>
        <v/>
      </c>
      <c r="C879" s="31" t="str">
        <f t="shared" si="27"/>
        <v/>
      </c>
      <c r="D879" s="32"/>
      <c r="E879" s="33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3"/>
      <c r="R879" s="33"/>
      <c r="S879" s="33"/>
      <c r="T879" s="33"/>
      <c r="U879" s="35"/>
      <c r="V879" s="36"/>
      <c r="W879" s="37"/>
      <c r="X879" s="34"/>
      <c r="Y879" s="33"/>
      <c r="Z879" s="33"/>
      <c r="AA879" s="33"/>
      <c r="AB879" s="35"/>
      <c r="AC879" s="34"/>
      <c r="AD879" s="34"/>
      <c r="AE879" s="34"/>
      <c r="AF879" s="34"/>
      <c r="AG879" s="34"/>
      <c r="AH879" s="33"/>
      <c r="AI879" s="33"/>
      <c r="AJ879" s="34"/>
      <c r="AK879" s="33"/>
      <c r="AL879" s="33"/>
      <c r="AM879" s="33"/>
      <c r="AN879" s="34"/>
      <c r="AO879" s="34"/>
      <c r="AP879" s="33"/>
      <c r="AQ879" s="34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4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5"/>
      <c r="CC879" s="33"/>
      <c r="CD879" s="33"/>
      <c r="CE879" s="33"/>
      <c r="CF879" s="34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4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3"/>
      <c r="DL879" s="33"/>
      <c r="DM879" s="34"/>
      <c r="DN879" s="34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  <c r="EE879" s="33"/>
      <c r="EF879" s="33"/>
      <c r="EG879" s="38"/>
    </row>
    <row r="880" spans="2:137" ht="13.2">
      <c r="B880" s="30" t="str">
        <f t="shared" si="24"/>
        <v/>
      </c>
      <c r="C880" s="31" t="str">
        <f t="shared" si="27"/>
        <v/>
      </c>
      <c r="D880" s="32"/>
      <c r="E880" s="33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3"/>
      <c r="R880" s="33"/>
      <c r="S880" s="33"/>
      <c r="T880" s="33"/>
      <c r="U880" s="35"/>
      <c r="V880" s="36"/>
      <c r="W880" s="37"/>
      <c r="X880" s="34"/>
      <c r="Y880" s="33"/>
      <c r="Z880" s="33"/>
      <c r="AA880" s="33"/>
      <c r="AB880" s="35"/>
      <c r="AC880" s="34"/>
      <c r="AD880" s="34"/>
      <c r="AE880" s="34"/>
      <c r="AF880" s="34"/>
      <c r="AG880" s="34"/>
      <c r="AH880" s="33"/>
      <c r="AI880" s="33"/>
      <c r="AJ880" s="34"/>
      <c r="AK880" s="33"/>
      <c r="AL880" s="33"/>
      <c r="AM880" s="33"/>
      <c r="AN880" s="34"/>
      <c r="AO880" s="34"/>
      <c r="AP880" s="33"/>
      <c r="AQ880" s="34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4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5"/>
      <c r="CC880" s="33"/>
      <c r="CD880" s="33"/>
      <c r="CE880" s="33"/>
      <c r="CF880" s="34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4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4"/>
      <c r="DN880" s="34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  <c r="EE880" s="33"/>
      <c r="EF880" s="33"/>
      <c r="EG880" s="38"/>
    </row>
    <row r="881" spans="2:137" ht="13.2">
      <c r="B881" s="30" t="str">
        <f t="shared" si="24"/>
        <v/>
      </c>
      <c r="C881" s="31" t="str">
        <f t="shared" si="27"/>
        <v/>
      </c>
      <c r="D881" s="32"/>
      <c r="E881" s="33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3"/>
      <c r="R881" s="33"/>
      <c r="S881" s="33"/>
      <c r="T881" s="33"/>
      <c r="U881" s="35"/>
      <c r="V881" s="36"/>
      <c r="W881" s="37"/>
      <c r="X881" s="34"/>
      <c r="Y881" s="33"/>
      <c r="Z881" s="33"/>
      <c r="AA881" s="33"/>
      <c r="AB881" s="35"/>
      <c r="AC881" s="34"/>
      <c r="AD881" s="34"/>
      <c r="AE881" s="34"/>
      <c r="AF881" s="34"/>
      <c r="AG881" s="34"/>
      <c r="AH881" s="33"/>
      <c r="AI881" s="33"/>
      <c r="AJ881" s="34"/>
      <c r="AK881" s="33"/>
      <c r="AL881" s="33"/>
      <c r="AM881" s="33"/>
      <c r="AN881" s="34"/>
      <c r="AO881" s="34"/>
      <c r="AP881" s="33"/>
      <c r="AQ881" s="34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4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5"/>
      <c r="CC881" s="33"/>
      <c r="CD881" s="33"/>
      <c r="CE881" s="33"/>
      <c r="CF881" s="34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4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4"/>
      <c r="DN881" s="34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  <c r="EE881" s="33"/>
      <c r="EF881" s="33"/>
      <c r="EG881" s="38"/>
    </row>
    <row r="882" spans="2:137" ht="13.2">
      <c r="B882" s="30" t="str">
        <f t="shared" si="24"/>
        <v/>
      </c>
      <c r="C882" s="31" t="str">
        <f t="shared" si="27"/>
        <v/>
      </c>
      <c r="D882" s="32"/>
      <c r="E882" s="33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3"/>
      <c r="R882" s="33"/>
      <c r="S882" s="33"/>
      <c r="T882" s="33"/>
      <c r="U882" s="35"/>
      <c r="V882" s="36"/>
      <c r="W882" s="37"/>
      <c r="X882" s="34"/>
      <c r="Y882" s="33"/>
      <c r="Z882" s="33"/>
      <c r="AA882" s="33"/>
      <c r="AB882" s="35"/>
      <c r="AC882" s="34"/>
      <c r="AD882" s="34"/>
      <c r="AE882" s="34"/>
      <c r="AF882" s="34"/>
      <c r="AG882" s="34"/>
      <c r="AH882" s="33"/>
      <c r="AI882" s="33"/>
      <c r="AJ882" s="34"/>
      <c r="AK882" s="33"/>
      <c r="AL882" s="33"/>
      <c r="AM882" s="33"/>
      <c r="AN882" s="34"/>
      <c r="AO882" s="34"/>
      <c r="AP882" s="33"/>
      <c r="AQ882" s="34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4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5"/>
      <c r="CC882" s="33"/>
      <c r="CD882" s="33"/>
      <c r="CE882" s="33"/>
      <c r="CF882" s="34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4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3"/>
      <c r="DL882" s="33"/>
      <c r="DM882" s="34"/>
      <c r="DN882" s="34"/>
      <c r="DO882" s="33"/>
      <c r="DP882" s="33"/>
      <c r="DQ882" s="33"/>
      <c r="DR882" s="33"/>
      <c r="DS882" s="33"/>
      <c r="DT882" s="33"/>
      <c r="DU882" s="33"/>
      <c r="DV882" s="33"/>
      <c r="DW882" s="33"/>
      <c r="DX882" s="33"/>
      <c r="DY882" s="33"/>
      <c r="DZ882" s="33"/>
      <c r="EA882" s="33"/>
      <c r="EB882" s="33"/>
      <c r="EC882" s="33"/>
      <c r="ED882" s="33"/>
      <c r="EE882" s="33"/>
      <c r="EF882" s="33"/>
      <c r="EG882" s="38"/>
    </row>
    <row r="883" spans="2:137" ht="13.2">
      <c r="B883" s="30" t="str">
        <f t="shared" si="24"/>
        <v/>
      </c>
      <c r="C883" s="31" t="str">
        <f t="shared" si="27"/>
        <v/>
      </c>
      <c r="D883" s="32"/>
      <c r="E883" s="33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3"/>
      <c r="R883" s="33"/>
      <c r="S883" s="33"/>
      <c r="T883" s="33"/>
      <c r="U883" s="35"/>
      <c r="V883" s="36"/>
      <c r="W883" s="37"/>
      <c r="X883" s="34"/>
      <c r="Y883" s="33"/>
      <c r="Z883" s="33"/>
      <c r="AA883" s="33"/>
      <c r="AB883" s="35"/>
      <c r="AC883" s="34"/>
      <c r="AD883" s="34"/>
      <c r="AE883" s="34"/>
      <c r="AF883" s="34"/>
      <c r="AG883" s="34"/>
      <c r="AH883" s="33"/>
      <c r="AI883" s="33"/>
      <c r="AJ883" s="34"/>
      <c r="AK883" s="33"/>
      <c r="AL883" s="33"/>
      <c r="AM883" s="33"/>
      <c r="AN883" s="34"/>
      <c r="AO883" s="34"/>
      <c r="AP883" s="33"/>
      <c r="AQ883" s="34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4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5"/>
      <c r="CC883" s="33"/>
      <c r="CD883" s="33"/>
      <c r="CE883" s="33"/>
      <c r="CF883" s="34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4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3"/>
      <c r="DL883" s="33"/>
      <c r="DM883" s="34"/>
      <c r="DN883" s="34"/>
      <c r="DO883" s="33"/>
      <c r="DP883" s="33"/>
      <c r="DQ883" s="33"/>
      <c r="DR883" s="33"/>
      <c r="DS883" s="33"/>
      <c r="DT883" s="33"/>
      <c r="DU883" s="33"/>
      <c r="DV883" s="33"/>
      <c r="DW883" s="33"/>
      <c r="DX883" s="33"/>
      <c r="DY883" s="33"/>
      <c r="DZ883" s="33"/>
      <c r="EA883" s="33"/>
      <c r="EB883" s="33"/>
      <c r="EC883" s="33"/>
      <c r="ED883" s="33"/>
      <c r="EE883" s="33"/>
      <c r="EF883" s="33"/>
      <c r="EG883" s="38"/>
    </row>
    <row r="884" spans="2:137" ht="13.2">
      <c r="B884" s="30" t="str">
        <f t="shared" si="24"/>
        <v/>
      </c>
      <c r="C884" s="31" t="str">
        <f t="shared" si="27"/>
        <v/>
      </c>
      <c r="D884" s="32"/>
      <c r="E884" s="33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3"/>
      <c r="R884" s="33"/>
      <c r="S884" s="33"/>
      <c r="T884" s="33"/>
      <c r="U884" s="35"/>
      <c r="V884" s="36"/>
      <c r="W884" s="37"/>
      <c r="X884" s="34"/>
      <c r="Y884" s="33"/>
      <c r="Z884" s="33"/>
      <c r="AA884" s="33"/>
      <c r="AB884" s="35"/>
      <c r="AC884" s="34"/>
      <c r="AD884" s="34"/>
      <c r="AE884" s="34"/>
      <c r="AF884" s="34"/>
      <c r="AG884" s="34"/>
      <c r="AH884" s="33"/>
      <c r="AI884" s="33"/>
      <c r="AJ884" s="34"/>
      <c r="AK884" s="33"/>
      <c r="AL884" s="33"/>
      <c r="AM884" s="33"/>
      <c r="AN884" s="34"/>
      <c r="AO884" s="34"/>
      <c r="AP884" s="33"/>
      <c r="AQ884" s="34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4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5"/>
      <c r="CC884" s="33"/>
      <c r="CD884" s="33"/>
      <c r="CE884" s="33"/>
      <c r="CF884" s="34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4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3"/>
      <c r="DL884" s="33"/>
      <c r="DM884" s="34"/>
      <c r="DN884" s="34"/>
      <c r="DO884" s="33"/>
      <c r="DP884" s="33"/>
      <c r="DQ884" s="33"/>
      <c r="DR884" s="33"/>
      <c r="DS884" s="33"/>
      <c r="DT884" s="33"/>
      <c r="DU884" s="33"/>
      <c r="DV884" s="33"/>
      <c r="DW884" s="33"/>
      <c r="DX884" s="33"/>
      <c r="DY884" s="33"/>
      <c r="DZ884" s="33"/>
      <c r="EA884" s="33"/>
      <c r="EB884" s="33"/>
      <c r="EC884" s="33"/>
      <c r="ED884" s="33"/>
      <c r="EE884" s="33"/>
      <c r="EF884" s="33"/>
      <c r="EG884" s="38"/>
    </row>
    <row r="885" spans="2:137" ht="13.2">
      <c r="B885" s="30" t="str">
        <f t="shared" si="24"/>
        <v/>
      </c>
      <c r="C885" s="31" t="str">
        <f t="shared" si="27"/>
        <v/>
      </c>
      <c r="D885" s="32"/>
      <c r="E885" s="33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3"/>
      <c r="R885" s="33"/>
      <c r="S885" s="33"/>
      <c r="T885" s="33"/>
      <c r="U885" s="35"/>
      <c r="V885" s="36"/>
      <c r="W885" s="37"/>
      <c r="X885" s="34"/>
      <c r="Y885" s="33"/>
      <c r="Z885" s="33"/>
      <c r="AA885" s="33"/>
      <c r="AB885" s="35"/>
      <c r="AC885" s="34"/>
      <c r="AD885" s="34"/>
      <c r="AE885" s="34"/>
      <c r="AF885" s="34"/>
      <c r="AG885" s="34"/>
      <c r="AH885" s="33"/>
      <c r="AI885" s="33"/>
      <c r="AJ885" s="34"/>
      <c r="AK885" s="33"/>
      <c r="AL885" s="33"/>
      <c r="AM885" s="33"/>
      <c r="AN885" s="34"/>
      <c r="AO885" s="34"/>
      <c r="AP885" s="33"/>
      <c r="AQ885" s="34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4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5"/>
      <c r="CC885" s="33"/>
      <c r="CD885" s="33"/>
      <c r="CE885" s="33"/>
      <c r="CF885" s="34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4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3"/>
      <c r="DL885" s="33"/>
      <c r="DM885" s="34"/>
      <c r="DN885" s="34"/>
      <c r="DO885" s="33"/>
      <c r="DP885" s="33"/>
      <c r="DQ885" s="33"/>
      <c r="DR885" s="33"/>
      <c r="DS885" s="33"/>
      <c r="DT885" s="33"/>
      <c r="DU885" s="33"/>
      <c r="DV885" s="33"/>
      <c r="DW885" s="33"/>
      <c r="DX885" s="33"/>
      <c r="DY885" s="33"/>
      <c r="DZ885" s="33"/>
      <c r="EA885" s="33"/>
      <c r="EB885" s="33"/>
      <c r="EC885" s="33"/>
      <c r="ED885" s="33"/>
      <c r="EE885" s="33"/>
      <c r="EF885" s="33"/>
      <c r="EG885" s="38"/>
    </row>
    <row r="886" spans="2:137" ht="13.2">
      <c r="B886" s="30" t="str">
        <f t="shared" si="24"/>
        <v/>
      </c>
      <c r="C886" s="31" t="str">
        <f t="shared" si="27"/>
        <v/>
      </c>
      <c r="D886" s="32"/>
      <c r="E886" s="33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3"/>
      <c r="R886" s="33"/>
      <c r="S886" s="33"/>
      <c r="T886" s="33"/>
      <c r="U886" s="35"/>
      <c r="V886" s="36"/>
      <c r="W886" s="37"/>
      <c r="X886" s="34"/>
      <c r="Y886" s="33"/>
      <c r="Z886" s="33"/>
      <c r="AA886" s="33"/>
      <c r="AB886" s="35"/>
      <c r="AC886" s="34"/>
      <c r="AD886" s="34"/>
      <c r="AE886" s="34"/>
      <c r="AF886" s="34"/>
      <c r="AG886" s="34"/>
      <c r="AH886" s="33"/>
      <c r="AI886" s="33"/>
      <c r="AJ886" s="34"/>
      <c r="AK886" s="33"/>
      <c r="AL886" s="33"/>
      <c r="AM886" s="33"/>
      <c r="AN886" s="34"/>
      <c r="AO886" s="34"/>
      <c r="AP886" s="33"/>
      <c r="AQ886" s="34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4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5"/>
      <c r="CC886" s="33"/>
      <c r="CD886" s="33"/>
      <c r="CE886" s="33"/>
      <c r="CF886" s="34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4"/>
      <c r="DA886" s="33"/>
      <c r="DB886" s="33"/>
      <c r="DC886" s="33"/>
      <c r="DD886" s="33"/>
      <c r="DE886" s="33"/>
      <c r="DF886" s="33"/>
      <c r="DG886" s="33"/>
      <c r="DH886" s="33"/>
      <c r="DI886" s="33"/>
      <c r="DJ886" s="33"/>
      <c r="DK886" s="33"/>
      <c r="DL886" s="33"/>
      <c r="DM886" s="34"/>
      <c r="DN886" s="34"/>
      <c r="DO886" s="33"/>
      <c r="DP886" s="33"/>
      <c r="DQ886" s="33"/>
      <c r="DR886" s="33"/>
      <c r="DS886" s="33"/>
      <c r="DT886" s="33"/>
      <c r="DU886" s="33"/>
      <c r="DV886" s="33"/>
      <c r="DW886" s="33"/>
      <c r="DX886" s="33"/>
      <c r="DY886" s="33"/>
      <c r="DZ886" s="33"/>
      <c r="EA886" s="33"/>
      <c r="EB886" s="33"/>
      <c r="EC886" s="33"/>
      <c r="ED886" s="33"/>
      <c r="EE886" s="33"/>
      <c r="EF886" s="33"/>
      <c r="EG886" s="38"/>
    </row>
    <row r="887" spans="2:137" ht="13.2">
      <c r="B887" s="30" t="str">
        <f t="shared" si="24"/>
        <v/>
      </c>
      <c r="C887" s="31" t="str">
        <f t="shared" si="27"/>
        <v/>
      </c>
      <c r="D887" s="32"/>
      <c r="E887" s="33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3"/>
      <c r="R887" s="33"/>
      <c r="S887" s="33"/>
      <c r="T887" s="33"/>
      <c r="U887" s="35"/>
      <c r="V887" s="36"/>
      <c r="W887" s="37"/>
      <c r="X887" s="34"/>
      <c r="Y887" s="33"/>
      <c r="Z887" s="33"/>
      <c r="AA887" s="33"/>
      <c r="AB887" s="35"/>
      <c r="AC887" s="34"/>
      <c r="AD887" s="34"/>
      <c r="AE887" s="34"/>
      <c r="AF887" s="34"/>
      <c r="AG887" s="34"/>
      <c r="AH887" s="33"/>
      <c r="AI887" s="33"/>
      <c r="AJ887" s="34"/>
      <c r="AK887" s="33"/>
      <c r="AL887" s="33"/>
      <c r="AM887" s="33"/>
      <c r="AN887" s="34"/>
      <c r="AO887" s="34"/>
      <c r="AP887" s="33"/>
      <c r="AQ887" s="34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4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5"/>
      <c r="CC887" s="33"/>
      <c r="CD887" s="33"/>
      <c r="CE887" s="33"/>
      <c r="CF887" s="34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4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3"/>
      <c r="DL887" s="33"/>
      <c r="DM887" s="34"/>
      <c r="DN887" s="34"/>
      <c r="DO887" s="33"/>
      <c r="DP887" s="33"/>
      <c r="DQ887" s="33"/>
      <c r="DR887" s="33"/>
      <c r="DS887" s="33"/>
      <c r="DT887" s="33"/>
      <c r="DU887" s="33"/>
      <c r="DV887" s="33"/>
      <c r="DW887" s="33"/>
      <c r="DX887" s="33"/>
      <c r="DY887" s="33"/>
      <c r="DZ887" s="33"/>
      <c r="EA887" s="33"/>
      <c r="EB887" s="33"/>
      <c r="EC887" s="33"/>
      <c r="ED887" s="33"/>
      <c r="EE887" s="33"/>
      <c r="EF887" s="33"/>
      <c r="EG887" s="38"/>
    </row>
    <row r="888" spans="2:137" ht="13.2">
      <c r="B888" s="30" t="str">
        <f t="shared" si="24"/>
        <v/>
      </c>
      <c r="C888" s="31" t="str">
        <f t="shared" si="27"/>
        <v/>
      </c>
      <c r="D888" s="32"/>
      <c r="E888" s="33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3"/>
      <c r="R888" s="33"/>
      <c r="S888" s="33"/>
      <c r="T888" s="33"/>
      <c r="U888" s="35"/>
      <c r="V888" s="36"/>
      <c r="W888" s="37"/>
      <c r="X888" s="34"/>
      <c r="Y888" s="33"/>
      <c r="Z888" s="33"/>
      <c r="AA888" s="33"/>
      <c r="AB888" s="35"/>
      <c r="AC888" s="34"/>
      <c r="AD888" s="34"/>
      <c r="AE888" s="34"/>
      <c r="AF888" s="34"/>
      <c r="AG888" s="34"/>
      <c r="AH888" s="33"/>
      <c r="AI888" s="33"/>
      <c r="AJ888" s="34"/>
      <c r="AK888" s="33"/>
      <c r="AL888" s="33"/>
      <c r="AM888" s="33"/>
      <c r="AN888" s="34"/>
      <c r="AO888" s="34"/>
      <c r="AP888" s="33"/>
      <c r="AQ888" s="34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4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5"/>
      <c r="CC888" s="33"/>
      <c r="CD888" s="33"/>
      <c r="CE888" s="33"/>
      <c r="CF888" s="34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4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3"/>
      <c r="DL888" s="33"/>
      <c r="DM888" s="34"/>
      <c r="DN888" s="34"/>
      <c r="DO888" s="33"/>
      <c r="DP888" s="33"/>
      <c r="DQ888" s="33"/>
      <c r="DR888" s="33"/>
      <c r="DS888" s="33"/>
      <c r="DT888" s="33"/>
      <c r="DU888" s="33"/>
      <c r="DV888" s="33"/>
      <c r="DW888" s="33"/>
      <c r="DX888" s="33"/>
      <c r="DY888" s="33"/>
      <c r="DZ888" s="33"/>
      <c r="EA888" s="33"/>
      <c r="EB888" s="33"/>
      <c r="EC888" s="33"/>
      <c r="ED888" s="33"/>
      <c r="EE888" s="33"/>
      <c r="EF888" s="33"/>
      <c r="EG888" s="38"/>
    </row>
    <row r="889" spans="2:137" ht="13.2">
      <c r="B889" s="30" t="str">
        <f t="shared" si="24"/>
        <v/>
      </c>
      <c r="C889" s="31" t="str">
        <f t="shared" si="27"/>
        <v/>
      </c>
      <c r="D889" s="32"/>
      <c r="E889" s="33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3"/>
      <c r="R889" s="33"/>
      <c r="S889" s="33"/>
      <c r="T889" s="33"/>
      <c r="U889" s="35"/>
      <c r="V889" s="36"/>
      <c r="W889" s="37"/>
      <c r="X889" s="34"/>
      <c r="Y889" s="33"/>
      <c r="Z889" s="33"/>
      <c r="AA889" s="33"/>
      <c r="AB889" s="35"/>
      <c r="AC889" s="34"/>
      <c r="AD889" s="34"/>
      <c r="AE889" s="34"/>
      <c r="AF889" s="34"/>
      <c r="AG889" s="34"/>
      <c r="AH889" s="33"/>
      <c r="AI889" s="33"/>
      <c r="AJ889" s="34"/>
      <c r="AK889" s="33"/>
      <c r="AL889" s="33"/>
      <c r="AM889" s="33"/>
      <c r="AN889" s="34"/>
      <c r="AO889" s="34"/>
      <c r="AP889" s="33"/>
      <c r="AQ889" s="34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4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5"/>
      <c r="CC889" s="33"/>
      <c r="CD889" s="33"/>
      <c r="CE889" s="33"/>
      <c r="CF889" s="34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4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3"/>
      <c r="DL889" s="33"/>
      <c r="DM889" s="34"/>
      <c r="DN889" s="34"/>
      <c r="DO889" s="33"/>
      <c r="DP889" s="33"/>
      <c r="DQ889" s="33"/>
      <c r="DR889" s="33"/>
      <c r="DS889" s="33"/>
      <c r="DT889" s="33"/>
      <c r="DU889" s="33"/>
      <c r="DV889" s="33"/>
      <c r="DW889" s="33"/>
      <c r="DX889" s="33"/>
      <c r="DY889" s="33"/>
      <c r="DZ889" s="33"/>
      <c r="EA889" s="33"/>
      <c r="EB889" s="33"/>
      <c r="EC889" s="33"/>
      <c r="ED889" s="33"/>
      <c r="EE889" s="33"/>
      <c r="EF889" s="33"/>
      <c r="EG889" s="38"/>
    </row>
    <row r="890" spans="2:137" ht="13.2">
      <c r="B890" s="30" t="str">
        <f t="shared" si="24"/>
        <v/>
      </c>
      <c r="C890" s="31" t="str">
        <f t="shared" si="27"/>
        <v/>
      </c>
      <c r="D890" s="32"/>
      <c r="E890" s="33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3"/>
      <c r="R890" s="33"/>
      <c r="S890" s="33"/>
      <c r="T890" s="33"/>
      <c r="U890" s="35"/>
      <c r="V890" s="36"/>
      <c r="W890" s="37"/>
      <c r="X890" s="34"/>
      <c r="Y890" s="33"/>
      <c r="Z890" s="33"/>
      <c r="AA890" s="33"/>
      <c r="AB890" s="35"/>
      <c r="AC890" s="34"/>
      <c r="AD890" s="34"/>
      <c r="AE890" s="34"/>
      <c r="AF890" s="34"/>
      <c r="AG890" s="34"/>
      <c r="AH890" s="33"/>
      <c r="AI890" s="33"/>
      <c r="AJ890" s="34"/>
      <c r="AK890" s="33"/>
      <c r="AL890" s="33"/>
      <c r="AM890" s="33"/>
      <c r="AN890" s="34"/>
      <c r="AO890" s="34"/>
      <c r="AP890" s="33"/>
      <c r="AQ890" s="34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4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5"/>
      <c r="CC890" s="33"/>
      <c r="CD890" s="33"/>
      <c r="CE890" s="33"/>
      <c r="CF890" s="34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4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3"/>
      <c r="DL890" s="33"/>
      <c r="DM890" s="34"/>
      <c r="DN890" s="34"/>
      <c r="DO890" s="33"/>
      <c r="DP890" s="33"/>
      <c r="DQ890" s="33"/>
      <c r="DR890" s="33"/>
      <c r="DS890" s="33"/>
      <c r="DT890" s="33"/>
      <c r="DU890" s="33"/>
      <c r="DV890" s="33"/>
      <c r="DW890" s="33"/>
      <c r="DX890" s="33"/>
      <c r="DY890" s="33"/>
      <c r="DZ890" s="33"/>
      <c r="EA890" s="33"/>
      <c r="EB890" s="33"/>
      <c r="EC890" s="33"/>
      <c r="ED890" s="33"/>
      <c r="EE890" s="33"/>
      <c r="EF890" s="33"/>
      <c r="EG890" s="38"/>
    </row>
    <row r="891" spans="2:137" ht="13.2">
      <c r="B891" s="30" t="str">
        <f t="shared" si="24"/>
        <v/>
      </c>
      <c r="C891" s="31" t="str">
        <f t="shared" si="27"/>
        <v/>
      </c>
      <c r="D891" s="32"/>
      <c r="E891" s="33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3"/>
      <c r="R891" s="33"/>
      <c r="S891" s="33"/>
      <c r="T891" s="33"/>
      <c r="U891" s="35"/>
      <c r="V891" s="36"/>
      <c r="W891" s="37"/>
      <c r="X891" s="34"/>
      <c r="Y891" s="33"/>
      <c r="Z891" s="33"/>
      <c r="AA891" s="33"/>
      <c r="AB891" s="35"/>
      <c r="AC891" s="34"/>
      <c r="AD891" s="34"/>
      <c r="AE891" s="34"/>
      <c r="AF891" s="34"/>
      <c r="AG891" s="34"/>
      <c r="AH891" s="33"/>
      <c r="AI891" s="33"/>
      <c r="AJ891" s="34"/>
      <c r="AK891" s="33"/>
      <c r="AL891" s="33"/>
      <c r="AM891" s="33"/>
      <c r="AN891" s="34"/>
      <c r="AO891" s="34"/>
      <c r="AP891" s="33"/>
      <c r="AQ891" s="34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4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5"/>
      <c r="CC891" s="33"/>
      <c r="CD891" s="33"/>
      <c r="CE891" s="33"/>
      <c r="CF891" s="34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4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3"/>
      <c r="DL891" s="33"/>
      <c r="DM891" s="34"/>
      <c r="DN891" s="34"/>
      <c r="DO891" s="33"/>
      <c r="DP891" s="33"/>
      <c r="DQ891" s="33"/>
      <c r="DR891" s="33"/>
      <c r="DS891" s="33"/>
      <c r="DT891" s="33"/>
      <c r="DU891" s="33"/>
      <c r="DV891" s="33"/>
      <c r="DW891" s="33"/>
      <c r="DX891" s="33"/>
      <c r="DY891" s="33"/>
      <c r="DZ891" s="33"/>
      <c r="EA891" s="33"/>
      <c r="EB891" s="33"/>
      <c r="EC891" s="33"/>
      <c r="ED891" s="33"/>
      <c r="EE891" s="33"/>
      <c r="EF891" s="33"/>
      <c r="EG891" s="38"/>
    </row>
    <row r="892" spans="2:137" ht="13.2">
      <c r="B892" s="30" t="str">
        <f t="shared" si="24"/>
        <v/>
      </c>
      <c r="C892" s="31" t="str">
        <f t="shared" si="27"/>
        <v/>
      </c>
      <c r="D892" s="32"/>
      <c r="E892" s="33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3"/>
      <c r="R892" s="33"/>
      <c r="S892" s="33"/>
      <c r="T892" s="33"/>
      <c r="U892" s="35"/>
      <c r="V892" s="36"/>
      <c r="W892" s="37"/>
      <c r="X892" s="34"/>
      <c r="Y892" s="33"/>
      <c r="Z892" s="33"/>
      <c r="AA892" s="33"/>
      <c r="AB892" s="35"/>
      <c r="AC892" s="34"/>
      <c r="AD892" s="34"/>
      <c r="AE892" s="34"/>
      <c r="AF892" s="34"/>
      <c r="AG892" s="34"/>
      <c r="AH892" s="33"/>
      <c r="AI892" s="33"/>
      <c r="AJ892" s="34"/>
      <c r="AK892" s="33"/>
      <c r="AL892" s="33"/>
      <c r="AM892" s="33"/>
      <c r="AN892" s="34"/>
      <c r="AO892" s="34"/>
      <c r="AP892" s="33"/>
      <c r="AQ892" s="34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4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5"/>
      <c r="CC892" s="33"/>
      <c r="CD892" s="33"/>
      <c r="CE892" s="33"/>
      <c r="CF892" s="34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4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3"/>
      <c r="DL892" s="33"/>
      <c r="DM892" s="34"/>
      <c r="DN892" s="34"/>
      <c r="DO892" s="33"/>
      <c r="DP892" s="33"/>
      <c r="DQ892" s="33"/>
      <c r="DR892" s="33"/>
      <c r="DS892" s="33"/>
      <c r="DT892" s="33"/>
      <c r="DU892" s="33"/>
      <c r="DV892" s="33"/>
      <c r="DW892" s="33"/>
      <c r="DX892" s="33"/>
      <c r="DY892" s="33"/>
      <c r="DZ892" s="33"/>
      <c r="EA892" s="33"/>
      <c r="EB892" s="33"/>
      <c r="EC892" s="33"/>
      <c r="ED892" s="33"/>
      <c r="EE892" s="33"/>
      <c r="EF892" s="33"/>
      <c r="EG892" s="38"/>
    </row>
    <row r="893" spans="2:137" ht="13.2">
      <c r="B893" s="30" t="str">
        <f t="shared" si="24"/>
        <v/>
      </c>
      <c r="C893" s="31" t="str">
        <f t="shared" si="27"/>
        <v/>
      </c>
      <c r="D893" s="32"/>
      <c r="E893" s="33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3"/>
      <c r="R893" s="33"/>
      <c r="S893" s="33"/>
      <c r="T893" s="33"/>
      <c r="U893" s="35"/>
      <c r="V893" s="36"/>
      <c r="W893" s="37"/>
      <c r="X893" s="34"/>
      <c r="Y893" s="33"/>
      <c r="Z893" s="33"/>
      <c r="AA893" s="33"/>
      <c r="AB893" s="35"/>
      <c r="AC893" s="34"/>
      <c r="AD893" s="34"/>
      <c r="AE893" s="34"/>
      <c r="AF893" s="34"/>
      <c r="AG893" s="34"/>
      <c r="AH893" s="33"/>
      <c r="AI893" s="33"/>
      <c r="AJ893" s="34"/>
      <c r="AK893" s="33"/>
      <c r="AL893" s="33"/>
      <c r="AM893" s="33"/>
      <c r="AN893" s="34"/>
      <c r="AO893" s="34"/>
      <c r="AP893" s="33"/>
      <c r="AQ893" s="34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4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5"/>
      <c r="CC893" s="33"/>
      <c r="CD893" s="33"/>
      <c r="CE893" s="33"/>
      <c r="CF893" s="34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4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3"/>
      <c r="DL893" s="33"/>
      <c r="DM893" s="34"/>
      <c r="DN893" s="34"/>
      <c r="DO893" s="33"/>
      <c r="DP893" s="33"/>
      <c r="DQ893" s="33"/>
      <c r="DR893" s="33"/>
      <c r="DS893" s="33"/>
      <c r="DT893" s="33"/>
      <c r="DU893" s="33"/>
      <c r="DV893" s="33"/>
      <c r="DW893" s="33"/>
      <c r="DX893" s="33"/>
      <c r="DY893" s="33"/>
      <c r="DZ893" s="33"/>
      <c r="EA893" s="33"/>
      <c r="EB893" s="33"/>
      <c r="EC893" s="33"/>
      <c r="ED893" s="33"/>
      <c r="EE893" s="33"/>
      <c r="EF893" s="33"/>
      <c r="EG893" s="38"/>
    </row>
    <row r="894" spans="2:137" ht="13.2">
      <c r="B894" s="30" t="str">
        <f t="shared" si="24"/>
        <v/>
      </c>
      <c r="C894" s="31" t="str">
        <f t="shared" si="27"/>
        <v/>
      </c>
      <c r="D894" s="32"/>
      <c r="E894" s="33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3"/>
      <c r="R894" s="33"/>
      <c r="S894" s="33"/>
      <c r="T894" s="33"/>
      <c r="U894" s="35"/>
      <c r="V894" s="36"/>
      <c r="W894" s="37"/>
      <c r="X894" s="34"/>
      <c r="Y894" s="33"/>
      <c r="Z894" s="33"/>
      <c r="AA894" s="33"/>
      <c r="AB894" s="35"/>
      <c r="AC894" s="34"/>
      <c r="AD894" s="34"/>
      <c r="AE894" s="34"/>
      <c r="AF894" s="34"/>
      <c r="AG894" s="34"/>
      <c r="AH894" s="33"/>
      <c r="AI894" s="33"/>
      <c r="AJ894" s="34"/>
      <c r="AK894" s="33"/>
      <c r="AL894" s="33"/>
      <c r="AM894" s="33"/>
      <c r="AN894" s="34"/>
      <c r="AO894" s="34"/>
      <c r="AP894" s="33"/>
      <c r="AQ894" s="34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4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5"/>
      <c r="CC894" s="33"/>
      <c r="CD894" s="33"/>
      <c r="CE894" s="33"/>
      <c r="CF894" s="34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4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3"/>
      <c r="DL894" s="33"/>
      <c r="DM894" s="34"/>
      <c r="DN894" s="34"/>
      <c r="DO894" s="33"/>
      <c r="DP894" s="33"/>
      <c r="DQ894" s="33"/>
      <c r="DR894" s="33"/>
      <c r="DS894" s="33"/>
      <c r="DT894" s="33"/>
      <c r="DU894" s="33"/>
      <c r="DV894" s="33"/>
      <c r="DW894" s="33"/>
      <c r="DX894" s="33"/>
      <c r="DY894" s="33"/>
      <c r="DZ894" s="33"/>
      <c r="EA894" s="33"/>
      <c r="EB894" s="33"/>
      <c r="EC894" s="33"/>
      <c r="ED894" s="33"/>
      <c r="EE894" s="33"/>
      <c r="EF894" s="33"/>
      <c r="EG894" s="38"/>
    </row>
    <row r="895" spans="2:137" ht="13.2">
      <c r="B895" s="30" t="str">
        <f t="shared" ref="B895:B995" si="28">IF(D895&gt;0, CONCATENATE(YEAR(D895),"/",MONTH(D895)),"")</f>
        <v/>
      </c>
      <c r="C895" s="31" t="str">
        <f t="shared" si="27"/>
        <v/>
      </c>
      <c r="D895" s="32"/>
      <c r="E895" s="33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3"/>
      <c r="R895" s="33"/>
      <c r="S895" s="33"/>
      <c r="T895" s="33"/>
      <c r="U895" s="35"/>
      <c r="V895" s="36"/>
      <c r="W895" s="37"/>
      <c r="X895" s="34"/>
      <c r="Y895" s="33"/>
      <c r="Z895" s="33"/>
      <c r="AA895" s="33"/>
      <c r="AB895" s="35"/>
      <c r="AC895" s="34"/>
      <c r="AD895" s="34"/>
      <c r="AE895" s="34"/>
      <c r="AF895" s="34"/>
      <c r="AG895" s="34"/>
      <c r="AH895" s="33"/>
      <c r="AI895" s="33"/>
      <c r="AJ895" s="34"/>
      <c r="AK895" s="33"/>
      <c r="AL895" s="33"/>
      <c r="AM895" s="33"/>
      <c r="AN895" s="34"/>
      <c r="AO895" s="34"/>
      <c r="AP895" s="33"/>
      <c r="AQ895" s="34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4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5"/>
      <c r="CC895" s="33"/>
      <c r="CD895" s="33"/>
      <c r="CE895" s="33"/>
      <c r="CF895" s="34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4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3"/>
      <c r="DL895" s="33"/>
      <c r="DM895" s="34"/>
      <c r="DN895" s="34"/>
      <c r="DO895" s="33"/>
      <c r="DP895" s="33"/>
      <c r="DQ895" s="33"/>
      <c r="DR895" s="33"/>
      <c r="DS895" s="33"/>
      <c r="DT895" s="33"/>
      <c r="DU895" s="33"/>
      <c r="DV895" s="33"/>
      <c r="DW895" s="33"/>
      <c r="DX895" s="33"/>
      <c r="DY895" s="33"/>
      <c r="DZ895" s="33"/>
      <c r="EA895" s="33"/>
      <c r="EB895" s="33"/>
      <c r="EC895" s="33"/>
      <c r="ED895" s="33"/>
      <c r="EE895" s="33"/>
      <c r="EF895" s="33"/>
      <c r="EG895" s="38"/>
    </row>
    <row r="896" spans="2:137" ht="13.2">
      <c r="B896" s="30" t="str">
        <f t="shared" si="28"/>
        <v/>
      </c>
      <c r="C896" s="31" t="str">
        <f t="shared" si="27"/>
        <v/>
      </c>
      <c r="D896" s="32"/>
      <c r="E896" s="33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3"/>
      <c r="R896" s="33"/>
      <c r="S896" s="33"/>
      <c r="T896" s="33"/>
      <c r="U896" s="35"/>
      <c r="V896" s="36"/>
      <c r="W896" s="37"/>
      <c r="X896" s="34"/>
      <c r="Y896" s="33"/>
      <c r="Z896" s="33"/>
      <c r="AA896" s="33"/>
      <c r="AB896" s="35"/>
      <c r="AC896" s="34"/>
      <c r="AD896" s="34"/>
      <c r="AE896" s="34"/>
      <c r="AF896" s="34"/>
      <c r="AG896" s="34"/>
      <c r="AH896" s="33"/>
      <c r="AI896" s="33"/>
      <c r="AJ896" s="34"/>
      <c r="AK896" s="33"/>
      <c r="AL896" s="33"/>
      <c r="AM896" s="33"/>
      <c r="AN896" s="34"/>
      <c r="AO896" s="34"/>
      <c r="AP896" s="33"/>
      <c r="AQ896" s="34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4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5"/>
      <c r="CC896" s="33"/>
      <c r="CD896" s="33"/>
      <c r="CE896" s="33"/>
      <c r="CF896" s="34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4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3"/>
      <c r="DL896" s="33"/>
      <c r="DM896" s="34"/>
      <c r="DN896" s="34"/>
      <c r="DO896" s="33"/>
      <c r="DP896" s="33"/>
      <c r="DQ896" s="33"/>
      <c r="DR896" s="33"/>
      <c r="DS896" s="33"/>
      <c r="DT896" s="33"/>
      <c r="DU896" s="33"/>
      <c r="DV896" s="33"/>
      <c r="DW896" s="33"/>
      <c r="DX896" s="33"/>
      <c r="DY896" s="33"/>
      <c r="DZ896" s="33"/>
      <c r="EA896" s="33"/>
      <c r="EB896" s="33"/>
      <c r="EC896" s="33"/>
      <c r="ED896" s="33"/>
      <c r="EE896" s="33"/>
      <c r="EF896" s="33"/>
      <c r="EG896" s="38"/>
    </row>
    <row r="897" spans="2:137" ht="13.2">
      <c r="B897" s="30" t="str">
        <f t="shared" si="28"/>
        <v/>
      </c>
      <c r="C897" s="31" t="str">
        <f t="shared" si="27"/>
        <v/>
      </c>
      <c r="D897" s="32"/>
      <c r="E897" s="33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3"/>
      <c r="R897" s="33"/>
      <c r="S897" s="33"/>
      <c r="T897" s="33"/>
      <c r="U897" s="35"/>
      <c r="V897" s="36"/>
      <c r="W897" s="37"/>
      <c r="X897" s="34"/>
      <c r="Y897" s="33"/>
      <c r="Z897" s="33"/>
      <c r="AA897" s="33"/>
      <c r="AB897" s="35"/>
      <c r="AC897" s="34"/>
      <c r="AD897" s="34"/>
      <c r="AE897" s="34"/>
      <c r="AF897" s="34"/>
      <c r="AG897" s="34"/>
      <c r="AH897" s="33"/>
      <c r="AI897" s="33"/>
      <c r="AJ897" s="34"/>
      <c r="AK897" s="33"/>
      <c r="AL897" s="33"/>
      <c r="AM897" s="33"/>
      <c r="AN897" s="34"/>
      <c r="AO897" s="34"/>
      <c r="AP897" s="33"/>
      <c r="AQ897" s="34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4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5"/>
      <c r="CC897" s="33"/>
      <c r="CD897" s="33"/>
      <c r="CE897" s="33"/>
      <c r="CF897" s="34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4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3"/>
      <c r="DL897" s="33"/>
      <c r="DM897" s="34"/>
      <c r="DN897" s="34"/>
      <c r="DO897" s="33"/>
      <c r="DP897" s="33"/>
      <c r="DQ897" s="33"/>
      <c r="DR897" s="33"/>
      <c r="DS897" s="33"/>
      <c r="DT897" s="33"/>
      <c r="DU897" s="33"/>
      <c r="DV897" s="33"/>
      <c r="DW897" s="33"/>
      <c r="DX897" s="33"/>
      <c r="DY897" s="33"/>
      <c r="DZ897" s="33"/>
      <c r="EA897" s="33"/>
      <c r="EB897" s="33"/>
      <c r="EC897" s="33"/>
      <c r="ED897" s="33"/>
      <c r="EE897" s="33"/>
      <c r="EF897" s="33"/>
      <c r="EG897" s="38"/>
    </row>
    <row r="898" spans="2:137" ht="13.2">
      <c r="B898" s="30" t="str">
        <f t="shared" si="28"/>
        <v/>
      </c>
      <c r="C898" s="31" t="str">
        <f t="shared" si="27"/>
        <v/>
      </c>
      <c r="D898" s="32"/>
      <c r="E898" s="33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3"/>
      <c r="R898" s="33"/>
      <c r="S898" s="33"/>
      <c r="T898" s="33"/>
      <c r="U898" s="35"/>
      <c r="V898" s="36"/>
      <c r="W898" s="37"/>
      <c r="X898" s="34"/>
      <c r="Y898" s="33"/>
      <c r="Z898" s="33"/>
      <c r="AA898" s="33"/>
      <c r="AB898" s="35"/>
      <c r="AC898" s="34"/>
      <c r="AD898" s="34"/>
      <c r="AE898" s="34"/>
      <c r="AF898" s="34"/>
      <c r="AG898" s="34"/>
      <c r="AH898" s="33"/>
      <c r="AI898" s="33"/>
      <c r="AJ898" s="34"/>
      <c r="AK898" s="33"/>
      <c r="AL898" s="33"/>
      <c r="AM898" s="33"/>
      <c r="AN898" s="34"/>
      <c r="AO898" s="34"/>
      <c r="AP898" s="33"/>
      <c r="AQ898" s="34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4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5"/>
      <c r="CC898" s="33"/>
      <c r="CD898" s="33"/>
      <c r="CE898" s="33"/>
      <c r="CF898" s="34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4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4"/>
      <c r="DN898" s="34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  <c r="EE898" s="33"/>
      <c r="EF898" s="33"/>
      <c r="EG898" s="38"/>
    </row>
    <row r="899" spans="2:137" ht="13.2">
      <c r="B899" s="30" t="str">
        <f t="shared" si="28"/>
        <v/>
      </c>
      <c r="C899" s="31" t="str">
        <f t="shared" si="27"/>
        <v/>
      </c>
      <c r="D899" s="32"/>
      <c r="E899" s="33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3"/>
      <c r="R899" s="33"/>
      <c r="S899" s="33"/>
      <c r="T899" s="33"/>
      <c r="U899" s="35"/>
      <c r="V899" s="36"/>
      <c r="W899" s="37"/>
      <c r="X899" s="34"/>
      <c r="Y899" s="33"/>
      <c r="Z899" s="33"/>
      <c r="AA899" s="33"/>
      <c r="AB899" s="35"/>
      <c r="AC899" s="34"/>
      <c r="AD899" s="34"/>
      <c r="AE899" s="34"/>
      <c r="AF899" s="34"/>
      <c r="AG899" s="34"/>
      <c r="AH899" s="33"/>
      <c r="AI899" s="33"/>
      <c r="AJ899" s="34"/>
      <c r="AK899" s="33"/>
      <c r="AL899" s="33"/>
      <c r="AM899" s="33"/>
      <c r="AN899" s="34"/>
      <c r="AO899" s="34"/>
      <c r="AP899" s="33"/>
      <c r="AQ899" s="34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4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5"/>
      <c r="CC899" s="33"/>
      <c r="CD899" s="33"/>
      <c r="CE899" s="33"/>
      <c r="CF899" s="34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4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4"/>
      <c r="DN899" s="34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  <c r="EE899" s="33"/>
      <c r="EF899" s="33"/>
      <c r="EG899" s="38"/>
    </row>
    <row r="900" spans="2:137" ht="13.2">
      <c r="B900" s="30" t="str">
        <f t="shared" si="28"/>
        <v/>
      </c>
      <c r="C900" s="31" t="str">
        <f t="shared" ref="C900:C963" si="29">IF(SUM(E900:EG900)=0,"",SUM(E900:EG900))</f>
        <v/>
      </c>
      <c r="D900" s="32"/>
      <c r="E900" s="33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3"/>
      <c r="R900" s="33"/>
      <c r="S900" s="33"/>
      <c r="T900" s="33"/>
      <c r="U900" s="35"/>
      <c r="V900" s="36"/>
      <c r="W900" s="37"/>
      <c r="X900" s="34"/>
      <c r="Y900" s="33"/>
      <c r="Z900" s="33"/>
      <c r="AA900" s="33"/>
      <c r="AB900" s="35"/>
      <c r="AC900" s="34"/>
      <c r="AD900" s="34"/>
      <c r="AE900" s="34"/>
      <c r="AF900" s="34"/>
      <c r="AG900" s="34"/>
      <c r="AH900" s="33"/>
      <c r="AI900" s="33"/>
      <c r="AJ900" s="34"/>
      <c r="AK900" s="33"/>
      <c r="AL900" s="33"/>
      <c r="AM900" s="33"/>
      <c r="AN900" s="34"/>
      <c r="AO900" s="34"/>
      <c r="AP900" s="33"/>
      <c r="AQ900" s="34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4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5"/>
      <c r="CC900" s="33"/>
      <c r="CD900" s="33"/>
      <c r="CE900" s="33"/>
      <c r="CF900" s="34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4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4"/>
      <c r="DN900" s="34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  <c r="EE900" s="33"/>
      <c r="EF900" s="33"/>
      <c r="EG900" s="38"/>
    </row>
    <row r="901" spans="2:137" ht="13.2">
      <c r="B901" s="30" t="str">
        <f t="shared" si="28"/>
        <v/>
      </c>
      <c r="C901" s="31" t="str">
        <f t="shared" si="29"/>
        <v/>
      </c>
      <c r="D901" s="32"/>
      <c r="E901" s="33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3"/>
      <c r="R901" s="33"/>
      <c r="S901" s="33"/>
      <c r="T901" s="33"/>
      <c r="U901" s="35"/>
      <c r="V901" s="36"/>
      <c r="W901" s="37"/>
      <c r="X901" s="34"/>
      <c r="Y901" s="33"/>
      <c r="Z901" s="33"/>
      <c r="AA901" s="33"/>
      <c r="AB901" s="35"/>
      <c r="AC901" s="34"/>
      <c r="AD901" s="34"/>
      <c r="AE901" s="34"/>
      <c r="AF901" s="34"/>
      <c r="AG901" s="34"/>
      <c r="AH901" s="33"/>
      <c r="AI901" s="33"/>
      <c r="AJ901" s="34"/>
      <c r="AK901" s="33"/>
      <c r="AL901" s="33"/>
      <c r="AM901" s="33"/>
      <c r="AN901" s="34"/>
      <c r="AO901" s="34"/>
      <c r="AP901" s="33"/>
      <c r="AQ901" s="34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4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5"/>
      <c r="CC901" s="33"/>
      <c r="CD901" s="33"/>
      <c r="CE901" s="33"/>
      <c r="CF901" s="34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4"/>
      <c r="DA901" s="33"/>
      <c r="DB901" s="33"/>
      <c r="DC901" s="33"/>
      <c r="DD901" s="33"/>
      <c r="DE901" s="33"/>
      <c r="DF901" s="33"/>
      <c r="DG901" s="33"/>
      <c r="DH901" s="33"/>
      <c r="DI901" s="33"/>
      <c r="DJ901" s="33"/>
      <c r="DK901" s="33"/>
      <c r="DL901" s="33"/>
      <c r="DM901" s="34"/>
      <c r="DN901" s="34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  <c r="EE901" s="33"/>
      <c r="EF901" s="33"/>
      <c r="EG901" s="38"/>
    </row>
    <row r="902" spans="2:137" ht="13.2">
      <c r="B902" s="30" t="str">
        <f t="shared" si="28"/>
        <v/>
      </c>
      <c r="C902" s="31" t="str">
        <f t="shared" si="29"/>
        <v/>
      </c>
      <c r="D902" s="32"/>
      <c r="E902" s="33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3"/>
      <c r="R902" s="33"/>
      <c r="S902" s="33"/>
      <c r="T902" s="33"/>
      <c r="U902" s="35"/>
      <c r="V902" s="36"/>
      <c r="W902" s="37"/>
      <c r="X902" s="34"/>
      <c r="Y902" s="33"/>
      <c r="Z902" s="33"/>
      <c r="AA902" s="33"/>
      <c r="AB902" s="35"/>
      <c r="AC902" s="34"/>
      <c r="AD902" s="34"/>
      <c r="AE902" s="34"/>
      <c r="AF902" s="34"/>
      <c r="AG902" s="34"/>
      <c r="AH902" s="33"/>
      <c r="AI902" s="33"/>
      <c r="AJ902" s="34"/>
      <c r="AK902" s="33"/>
      <c r="AL902" s="33"/>
      <c r="AM902" s="33"/>
      <c r="AN902" s="34"/>
      <c r="AO902" s="34"/>
      <c r="AP902" s="33"/>
      <c r="AQ902" s="34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4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5"/>
      <c r="CC902" s="33"/>
      <c r="CD902" s="33"/>
      <c r="CE902" s="33"/>
      <c r="CF902" s="34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4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3"/>
      <c r="DL902" s="33"/>
      <c r="DM902" s="34"/>
      <c r="DN902" s="34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  <c r="EE902" s="33"/>
      <c r="EF902" s="33"/>
      <c r="EG902" s="38"/>
    </row>
    <row r="903" spans="2:137" ht="13.2">
      <c r="B903" s="30" t="str">
        <f t="shared" si="28"/>
        <v/>
      </c>
      <c r="C903" s="31" t="str">
        <f t="shared" si="29"/>
        <v/>
      </c>
      <c r="D903" s="32"/>
      <c r="E903" s="33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3"/>
      <c r="R903" s="33"/>
      <c r="S903" s="33"/>
      <c r="T903" s="33"/>
      <c r="U903" s="35"/>
      <c r="V903" s="36"/>
      <c r="W903" s="37"/>
      <c r="X903" s="34"/>
      <c r="Y903" s="33"/>
      <c r="Z903" s="33"/>
      <c r="AA903" s="33"/>
      <c r="AB903" s="35"/>
      <c r="AC903" s="34"/>
      <c r="AD903" s="34"/>
      <c r="AE903" s="34"/>
      <c r="AF903" s="34"/>
      <c r="AG903" s="34"/>
      <c r="AH903" s="33"/>
      <c r="AI903" s="33"/>
      <c r="AJ903" s="34"/>
      <c r="AK903" s="33"/>
      <c r="AL903" s="33"/>
      <c r="AM903" s="33"/>
      <c r="AN903" s="34"/>
      <c r="AO903" s="34"/>
      <c r="AP903" s="33"/>
      <c r="AQ903" s="34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4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5"/>
      <c r="CC903" s="33"/>
      <c r="CD903" s="33"/>
      <c r="CE903" s="33"/>
      <c r="CF903" s="34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4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3"/>
      <c r="DL903" s="33"/>
      <c r="DM903" s="34"/>
      <c r="DN903" s="34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  <c r="EE903" s="33"/>
      <c r="EF903" s="33"/>
      <c r="EG903" s="38"/>
    </row>
    <row r="904" spans="2:137" ht="13.2">
      <c r="B904" s="30" t="str">
        <f t="shared" si="28"/>
        <v/>
      </c>
      <c r="C904" s="31" t="str">
        <f t="shared" si="29"/>
        <v/>
      </c>
      <c r="D904" s="32"/>
      <c r="E904" s="33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3"/>
      <c r="R904" s="33"/>
      <c r="S904" s="33"/>
      <c r="T904" s="33"/>
      <c r="U904" s="35"/>
      <c r="V904" s="36"/>
      <c r="W904" s="37"/>
      <c r="X904" s="34"/>
      <c r="Y904" s="33"/>
      <c r="Z904" s="33"/>
      <c r="AA904" s="33"/>
      <c r="AB904" s="35"/>
      <c r="AC904" s="34"/>
      <c r="AD904" s="34"/>
      <c r="AE904" s="34"/>
      <c r="AF904" s="34"/>
      <c r="AG904" s="34"/>
      <c r="AH904" s="33"/>
      <c r="AI904" s="33"/>
      <c r="AJ904" s="34"/>
      <c r="AK904" s="33"/>
      <c r="AL904" s="33"/>
      <c r="AM904" s="33"/>
      <c r="AN904" s="34"/>
      <c r="AO904" s="34"/>
      <c r="AP904" s="33"/>
      <c r="AQ904" s="34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4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5"/>
      <c r="CC904" s="33"/>
      <c r="CD904" s="33"/>
      <c r="CE904" s="33"/>
      <c r="CF904" s="34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4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3"/>
      <c r="DL904" s="33"/>
      <c r="DM904" s="34"/>
      <c r="DN904" s="34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  <c r="EE904" s="33"/>
      <c r="EF904" s="33"/>
      <c r="EG904" s="38"/>
    </row>
    <row r="905" spans="2:137" ht="13.2">
      <c r="B905" s="30" t="str">
        <f t="shared" si="28"/>
        <v/>
      </c>
      <c r="C905" s="31" t="str">
        <f t="shared" si="29"/>
        <v/>
      </c>
      <c r="D905" s="32"/>
      <c r="E905" s="33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3"/>
      <c r="R905" s="33"/>
      <c r="S905" s="33"/>
      <c r="T905" s="33"/>
      <c r="U905" s="35"/>
      <c r="V905" s="36"/>
      <c r="W905" s="37"/>
      <c r="X905" s="34"/>
      <c r="Y905" s="33"/>
      <c r="Z905" s="33"/>
      <c r="AA905" s="33"/>
      <c r="AB905" s="35"/>
      <c r="AC905" s="34"/>
      <c r="AD905" s="34"/>
      <c r="AE905" s="34"/>
      <c r="AF905" s="34"/>
      <c r="AG905" s="34"/>
      <c r="AH905" s="33"/>
      <c r="AI905" s="33"/>
      <c r="AJ905" s="34"/>
      <c r="AK905" s="33"/>
      <c r="AL905" s="33"/>
      <c r="AM905" s="33"/>
      <c r="AN905" s="34"/>
      <c r="AO905" s="34"/>
      <c r="AP905" s="33"/>
      <c r="AQ905" s="34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4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5"/>
      <c r="CC905" s="33"/>
      <c r="CD905" s="33"/>
      <c r="CE905" s="33"/>
      <c r="CF905" s="34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4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3"/>
      <c r="DL905" s="33"/>
      <c r="DM905" s="34"/>
      <c r="DN905" s="34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  <c r="EE905" s="33"/>
      <c r="EF905" s="33"/>
      <c r="EG905" s="38"/>
    </row>
    <row r="906" spans="2:137" ht="13.2">
      <c r="B906" s="30" t="str">
        <f t="shared" si="28"/>
        <v/>
      </c>
      <c r="C906" s="31" t="str">
        <f t="shared" si="29"/>
        <v/>
      </c>
      <c r="D906" s="32"/>
      <c r="E906" s="33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3"/>
      <c r="R906" s="33"/>
      <c r="S906" s="33"/>
      <c r="T906" s="33"/>
      <c r="U906" s="35"/>
      <c r="V906" s="36"/>
      <c r="W906" s="37"/>
      <c r="X906" s="34"/>
      <c r="Y906" s="33"/>
      <c r="Z906" s="33"/>
      <c r="AA906" s="33"/>
      <c r="AB906" s="35"/>
      <c r="AC906" s="34"/>
      <c r="AD906" s="34"/>
      <c r="AE906" s="34"/>
      <c r="AF906" s="34"/>
      <c r="AG906" s="34"/>
      <c r="AH906" s="33"/>
      <c r="AI906" s="33"/>
      <c r="AJ906" s="34"/>
      <c r="AK906" s="33"/>
      <c r="AL906" s="33"/>
      <c r="AM906" s="33"/>
      <c r="AN906" s="34"/>
      <c r="AO906" s="34"/>
      <c r="AP906" s="33"/>
      <c r="AQ906" s="34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4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5"/>
      <c r="CC906" s="33"/>
      <c r="CD906" s="33"/>
      <c r="CE906" s="33"/>
      <c r="CF906" s="34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4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3"/>
      <c r="DL906" s="33"/>
      <c r="DM906" s="34"/>
      <c r="DN906" s="34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  <c r="EE906" s="33"/>
      <c r="EF906" s="33"/>
      <c r="EG906" s="38"/>
    </row>
    <row r="907" spans="2:137" ht="13.2">
      <c r="B907" s="30" t="str">
        <f t="shared" si="28"/>
        <v/>
      </c>
      <c r="C907" s="31" t="str">
        <f t="shared" si="29"/>
        <v/>
      </c>
      <c r="D907" s="32"/>
      <c r="E907" s="33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3"/>
      <c r="R907" s="33"/>
      <c r="S907" s="33"/>
      <c r="T907" s="33"/>
      <c r="U907" s="35"/>
      <c r="V907" s="36"/>
      <c r="W907" s="37"/>
      <c r="X907" s="34"/>
      <c r="Y907" s="33"/>
      <c r="Z907" s="33"/>
      <c r="AA907" s="33"/>
      <c r="AB907" s="35"/>
      <c r="AC907" s="34"/>
      <c r="AD907" s="34"/>
      <c r="AE907" s="34"/>
      <c r="AF907" s="34"/>
      <c r="AG907" s="34"/>
      <c r="AH907" s="33"/>
      <c r="AI907" s="33"/>
      <c r="AJ907" s="34"/>
      <c r="AK907" s="33"/>
      <c r="AL907" s="33"/>
      <c r="AM907" s="33"/>
      <c r="AN907" s="34"/>
      <c r="AO907" s="34"/>
      <c r="AP907" s="33"/>
      <c r="AQ907" s="34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4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5"/>
      <c r="CC907" s="33"/>
      <c r="CD907" s="33"/>
      <c r="CE907" s="33"/>
      <c r="CF907" s="34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4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3"/>
      <c r="DL907" s="33"/>
      <c r="DM907" s="34"/>
      <c r="DN907" s="34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  <c r="EE907" s="33"/>
      <c r="EF907" s="33"/>
      <c r="EG907" s="38"/>
    </row>
    <row r="908" spans="2:137" ht="13.2">
      <c r="B908" s="30" t="str">
        <f t="shared" si="28"/>
        <v/>
      </c>
      <c r="C908" s="31" t="str">
        <f t="shared" si="29"/>
        <v/>
      </c>
      <c r="D908" s="32"/>
      <c r="E908" s="33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3"/>
      <c r="R908" s="33"/>
      <c r="S908" s="33"/>
      <c r="T908" s="33"/>
      <c r="U908" s="35"/>
      <c r="V908" s="36"/>
      <c r="W908" s="37"/>
      <c r="X908" s="34"/>
      <c r="Y908" s="33"/>
      <c r="Z908" s="33"/>
      <c r="AA908" s="33"/>
      <c r="AB908" s="35"/>
      <c r="AC908" s="34"/>
      <c r="AD908" s="34"/>
      <c r="AE908" s="34"/>
      <c r="AF908" s="34"/>
      <c r="AG908" s="34"/>
      <c r="AH908" s="33"/>
      <c r="AI908" s="33"/>
      <c r="AJ908" s="34"/>
      <c r="AK908" s="33"/>
      <c r="AL908" s="33"/>
      <c r="AM908" s="33"/>
      <c r="AN908" s="34"/>
      <c r="AO908" s="34"/>
      <c r="AP908" s="33"/>
      <c r="AQ908" s="34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4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5"/>
      <c r="CC908" s="33"/>
      <c r="CD908" s="33"/>
      <c r="CE908" s="33"/>
      <c r="CF908" s="34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4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3"/>
      <c r="DL908" s="33"/>
      <c r="DM908" s="34"/>
      <c r="DN908" s="34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  <c r="EE908" s="33"/>
      <c r="EF908" s="33"/>
      <c r="EG908" s="38"/>
    </row>
    <row r="909" spans="2:137" ht="13.2">
      <c r="B909" s="30" t="str">
        <f t="shared" si="28"/>
        <v/>
      </c>
      <c r="C909" s="31" t="str">
        <f t="shared" si="29"/>
        <v/>
      </c>
      <c r="D909" s="32"/>
      <c r="E909" s="33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3"/>
      <c r="R909" s="33"/>
      <c r="S909" s="33"/>
      <c r="T909" s="33"/>
      <c r="U909" s="35"/>
      <c r="V909" s="36"/>
      <c r="W909" s="37"/>
      <c r="X909" s="34"/>
      <c r="Y909" s="33"/>
      <c r="Z909" s="33"/>
      <c r="AA909" s="33"/>
      <c r="AB909" s="35"/>
      <c r="AC909" s="34"/>
      <c r="AD909" s="34"/>
      <c r="AE909" s="34"/>
      <c r="AF909" s="34"/>
      <c r="AG909" s="34"/>
      <c r="AH909" s="33"/>
      <c r="AI909" s="33"/>
      <c r="AJ909" s="34"/>
      <c r="AK909" s="33"/>
      <c r="AL909" s="33"/>
      <c r="AM909" s="33"/>
      <c r="AN909" s="34"/>
      <c r="AO909" s="34"/>
      <c r="AP909" s="33"/>
      <c r="AQ909" s="34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4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5"/>
      <c r="CC909" s="33"/>
      <c r="CD909" s="33"/>
      <c r="CE909" s="33"/>
      <c r="CF909" s="34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4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3"/>
      <c r="DL909" s="33"/>
      <c r="DM909" s="34"/>
      <c r="DN909" s="34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  <c r="EE909" s="33"/>
      <c r="EF909" s="33"/>
      <c r="EG909" s="38"/>
    </row>
    <row r="910" spans="2:137" ht="13.2">
      <c r="B910" s="30" t="str">
        <f t="shared" si="28"/>
        <v/>
      </c>
      <c r="C910" s="31" t="str">
        <f t="shared" si="29"/>
        <v/>
      </c>
      <c r="D910" s="32"/>
      <c r="E910" s="33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3"/>
      <c r="R910" s="33"/>
      <c r="S910" s="33"/>
      <c r="T910" s="33"/>
      <c r="U910" s="35"/>
      <c r="V910" s="36"/>
      <c r="W910" s="37"/>
      <c r="X910" s="34"/>
      <c r="Y910" s="33"/>
      <c r="Z910" s="33"/>
      <c r="AA910" s="33"/>
      <c r="AB910" s="35"/>
      <c r="AC910" s="34"/>
      <c r="AD910" s="34"/>
      <c r="AE910" s="34"/>
      <c r="AF910" s="34"/>
      <c r="AG910" s="34"/>
      <c r="AH910" s="33"/>
      <c r="AI910" s="33"/>
      <c r="AJ910" s="34"/>
      <c r="AK910" s="33"/>
      <c r="AL910" s="33"/>
      <c r="AM910" s="33"/>
      <c r="AN910" s="34"/>
      <c r="AO910" s="34"/>
      <c r="AP910" s="33"/>
      <c r="AQ910" s="34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4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5"/>
      <c r="CC910" s="33"/>
      <c r="CD910" s="33"/>
      <c r="CE910" s="33"/>
      <c r="CF910" s="34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4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3"/>
      <c r="DL910" s="33"/>
      <c r="DM910" s="34"/>
      <c r="DN910" s="34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  <c r="EE910" s="33"/>
      <c r="EF910" s="33"/>
      <c r="EG910" s="38"/>
    </row>
    <row r="911" spans="2:137" ht="13.2">
      <c r="B911" s="30" t="str">
        <f t="shared" si="28"/>
        <v/>
      </c>
      <c r="C911" s="31" t="str">
        <f t="shared" si="29"/>
        <v/>
      </c>
      <c r="D911" s="32"/>
      <c r="E911" s="33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3"/>
      <c r="R911" s="33"/>
      <c r="S911" s="33"/>
      <c r="T911" s="33"/>
      <c r="U911" s="35"/>
      <c r="V911" s="36"/>
      <c r="W911" s="37"/>
      <c r="X911" s="34"/>
      <c r="Y911" s="33"/>
      <c r="Z911" s="33"/>
      <c r="AA911" s="33"/>
      <c r="AB911" s="35"/>
      <c r="AC911" s="34"/>
      <c r="AD911" s="34"/>
      <c r="AE911" s="34"/>
      <c r="AF911" s="34"/>
      <c r="AG911" s="34"/>
      <c r="AH911" s="33"/>
      <c r="AI911" s="33"/>
      <c r="AJ911" s="34"/>
      <c r="AK911" s="33"/>
      <c r="AL911" s="33"/>
      <c r="AM911" s="33"/>
      <c r="AN911" s="34"/>
      <c r="AO911" s="34"/>
      <c r="AP911" s="33"/>
      <c r="AQ911" s="34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4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5"/>
      <c r="CC911" s="33"/>
      <c r="CD911" s="33"/>
      <c r="CE911" s="33"/>
      <c r="CF911" s="34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4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3"/>
      <c r="DL911" s="33"/>
      <c r="DM911" s="34"/>
      <c r="DN911" s="34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  <c r="EE911" s="33"/>
      <c r="EF911" s="33"/>
      <c r="EG911" s="38"/>
    </row>
    <row r="912" spans="2:137" ht="13.2">
      <c r="B912" s="30" t="str">
        <f t="shared" si="28"/>
        <v/>
      </c>
      <c r="C912" s="31" t="str">
        <f t="shared" si="29"/>
        <v/>
      </c>
      <c r="D912" s="32"/>
      <c r="E912" s="33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3"/>
      <c r="R912" s="33"/>
      <c r="S912" s="33"/>
      <c r="T912" s="33"/>
      <c r="U912" s="35"/>
      <c r="V912" s="36"/>
      <c r="W912" s="37"/>
      <c r="X912" s="34"/>
      <c r="Y912" s="33"/>
      <c r="Z912" s="33"/>
      <c r="AA912" s="33"/>
      <c r="AB912" s="35"/>
      <c r="AC912" s="34"/>
      <c r="AD912" s="34"/>
      <c r="AE912" s="34"/>
      <c r="AF912" s="34"/>
      <c r="AG912" s="34"/>
      <c r="AH912" s="33"/>
      <c r="AI912" s="33"/>
      <c r="AJ912" s="34"/>
      <c r="AK912" s="33"/>
      <c r="AL912" s="33"/>
      <c r="AM912" s="33"/>
      <c r="AN912" s="34"/>
      <c r="AO912" s="34"/>
      <c r="AP912" s="33"/>
      <c r="AQ912" s="34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4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5"/>
      <c r="CC912" s="33"/>
      <c r="CD912" s="33"/>
      <c r="CE912" s="33"/>
      <c r="CF912" s="34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4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3"/>
      <c r="DL912" s="33"/>
      <c r="DM912" s="34"/>
      <c r="DN912" s="34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  <c r="EE912" s="33"/>
      <c r="EF912" s="33"/>
      <c r="EG912" s="38"/>
    </row>
    <row r="913" spans="2:137" ht="13.2">
      <c r="B913" s="30" t="str">
        <f t="shared" si="28"/>
        <v/>
      </c>
      <c r="C913" s="31" t="str">
        <f t="shared" si="29"/>
        <v/>
      </c>
      <c r="D913" s="32"/>
      <c r="E913" s="33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3"/>
      <c r="R913" s="33"/>
      <c r="S913" s="33"/>
      <c r="T913" s="33"/>
      <c r="U913" s="35"/>
      <c r="V913" s="36"/>
      <c r="W913" s="37"/>
      <c r="X913" s="34"/>
      <c r="Y913" s="33"/>
      <c r="Z913" s="33"/>
      <c r="AA913" s="33"/>
      <c r="AB913" s="35"/>
      <c r="AC913" s="34"/>
      <c r="AD913" s="34"/>
      <c r="AE913" s="34"/>
      <c r="AF913" s="34"/>
      <c r="AG913" s="34"/>
      <c r="AH913" s="33"/>
      <c r="AI913" s="33"/>
      <c r="AJ913" s="34"/>
      <c r="AK913" s="33"/>
      <c r="AL913" s="33"/>
      <c r="AM913" s="33"/>
      <c r="AN913" s="34"/>
      <c r="AO913" s="34"/>
      <c r="AP913" s="33"/>
      <c r="AQ913" s="34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4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5"/>
      <c r="CC913" s="33"/>
      <c r="CD913" s="33"/>
      <c r="CE913" s="33"/>
      <c r="CF913" s="34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4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3"/>
      <c r="DL913" s="33"/>
      <c r="DM913" s="34"/>
      <c r="DN913" s="34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  <c r="EE913" s="33"/>
      <c r="EF913" s="33"/>
      <c r="EG913" s="38"/>
    </row>
    <row r="914" spans="2:137" ht="13.2">
      <c r="B914" s="30" t="str">
        <f t="shared" si="28"/>
        <v/>
      </c>
      <c r="C914" s="31" t="str">
        <f t="shared" si="29"/>
        <v/>
      </c>
      <c r="D914" s="32"/>
      <c r="E914" s="33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3"/>
      <c r="R914" s="33"/>
      <c r="S914" s="33"/>
      <c r="T914" s="33"/>
      <c r="U914" s="35"/>
      <c r="V914" s="36"/>
      <c r="W914" s="37"/>
      <c r="X914" s="34"/>
      <c r="Y914" s="33"/>
      <c r="Z914" s="33"/>
      <c r="AA914" s="33"/>
      <c r="AB914" s="35"/>
      <c r="AC914" s="34"/>
      <c r="AD914" s="34"/>
      <c r="AE914" s="34"/>
      <c r="AF914" s="34"/>
      <c r="AG914" s="34"/>
      <c r="AH914" s="33"/>
      <c r="AI914" s="33"/>
      <c r="AJ914" s="34"/>
      <c r="AK914" s="33"/>
      <c r="AL914" s="33"/>
      <c r="AM914" s="33"/>
      <c r="AN914" s="34"/>
      <c r="AO914" s="34"/>
      <c r="AP914" s="33"/>
      <c r="AQ914" s="34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4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5"/>
      <c r="CC914" s="33"/>
      <c r="CD914" s="33"/>
      <c r="CE914" s="33"/>
      <c r="CF914" s="34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4"/>
      <c r="DA914" s="33"/>
      <c r="DB914" s="33"/>
      <c r="DC914" s="33"/>
      <c r="DD914" s="33"/>
      <c r="DE914" s="33"/>
      <c r="DF914" s="33"/>
      <c r="DG914" s="33"/>
      <c r="DH914" s="33"/>
      <c r="DI914" s="33"/>
      <c r="DJ914" s="33"/>
      <c r="DK914" s="33"/>
      <c r="DL914" s="33"/>
      <c r="DM914" s="34"/>
      <c r="DN914" s="34"/>
      <c r="DO914" s="33"/>
      <c r="DP914" s="33"/>
      <c r="DQ914" s="33"/>
      <c r="DR914" s="33"/>
      <c r="DS914" s="33"/>
      <c r="DT914" s="33"/>
      <c r="DU914" s="33"/>
      <c r="DV914" s="33"/>
      <c r="DW914" s="33"/>
      <c r="DX914" s="33"/>
      <c r="DY914" s="33"/>
      <c r="DZ914" s="33"/>
      <c r="EA914" s="33"/>
      <c r="EB914" s="33"/>
      <c r="EC914" s="33"/>
      <c r="ED914" s="33"/>
      <c r="EE914" s="33"/>
      <c r="EF914" s="33"/>
      <c r="EG914" s="38"/>
    </row>
    <row r="915" spans="2:137" ht="13.2">
      <c r="B915" s="30" t="str">
        <f t="shared" si="28"/>
        <v/>
      </c>
      <c r="C915" s="31" t="str">
        <f t="shared" si="29"/>
        <v/>
      </c>
      <c r="D915" s="32"/>
      <c r="E915" s="33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3"/>
      <c r="R915" s="33"/>
      <c r="S915" s="33"/>
      <c r="T915" s="33"/>
      <c r="U915" s="35"/>
      <c r="V915" s="36"/>
      <c r="W915" s="37"/>
      <c r="X915" s="34"/>
      <c r="Y915" s="33"/>
      <c r="Z915" s="33"/>
      <c r="AA915" s="33"/>
      <c r="AB915" s="35"/>
      <c r="AC915" s="34"/>
      <c r="AD915" s="34"/>
      <c r="AE915" s="34"/>
      <c r="AF915" s="34"/>
      <c r="AG915" s="34"/>
      <c r="AH915" s="33"/>
      <c r="AI915" s="33"/>
      <c r="AJ915" s="34"/>
      <c r="AK915" s="33"/>
      <c r="AL915" s="33"/>
      <c r="AM915" s="33"/>
      <c r="AN915" s="34"/>
      <c r="AO915" s="34"/>
      <c r="AP915" s="33"/>
      <c r="AQ915" s="34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4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5"/>
      <c r="CC915" s="33"/>
      <c r="CD915" s="33"/>
      <c r="CE915" s="33"/>
      <c r="CF915" s="34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4"/>
      <c r="DA915" s="33"/>
      <c r="DB915" s="33"/>
      <c r="DC915" s="33"/>
      <c r="DD915" s="33"/>
      <c r="DE915" s="33"/>
      <c r="DF915" s="33"/>
      <c r="DG915" s="33"/>
      <c r="DH915" s="33"/>
      <c r="DI915" s="33"/>
      <c r="DJ915" s="33"/>
      <c r="DK915" s="33"/>
      <c r="DL915" s="33"/>
      <c r="DM915" s="34"/>
      <c r="DN915" s="34"/>
      <c r="DO915" s="33"/>
      <c r="DP915" s="33"/>
      <c r="DQ915" s="33"/>
      <c r="DR915" s="33"/>
      <c r="DS915" s="33"/>
      <c r="DT915" s="33"/>
      <c r="DU915" s="33"/>
      <c r="DV915" s="33"/>
      <c r="DW915" s="33"/>
      <c r="DX915" s="33"/>
      <c r="DY915" s="33"/>
      <c r="DZ915" s="33"/>
      <c r="EA915" s="33"/>
      <c r="EB915" s="33"/>
      <c r="EC915" s="33"/>
      <c r="ED915" s="33"/>
      <c r="EE915" s="33"/>
      <c r="EF915" s="33"/>
      <c r="EG915" s="38"/>
    </row>
    <row r="916" spans="2:137" ht="13.2">
      <c r="B916" s="30" t="str">
        <f t="shared" si="28"/>
        <v/>
      </c>
      <c r="C916" s="31" t="str">
        <f t="shared" si="29"/>
        <v/>
      </c>
      <c r="D916" s="32"/>
      <c r="E916" s="33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3"/>
      <c r="R916" s="33"/>
      <c r="S916" s="33"/>
      <c r="T916" s="33"/>
      <c r="U916" s="35"/>
      <c r="V916" s="36"/>
      <c r="W916" s="37"/>
      <c r="X916" s="34"/>
      <c r="Y916" s="33"/>
      <c r="Z916" s="33"/>
      <c r="AA916" s="33"/>
      <c r="AB916" s="35"/>
      <c r="AC916" s="34"/>
      <c r="AD916" s="34"/>
      <c r="AE916" s="34"/>
      <c r="AF916" s="34"/>
      <c r="AG916" s="34"/>
      <c r="AH916" s="33"/>
      <c r="AI916" s="33"/>
      <c r="AJ916" s="34"/>
      <c r="AK916" s="33"/>
      <c r="AL916" s="33"/>
      <c r="AM916" s="33"/>
      <c r="AN916" s="34"/>
      <c r="AO916" s="34"/>
      <c r="AP916" s="33"/>
      <c r="AQ916" s="34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4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5"/>
      <c r="CC916" s="33"/>
      <c r="CD916" s="33"/>
      <c r="CE916" s="33"/>
      <c r="CF916" s="34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4"/>
      <c r="DA916" s="33"/>
      <c r="DB916" s="33"/>
      <c r="DC916" s="33"/>
      <c r="DD916" s="33"/>
      <c r="DE916" s="33"/>
      <c r="DF916" s="33"/>
      <c r="DG916" s="33"/>
      <c r="DH916" s="33"/>
      <c r="DI916" s="33"/>
      <c r="DJ916" s="33"/>
      <c r="DK916" s="33"/>
      <c r="DL916" s="33"/>
      <c r="DM916" s="34"/>
      <c r="DN916" s="34"/>
      <c r="DO916" s="33"/>
      <c r="DP916" s="33"/>
      <c r="DQ916" s="33"/>
      <c r="DR916" s="33"/>
      <c r="DS916" s="33"/>
      <c r="DT916" s="33"/>
      <c r="DU916" s="33"/>
      <c r="DV916" s="33"/>
      <c r="DW916" s="33"/>
      <c r="DX916" s="33"/>
      <c r="DY916" s="33"/>
      <c r="DZ916" s="33"/>
      <c r="EA916" s="33"/>
      <c r="EB916" s="33"/>
      <c r="EC916" s="33"/>
      <c r="ED916" s="33"/>
      <c r="EE916" s="33"/>
      <c r="EF916" s="33"/>
      <c r="EG916" s="38"/>
    </row>
    <row r="917" spans="2:137" ht="13.2">
      <c r="B917" s="30" t="str">
        <f t="shared" si="28"/>
        <v/>
      </c>
      <c r="C917" s="31" t="str">
        <f t="shared" si="29"/>
        <v/>
      </c>
      <c r="D917" s="32"/>
      <c r="E917" s="33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3"/>
      <c r="R917" s="33"/>
      <c r="S917" s="33"/>
      <c r="T917" s="33"/>
      <c r="U917" s="35"/>
      <c r="V917" s="36"/>
      <c r="W917" s="37"/>
      <c r="X917" s="34"/>
      <c r="Y917" s="33"/>
      <c r="Z917" s="33"/>
      <c r="AA917" s="33"/>
      <c r="AB917" s="35"/>
      <c r="AC917" s="34"/>
      <c r="AD917" s="34"/>
      <c r="AE917" s="34"/>
      <c r="AF917" s="34"/>
      <c r="AG917" s="34"/>
      <c r="AH917" s="33"/>
      <c r="AI917" s="33"/>
      <c r="AJ917" s="34"/>
      <c r="AK917" s="33"/>
      <c r="AL917" s="33"/>
      <c r="AM917" s="33"/>
      <c r="AN917" s="34"/>
      <c r="AO917" s="34"/>
      <c r="AP917" s="33"/>
      <c r="AQ917" s="34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4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5"/>
      <c r="CC917" s="33"/>
      <c r="CD917" s="33"/>
      <c r="CE917" s="33"/>
      <c r="CF917" s="34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4"/>
      <c r="DA917" s="33"/>
      <c r="DB917" s="33"/>
      <c r="DC917" s="33"/>
      <c r="DD917" s="33"/>
      <c r="DE917" s="33"/>
      <c r="DF917" s="33"/>
      <c r="DG917" s="33"/>
      <c r="DH917" s="33"/>
      <c r="DI917" s="33"/>
      <c r="DJ917" s="33"/>
      <c r="DK917" s="33"/>
      <c r="DL917" s="33"/>
      <c r="DM917" s="34"/>
      <c r="DN917" s="34"/>
      <c r="DO917" s="33"/>
      <c r="DP917" s="33"/>
      <c r="DQ917" s="33"/>
      <c r="DR917" s="33"/>
      <c r="DS917" s="33"/>
      <c r="DT917" s="33"/>
      <c r="DU917" s="33"/>
      <c r="DV917" s="33"/>
      <c r="DW917" s="33"/>
      <c r="DX917" s="33"/>
      <c r="DY917" s="33"/>
      <c r="DZ917" s="33"/>
      <c r="EA917" s="33"/>
      <c r="EB917" s="33"/>
      <c r="EC917" s="33"/>
      <c r="ED917" s="33"/>
      <c r="EE917" s="33"/>
      <c r="EF917" s="33"/>
      <c r="EG917" s="38"/>
    </row>
    <row r="918" spans="2:137" ht="13.2">
      <c r="B918" s="30" t="str">
        <f t="shared" si="28"/>
        <v/>
      </c>
      <c r="C918" s="31" t="str">
        <f t="shared" si="29"/>
        <v/>
      </c>
      <c r="D918" s="32"/>
      <c r="E918" s="33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3"/>
      <c r="R918" s="33"/>
      <c r="S918" s="33"/>
      <c r="T918" s="33"/>
      <c r="U918" s="35"/>
      <c r="V918" s="36"/>
      <c r="W918" s="37"/>
      <c r="X918" s="34"/>
      <c r="Y918" s="33"/>
      <c r="Z918" s="33"/>
      <c r="AA918" s="33"/>
      <c r="AB918" s="35"/>
      <c r="AC918" s="34"/>
      <c r="AD918" s="34"/>
      <c r="AE918" s="34"/>
      <c r="AF918" s="34"/>
      <c r="AG918" s="34"/>
      <c r="AH918" s="33"/>
      <c r="AI918" s="33"/>
      <c r="AJ918" s="34"/>
      <c r="AK918" s="33"/>
      <c r="AL918" s="33"/>
      <c r="AM918" s="33"/>
      <c r="AN918" s="34"/>
      <c r="AO918" s="34"/>
      <c r="AP918" s="33"/>
      <c r="AQ918" s="34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4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5"/>
      <c r="CC918" s="33"/>
      <c r="CD918" s="33"/>
      <c r="CE918" s="33"/>
      <c r="CF918" s="34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4"/>
      <c r="DA918" s="33"/>
      <c r="DB918" s="33"/>
      <c r="DC918" s="33"/>
      <c r="DD918" s="33"/>
      <c r="DE918" s="33"/>
      <c r="DF918" s="33"/>
      <c r="DG918" s="33"/>
      <c r="DH918" s="33"/>
      <c r="DI918" s="33"/>
      <c r="DJ918" s="33"/>
      <c r="DK918" s="33"/>
      <c r="DL918" s="33"/>
      <c r="DM918" s="34"/>
      <c r="DN918" s="34"/>
      <c r="DO918" s="33"/>
      <c r="DP918" s="33"/>
      <c r="DQ918" s="33"/>
      <c r="DR918" s="33"/>
      <c r="DS918" s="33"/>
      <c r="DT918" s="33"/>
      <c r="DU918" s="33"/>
      <c r="DV918" s="33"/>
      <c r="DW918" s="33"/>
      <c r="DX918" s="33"/>
      <c r="DY918" s="33"/>
      <c r="DZ918" s="33"/>
      <c r="EA918" s="33"/>
      <c r="EB918" s="33"/>
      <c r="EC918" s="33"/>
      <c r="ED918" s="33"/>
      <c r="EE918" s="33"/>
      <c r="EF918" s="33"/>
      <c r="EG918" s="38"/>
    </row>
    <row r="919" spans="2:137" ht="13.2">
      <c r="B919" s="30" t="str">
        <f t="shared" si="28"/>
        <v/>
      </c>
      <c r="C919" s="31" t="str">
        <f t="shared" si="29"/>
        <v/>
      </c>
      <c r="D919" s="32"/>
      <c r="E919" s="33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3"/>
      <c r="R919" s="33"/>
      <c r="S919" s="33"/>
      <c r="T919" s="33"/>
      <c r="U919" s="35"/>
      <c r="V919" s="36"/>
      <c r="W919" s="37"/>
      <c r="X919" s="34"/>
      <c r="Y919" s="33"/>
      <c r="Z919" s="33"/>
      <c r="AA919" s="33"/>
      <c r="AB919" s="35"/>
      <c r="AC919" s="34"/>
      <c r="AD919" s="34"/>
      <c r="AE919" s="34"/>
      <c r="AF919" s="34"/>
      <c r="AG919" s="34"/>
      <c r="AH919" s="33"/>
      <c r="AI919" s="33"/>
      <c r="AJ919" s="34"/>
      <c r="AK919" s="33"/>
      <c r="AL919" s="33"/>
      <c r="AM919" s="33"/>
      <c r="AN919" s="34"/>
      <c r="AO919" s="34"/>
      <c r="AP919" s="33"/>
      <c r="AQ919" s="34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4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5"/>
      <c r="CC919" s="33"/>
      <c r="CD919" s="33"/>
      <c r="CE919" s="33"/>
      <c r="CF919" s="34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4"/>
      <c r="DA919" s="33"/>
      <c r="DB919" s="33"/>
      <c r="DC919" s="33"/>
      <c r="DD919" s="33"/>
      <c r="DE919" s="33"/>
      <c r="DF919" s="33"/>
      <c r="DG919" s="33"/>
      <c r="DH919" s="33"/>
      <c r="DI919" s="33"/>
      <c r="DJ919" s="33"/>
      <c r="DK919" s="33"/>
      <c r="DL919" s="33"/>
      <c r="DM919" s="34"/>
      <c r="DN919" s="34"/>
      <c r="DO919" s="33"/>
      <c r="DP919" s="33"/>
      <c r="DQ919" s="33"/>
      <c r="DR919" s="33"/>
      <c r="DS919" s="33"/>
      <c r="DT919" s="33"/>
      <c r="DU919" s="33"/>
      <c r="DV919" s="33"/>
      <c r="DW919" s="33"/>
      <c r="DX919" s="33"/>
      <c r="DY919" s="33"/>
      <c r="DZ919" s="33"/>
      <c r="EA919" s="33"/>
      <c r="EB919" s="33"/>
      <c r="EC919" s="33"/>
      <c r="ED919" s="33"/>
      <c r="EE919" s="33"/>
      <c r="EF919" s="33"/>
      <c r="EG919" s="38"/>
    </row>
    <row r="920" spans="2:137" ht="13.2">
      <c r="B920" s="30" t="str">
        <f t="shared" si="28"/>
        <v/>
      </c>
      <c r="C920" s="31" t="str">
        <f t="shared" si="29"/>
        <v/>
      </c>
      <c r="D920" s="32"/>
      <c r="E920" s="33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3"/>
      <c r="R920" s="33"/>
      <c r="S920" s="33"/>
      <c r="T920" s="33"/>
      <c r="U920" s="35"/>
      <c r="V920" s="36"/>
      <c r="W920" s="37"/>
      <c r="X920" s="34"/>
      <c r="Y920" s="33"/>
      <c r="Z920" s="33"/>
      <c r="AA920" s="33"/>
      <c r="AB920" s="35"/>
      <c r="AC920" s="34"/>
      <c r="AD920" s="34"/>
      <c r="AE920" s="34"/>
      <c r="AF920" s="34"/>
      <c r="AG920" s="34"/>
      <c r="AH920" s="33"/>
      <c r="AI920" s="33"/>
      <c r="AJ920" s="34"/>
      <c r="AK920" s="33"/>
      <c r="AL920" s="33"/>
      <c r="AM920" s="33"/>
      <c r="AN920" s="34"/>
      <c r="AO920" s="34"/>
      <c r="AP920" s="33"/>
      <c r="AQ920" s="34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4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5"/>
      <c r="CC920" s="33"/>
      <c r="CD920" s="33"/>
      <c r="CE920" s="33"/>
      <c r="CF920" s="34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4"/>
      <c r="DA920" s="33"/>
      <c r="DB920" s="33"/>
      <c r="DC920" s="33"/>
      <c r="DD920" s="33"/>
      <c r="DE920" s="33"/>
      <c r="DF920" s="33"/>
      <c r="DG920" s="33"/>
      <c r="DH920" s="33"/>
      <c r="DI920" s="33"/>
      <c r="DJ920" s="33"/>
      <c r="DK920" s="33"/>
      <c r="DL920" s="33"/>
      <c r="DM920" s="34"/>
      <c r="DN920" s="34"/>
      <c r="DO920" s="33"/>
      <c r="DP920" s="33"/>
      <c r="DQ920" s="33"/>
      <c r="DR920" s="33"/>
      <c r="DS920" s="33"/>
      <c r="DT920" s="33"/>
      <c r="DU920" s="33"/>
      <c r="DV920" s="33"/>
      <c r="DW920" s="33"/>
      <c r="DX920" s="33"/>
      <c r="DY920" s="33"/>
      <c r="DZ920" s="33"/>
      <c r="EA920" s="33"/>
      <c r="EB920" s="33"/>
      <c r="EC920" s="33"/>
      <c r="ED920" s="33"/>
      <c r="EE920" s="33"/>
      <c r="EF920" s="33"/>
      <c r="EG920" s="38"/>
    </row>
    <row r="921" spans="2:137" ht="13.2">
      <c r="B921" s="30" t="str">
        <f t="shared" si="28"/>
        <v/>
      </c>
      <c r="C921" s="31" t="str">
        <f t="shared" si="29"/>
        <v/>
      </c>
      <c r="D921" s="32"/>
      <c r="E921" s="33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3"/>
      <c r="R921" s="33"/>
      <c r="S921" s="33"/>
      <c r="T921" s="33"/>
      <c r="U921" s="35"/>
      <c r="V921" s="36"/>
      <c r="W921" s="37"/>
      <c r="X921" s="34"/>
      <c r="Y921" s="33"/>
      <c r="Z921" s="33"/>
      <c r="AA921" s="33"/>
      <c r="AB921" s="35"/>
      <c r="AC921" s="34"/>
      <c r="AD921" s="34"/>
      <c r="AE921" s="34"/>
      <c r="AF921" s="34"/>
      <c r="AG921" s="34"/>
      <c r="AH921" s="33"/>
      <c r="AI921" s="33"/>
      <c r="AJ921" s="34"/>
      <c r="AK921" s="33"/>
      <c r="AL921" s="33"/>
      <c r="AM921" s="33"/>
      <c r="AN921" s="34"/>
      <c r="AO921" s="34"/>
      <c r="AP921" s="33"/>
      <c r="AQ921" s="34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4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5"/>
      <c r="CC921" s="33"/>
      <c r="CD921" s="33"/>
      <c r="CE921" s="33"/>
      <c r="CF921" s="34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4"/>
      <c r="DA921" s="33"/>
      <c r="DB921" s="33"/>
      <c r="DC921" s="33"/>
      <c r="DD921" s="33"/>
      <c r="DE921" s="33"/>
      <c r="DF921" s="33"/>
      <c r="DG921" s="33"/>
      <c r="DH921" s="33"/>
      <c r="DI921" s="33"/>
      <c r="DJ921" s="33"/>
      <c r="DK921" s="33"/>
      <c r="DL921" s="33"/>
      <c r="DM921" s="34"/>
      <c r="DN921" s="34"/>
      <c r="DO921" s="33"/>
      <c r="DP921" s="33"/>
      <c r="DQ921" s="33"/>
      <c r="DR921" s="33"/>
      <c r="DS921" s="33"/>
      <c r="DT921" s="33"/>
      <c r="DU921" s="33"/>
      <c r="DV921" s="33"/>
      <c r="DW921" s="33"/>
      <c r="DX921" s="33"/>
      <c r="DY921" s="33"/>
      <c r="DZ921" s="33"/>
      <c r="EA921" s="33"/>
      <c r="EB921" s="33"/>
      <c r="EC921" s="33"/>
      <c r="ED921" s="33"/>
      <c r="EE921" s="33"/>
      <c r="EF921" s="33"/>
      <c r="EG921" s="38"/>
    </row>
    <row r="922" spans="2:137" ht="13.2">
      <c r="B922" s="30" t="str">
        <f t="shared" si="28"/>
        <v/>
      </c>
      <c r="C922" s="31" t="str">
        <f t="shared" si="29"/>
        <v/>
      </c>
      <c r="D922" s="32"/>
      <c r="E922" s="33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3"/>
      <c r="R922" s="33"/>
      <c r="S922" s="33"/>
      <c r="T922" s="33"/>
      <c r="U922" s="35"/>
      <c r="V922" s="36"/>
      <c r="W922" s="37"/>
      <c r="X922" s="34"/>
      <c r="Y922" s="33"/>
      <c r="Z922" s="33"/>
      <c r="AA922" s="33"/>
      <c r="AB922" s="35"/>
      <c r="AC922" s="34"/>
      <c r="AD922" s="34"/>
      <c r="AE922" s="34"/>
      <c r="AF922" s="34"/>
      <c r="AG922" s="34"/>
      <c r="AH922" s="33"/>
      <c r="AI922" s="33"/>
      <c r="AJ922" s="34"/>
      <c r="AK922" s="33"/>
      <c r="AL922" s="33"/>
      <c r="AM922" s="33"/>
      <c r="AN922" s="34"/>
      <c r="AO922" s="34"/>
      <c r="AP922" s="33"/>
      <c r="AQ922" s="34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4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5"/>
      <c r="CC922" s="33"/>
      <c r="CD922" s="33"/>
      <c r="CE922" s="33"/>
      <c r="CF922" s="34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4"/>
      <c r="DA922" s="33"/>
      <c r="DB922" s="33"/>
      <c r="DC922" s="33"/>
      <c r="DD922" s="33"/>
      <c r="DE922" s="33"/>
      <c r="DF922" s="33"/>
      <c r="DG922" s="33"/>
      <c r="DH922" s="33"/>
      <c r="DI922" s="33"/>
      <c r="DJ922" s="33"/>
      <c r="DK922" s="33"/>
      <c r="DL922" s="33"/>
      <c r="DM922" s="34"/>
      <c r="DN922" s="34"/>
      <c r="DO922" s="33"/>
      <c r="DP922" s="33"/>
      <c r="DQ922" s="33"/>
      <c r="DR922" s="33"/>
      <c r="DS922" s="33"/>
      <c r="DT922" s="33"/>
      <c r="DU922" s="33"/>
      <c r="DV922" s="33"/>
      <c r="DW922" s="33"/>
      <c r="DX922" s="33"/>
      <c r="DY922" s="33"/>
      <c r="DZ922" s="33"/>
      <c r="EA922" s="33"/>
      <c r="EB922" s="33"/>
      <c r="EC922" s="33"/>
      <c r="ED922" s="33"/>
      <c r="EE922" s="33"/>
      <c r="EF922" s="33"/>
      <c r="EG922" s="38"/>
    </row>
    <row r="923" spans="2:137" ht="13.2">
      <c r="B923" s="30" t="str">
        <f t="shared" si="28"/>
        <v/>
      </c>
      <c r="C923" s="31" t="str">
        <f t="shared" si="29"/>
        <v/>
      </c>
      <c r="D923" s="32"/>
      <c r="E923" s="33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3"/>
      <c r="R923" s="33"/>
      <c r="S923" s="33"/>
      <c r="T923" s="33"/>
      <c r="U923" s="35"/>
      <c r="V923" s="36"/>
      <c r="W923" s="37"/>
      <c r="X923" s="34"/>
      <c r="Y923" s="33"/>
      <c r="Z923" s="33"/>
      <c r="AA923" s="33"/>
      <c r="AB923" s="35"/>
      <c r="AC923" s="34"/>
      <c r="AD923" s="34"/>
      <c r="AE923" s="34"/>
      <c r="AF923" s="34"/>
      <c r="AG923" s="34"/>
      <c r="AH923" s="33"/>
      <c r="AI923" s="33"/>
      <c r="AJ923" s="34"/>
      <c r="AK923" s="33"/>
      <c r="AL923" s="33"/>
      <c r="AM923" s="33"/>
      <c r="AN923" s="34"/>
      <c r="AO923" s="34"/>
      <c r="AP923" s="33"/>
      <c r="AQ923" s="34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4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5"/>
      <c r="CC923" s="33"/>
      <c r="CD923" s="33"/>
      <c r="CE923" s="33"/>
      <c r="CF923" s="34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4"/>
      <c r="DA923" s="33"/>
      <c r="DB923" s="33"/>
      <c r="DC923" s="33"/>
      <c r="DD923" s="33"/>
      <c r="DE923" s="33"/>
      <c r="DF923" s="33"/>
      <c r="DG923" s="33"/>
      <c r="DH923" s="33"/>
      <c r="DI923" s="33"/>
      <c r="DJ923" s="33"/>
      <c r="DK923" s="33"/>
      <c r="DL923" s="33"/>
      <c r="DM923" s="34"/>
      <c r="DN923" s="34"/>
      <c r="DO923" s="33"/>
      <c r="DP923" s="33"/>
      <c r="DQ923" s="33"/>
      <c r="DR923" s="33"/>
      <c r="DS923" s="33"/>
      <c r="DT923" s="33"/>
      <c r="DU923" s="33"/>
      <c r="DV923" s="33"/>
      <c r="DW923" s="33"/>
      <c r="DX923" s="33"/>
      <c r="DY923" s="33"/>
      <c r="DZ923" s="33"/>
      <c r="EA923" s="33"/>
      <c r="EB923" s="33"/>
      <c r="EC923" s="33"/>
      <c r="ED923" s="33"/>
      <c r="EE923" s="33"/>
      <c r="EF923" s="33"/>
      <c r="EG923" s="38"/>
    </row>
    <row r="924" spans="2:137" ht="13.2">
      <c r="B924" s="30" t="str">
        <f t="shared" si="28"/>
        <v/>
      </c>
      <c r="C924" s="31" t="str">
        <f t="shared" si="29"/>
        <v/>
      </c>
      <c r="D924" s="32"/>
      <c r="E924" s="33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3"/>
      <c r="R924" s="33"/>
      <c r="S924" s="33"/>
      <c r="T924" s="33"/>
      <c r="U924" s="35"/>
      <c r="V924" s="36"/>
      <c r="W924" s="37"/>
      <c r="X924" s="34"/>
      <c r="Y924" s="33"/>
      <c r="Z924" s="33"/>
      <c r="AA924" s="33"/>
      <c r="AB924" s="35"/>
      <c r="AC924" s="34"/>
      <c r="AD924" s="34"/>
      <c r="AE924" s="34"/>
      <c r="AF924" s="34"/>
      <c r="AG924" s="34"/>
      <c r="AH924" s="33"/>
      <c r="AI924" s="33"/>
      <c r="AJ924" s="34"/>
      <c r="AK924" s="33"/>
      <c r="AL924" s="33"/>
      <c r="AM924" s="33"/>
      <c r="AN924" s="34"/>
      <c r="AO924" s="34"/>
      <c r="AP924" s="33"/>
      <c r="AQ924" s="34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4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  <c r="BW924" s="33"/>
      <c r="BX924" s="33"/>
      <c r="BY924" s="33"/>
      <c r="BZ924" s="33"/>
      <c r="CA924" s="33"/>
      <c r="CB924" s="35"/>
      <c r="CC924" s="33"/>
      <c r="CD924" s="33"/>
      <c r="CE924" s="33"/>
      <c r="CF924" s="34"/>
      <c r="CG924" s="33"/>
      <c r="CH924" s="33"/>
      <c r="CI924" s="33"/>
      <c r="CJ924" s="33"/>
      <c r="CK924" s="33"/>
      <c r="CL924" s="33"/>
      <c r="CM924" s="33"/>
      <c r="CN924" s="33"/>
      <c r="CO924" s="33"/>
      <c r="CP924" s="33"/>
      <c r="CQ924" s="33"/>
      <c r="CR924" s="33"/>
      <c r="CS924" s="33"/>
      <c r="CT924" s="33"/>
      <c r="CU924" s="33"/>
      <c r="CV924" s="33"/>
      <c r="CW924" s="33"/>
      <c r="CX924" s="33"/>
      <c r="CY924" s="33"/>
      <c r="CZ924" s="34"/>
      <c r="DA924" s="33"/>
      <c r="DB924" s="33"/>
      <c r="DC924" s="33"/>
      <c r="DD924" s="33"/>
      <c r="DE924" s="33"/>
      <c r="DF924" s="33"/>
      <c r="DG924" s="33"/>
      <c r="DH924" s="33"/>
      <c r="DI924" s="33"/>
      <c r="DJ924" s="33"/>
      <c r="DK924" s="33"/>
      <c r="DL924" s="33"/>
      <c r="DM924" s="34"/>
      <c r="DN924" s="34"/>
      <c r="DO924" s="33"/>
      <c r="DP924" s="33"/>
      <c r="DQ924" s="33"/>
      <c r="DR924" s="33"/>
      <c r="DS924" s="33"/>
      <c r="DT924" s="33"/>
      <c r="DU924" s="33"/>
      <c r="DV924" s="33"/>
      <c r="DW924" s="33"/>
      <c r="DX924" s="33"/>
      <c r="DY924" s="33"/>
      <c r="DZ924" s="33"/>
      <c r="EA924" s="33"/>
      <c r="EB924" s="33"/>
      <c r="EC924" s="33"/>
      <c r="ED924" s="33"/>
      <c r="EE924" s="33"/>
      <c r="EF924" s="33"/>
      <c r="EG924" s="38"/>
    </row>
    <row r="925" spans="2:137" ht="13.2">
      <c r="B925" s="30" t="str">
        <f t="shared" si="28"/>
        <v/>
      </c>
      <c r="C925" s="31" t="str">
        <f t="shared" si="29"/>
        <v/>
      </c>
      <c r="D925" s="32"/>
      <c r="E925" s="33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3"/>
      <c r="R925" s="33"/>
      <c r="S925" s="33"/>
      <c r="T925" s="33"/>
      <c r="U925" s="35"/>
      <c r="V925" s="36"/>
      <c r="W925" s="37"/>
      <c r="X925" s="34"/>
      <c r="Y925" s="33"/>
      <c r="Z925" s="33"/>
      <c r="AA925" s="33"/>
      <c r="AB925" s="35"/>
      <c r="AC925" s="34"/>
      <c r="AD925" s="34"/>
      <c r="AE925" s="34"/>
      <c r="AF925" s="34"/>
      <c r="AG925" s="34"/>
      <c r="AH925" s="33"/>
      <c r="AI925" s="33"/>
      <c r="AJ925" s="34"/>
      <c r="AK925" s="33"/>
      <c r="AL925" s="33"/>
      <c r="AM925" s="33"/>
      <c r="AN925" s="34"/>
      <c r="AO925" s="34"/>
      <c r="AP925" s="33"/>
      <c r="AQ925" s="34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4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5"/>
      <c r="CC925" s="33"/>
      <c r="CD925" s="33"/>
      <c r="CE925" s="33"/>
      <c r="CF925" s="34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4"/>
      <c r="DA925" s="33"/>
      <c r="DB925" s="33"/>
      <c r="DC925" s="33"/>
      <c r="DD925" s="33"/>
      <c r="DE925" s="33"/>
      <c r="DF925" s="33"/>
      <c r="DG925" s="33"/>
      <c r="DH925" s="33"/>
      <c r="DI925" s="33"/>
      <c r="DJ925" s="33"/>
      <c r="DK925" s="33"/>
      <c r="DL925" s="33"/>
      <c r="DM925" s="34"/>
      <c r="DN925" s="34"/>
      <c r="DO925" s="33"/>
      <c r="DP925" s="33"/>
      <c r="DQ925" s="33"/>
      <c r="DR925" s="33"/>
      <c r="DS925" s="33"/>
      <c r="DT925" s="33"/>
      <c r="DU925" s="33"/>
      <c r="DV925" s="33"/>
      <c r="DW925" s="33"/>
      <c r="DX925" s="33"/>
      <c r="DY925" s="33"/>
      <c r="DZ925" s="33"/>
      <c r="EA925" s="33"/>
      <c r="EB925" s="33"/>
      <c r="EC925" s="33"/>
      <c r="ED925" s="33"/>
      <c r="EE925" s="33"/>
      <c r="EF925" s="33"/>
      <c r="EG925" s="38"/>
    </row>
    <row r="926" spans="2:137" ht="13.2">
      <c r="B926" s="30" t="str">
        <f t="shared" si="28"/>
        <v/>
      </c>
      <c r="C926" s="31" t="str">
        <f t="shared" si="29"/>
        <v/>
      </c>
      <c r="D926" s="32"/>
      <c r="E926" s="33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3"/>
      <c r="R926" s="33"/>
      <c r="S926" s="33"/>
      <c r="T926" s="33"/>
      <c r="U926" s="35"/>
      <c r="V926" s="36"/>
      <c r="W926" s="37"/>
      <c r="X926" s="34"/>
      <c r="Y926" s="33"/>
      <c r="Z926" s="33"/>
      <c r="AA926" s="33"/>
      <c r="AB926" s="35"/>
      <c r="AC926" s="34"/>
      <c r="AD926" s="34"/>
      <c r="AE926" s="34"/>
      <c r="AF926" s="34"/>
      <c r="AG926" s="34"/>
      <c r="AH926" s="33"/>
      <c r="AI926" s="33"/>
      <c r="AJ926" s="34"/>
      <c r="AK926" s="33"/>
      <c r="AL926" s="33"/>
      <c r="AM926" s="33"/>
      <c r="AN926" s="34"/>
      <c r="AO926" s="34"/>
      <c r="AP926" s="33"/>
      <c r="AQ926" s="34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4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5"/>
      <c r="CC926" s="33"/>
      <c r="CD926" s="33"/>
      <c r="CE926" s="33"/>
      <c r="CF926" s="34"/>
      <c r="CG926" s="33"/>
      <c r="CH926" s="33"/>
      <c r="CI926" s="33"/>
      <c r="CJ926" s="33"/>
      <c r="CK926" s="33"/>
      <c r="CL926" s="33"/>
      <c r="CM926" s="33"/>
      <c r="CN926" s="33"/>
      <c r="CO926" s="33"/>
      <c r="CP926" s="33"/>
      <c r="CQ926" s="33"/>
      <c r="CR926" s="33"/>
      <c r="CS926" s="33"/>
      <c r="CT926" s="33"/>
      <c r="CU926" s="33"/>
      <c r="CV926" s="33"/>
      <c r="CW926" s="33"/>
      <c r="CX926" s="33"/>
      <c r="CY926" s="33"/>
      <c r="CZ926" s="34"/>
      <c r="DA926" s="33"/>
      <c r="DB926" s="33"/>
      <c r="DC926" s="33"/>
      <c r="DD926" s="33"/>
      <c r="DE926" s="33"/>
      <c r="DF926" s="33"/>
      <c r="DG926" s="33"/>
      <c r="DH926" s="33"/>
      <c r="DI926" s="33"/>
      <c r="DJ926" s="33"/>
      <c r="DK926" s="33"/>
      <c r="DL926" s="33"/>
      <c r="DM926" s="34"/>
      <c r="DN926" s="34"/>
      <c r="DO926" s="33"/>
      <c r="DP926" s="33"/>
      <c r="DQ926" s="33"/>
      <c r="DR926" s="33"/>
      <c r="DS926" s="33"/>
      <c r="DT926" s="33"/>
      <c r="DU926" s="33"/>
      <c r="DV926" s="33"/>
      <c r="DW926" s="33"/>
      <c r="DX926" s="33"/>
      <c r="DY926" s="33"/>
      <c r="DZ926" s="33"/>
      <c r="EA926" s="33"/>
      <c r="EB926" s="33"/>
      <c r="EC926" s="33"/>
      <c r="ED926" s="33"/>
      <c r="EE926" s="33"/>
      <c r="EF926" s="33"/>
      <c r="EG926" s="38"/>
    </row>
    <row r="927" spans="2:137" ht="13.2">
      <c r="B927" s="30" t="str">
        <f t="shared" si="28"/>
        <v/>
      </c>
      <c r="C927" s="31" t="str">
        <f t="shared" si="29"/>
        <v/>
      </c>
      <c r="D927" s="32"/>
      <c r="E927" s="33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3"/>
      <c r="R927" s="33"/>
      <c r="S927" s="33"/>
      <c r="T927" s="33"/>
      <c r="U927" s="35"/>
      <c r="V927" s="36"/>
      <c r="W927" s="37"/>
      <c r="X927" s="34"/>
      <c r="Y927" s="33"/>
      <c r="Z927" s="33"/>
      <c r="AA927" s="33"/>
      <c r="AB927" s="35"/>
      <c r="AC927" s="34"/>
      <c r="AD927" s="34"/>
      <c r="AE927" s="34"/>
      <c r="AF927" s="34"/>
      <c r="AG927" s="34"/>
      <c r="AH927" s="33"/>
      <c r="AI927" s="33"/>
      <c r="AJ927" s="34"/>
      <c r="AK927" s="33"/>
      <c r="AL927" s="33"/>
      <c r="AM927" s="33"/>
      <c r="AN927" s="34"/>
      <c r="AO927" s="34"/>
      <c r="AP927" s="33"/>
      <c r="AQ927" s="34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4"/>
      <c r="BM927" s="33"/>
      <c r="BN927" s="33"/>
      <c r="BO927" s="33"/>
      <c r="BP927" s="33"/>
      <c r="BQ927" s="33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5"/>
      <c r="CC927" s="33"/>
      <c r="CD927" s="33"/>
      <c r="CE927" s="33"/>
      <c r="CF927" s="34"/>
      <c r="CG927" s="33"/>
      <c r="CH927" s="33"/>
      <c r="CI927" s="33"/>
      <c r="CJ927" s="33"/>
      <c r="CK927" s="33"/>
      <c r="CL927" s="33"/>
      <c r="CM927" s="33"/>
      <c r="CN927" s="33"/>
      <c r="CO927" s="33"/>
      <c r="CP927" s="33"/>
      <c r="CQ927" s="33"/>
      <c r="CR927" s="33"/>
      <c r="CS927" s="33"/>
      <c r="CT927" s="33"/>
      <c r="CU927" s="33"/>
      <c r="CV927" s="33"/>
      <c r="CW927" s="33"/>
      <c r="CX927" s="33"/>
      <c r="CY927" s="33"/>
      <c r="CZ927" s="34"/>
      <c r="DA927" s="33"/>
      <c r="DB927" s="33"/>
      <c r="DC927" s="33"/>
      <c r="DD927" s="33"/>
      <c r="DE927" s="33"/>
      <c r="DF927" s="33"/>
      <c r="DG927" s="33"/>
      <c r="DH927" s="33"/>
      <c r="DI927" s="33"/>
      <c r="DJ927" s="33"/>
      <c r="DK927" s="33"/>
      <c r="DL927" s="33"/>
      <c r="DM927" s="34"/>
      <c r="DN927" s="34"/>
      <c r="DO927" s="33"/>
      <c r="DP927" s="33"/>
      <c r="DQ927" s="33"/>
      <c r="DR927" s="33"/>
      <c r="DS927" s="33"/>
      <c r="DT927" s="33"/>
      <c r="DU927" s="33"/>
      <c r="DV927" s="33"/>
      <c r="DW927" s="33"/>
      <c r="DX927" s="33"/>
      <c r="DY927" s="33"/>
      <c r="DZ927" s="33"/>
      <c r="EA927" s="33"/>
      <c r="EB927" s="33"/>
      <c r="EC927" s="33"/>
      <c r="ED927" s="33"/>
      <c r="EE927" s="33"/>
      <c r="EF927" s="33"/>
      <c r="EG927" s="38"/>
    </row>
    <row r="928" spans="2:137" ht="13.2">
      <c r="B928" s="30" t="str">
        <f t="shared" si="28"/>
        <v/>
      </c>
      <c r="C928" s="31" t="str">
        <f t="shared" si="29"/>
        <v/>
      </c>
      <c r="D928" s="32"/>
      <c r="E928" s="33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3"/>
      <c r="R928" s="33"/>
      <c r="S928" s="33"/>
      <c r="T928" s="33"/>
      <c r="U928" s="35"/>
      <c r="V928" s="36"/>
      <c r="W928" s="37"/>
      <c r="X928" s="34"/>
      <c r="Y928" s="33"/>
      <c r="Z928" s="33"/>
      <c r="AA928" s="33"/>
      <c r="AB928" s="35"/>
      <c r="AC928" s="34"/>
      <c r="AD928" s="34"/>
      <c r="AE928" s="34"/>
      <c r="AF928" s="34"/>
      <c r="AG928" s="34"/>
      <c r="AH928" s="33"/>
      <c r="AI928" s="33"/>
      <c r="AJ928" s="34"/>
      <c r="AK928" s="33"/>
      <c r="AL928" s="33"/>
      <c r="AM928" s="33"/>
      <c r="AN928" s="34"/>
      <c r="AO928" s="34"/>
      <c r="AP928" s="33"/>
      <c r="AQ928" s="34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4"/>
      <c r="BM928" s="33"/>
      <c r="BN928" s="33"/>
      <c r="BO928" s="33"/>
      <c r="BP928" s="33"/>
      <c r="BQ928" s="33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5"/>
      <c r="CC928" s="33"/>
      <c r="CD928" s="33"/>
      <c r="CE928" s="33"/>
      <c r="CF928" s="34"/>
      <c r="CG928" s="33"/>
      <c r="CH928" s="33"/>
      <c r="CI928" s="33"/>
      <c r="CJ928" s="33"/>
      <c r="CK928" s="33"/>
      <c r="CL928" s="33"/>
      <c r="CM928" s="33"/>
      <c r="CN928" s="33"/>
      <c r="CO928" s="33"/>
      <c r="CP928" s="33"/>
      <c r="CQ928" s="33"/>
      <c r="CR928" s="33"/>
      <c r="CS928" s="33"/>
      <c r="CT928" s="33"/>
      <c r="CU928" s="33"/>
      <c r="CV928" s="33"/>
      <c r="CW928" s="33"/>
      <c r="CX928" s="33"/>
      <c r="CY928" s="33"/>
      <c r="CZ928" s="34"/>
      <c r="DA928" s="33"/>
      <c r="DB928" s="33"/>
      <c r="DC928" s="33"/>
      <c r="DD928" s="33"/>
      <c r="DE928" s="33"/>
      <c r="DF928" s="33"/>
      <c r="DG928" s="33"/>
      <c r="DH928" s="33"/>
      <c r="DI928" s="33"/>
      <c r="DJ928" s="33"/>
      <c r="DK928" s="33"/>
      <c r="DL928" s="33"/>
      <c r="DM928" s="34"/>
      <c r="DN928" s="34"/>
      <c r="DO928" s="33"/>
      <c r="DP928" s="33"/>
      <c r="DQ928" s="33"/>
      <c r="DR928" s="33"/>
      <c r="DS928" s="33"/>
      <c r="DT928" s="33"/>
      <c r="DU928" s="33"/>
      <c r="DV928" s="33"/>
      <c r="DW928" s="33"/>
      <c r="DX928" s="33"/>
      <c r="DY928" s="33"/>
      <c r="DZ928" s="33"/>
      <c r="EA928" s="33"/>
      <c r="EB928" s="33"/>
      <c r="EC928" s="33"/>
      <c r="ED928" s="33"/>
      <c r="EE928" s="33"/>
      <c r="EF928" s="33"/>
      <c r="EG928" s="38"/>
    </row>
    <row r="929" spans="2:137" ht="13.2">
      <c r="B929" s="30" t="str">
        <f t="shared" si="28"/>
        <v/>
      </c>
      <c r="C929" s="31" t="str">
        <f t="shared" si="29"/>
        <v/>
      </c>
      <c r="D929" s="32"/>
      <c r="E929" s="33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3"/>
      <c r="R929" s="33"/>
      <c r="S929" s="33"/>
      <c r="T929" s="33"/>
      <c r="U929" s="35"/>
      <c r="V929" s="36"/>
      <c r="W929" s="37"/>
      <c r="X929" s="34"/>
      <c r="Y929" s="33"/>
      <c r="Z929" s="33"/>
      <c r="AA929" s="33"/>
      <c r="AB929" s="35"/>
      <c r="AC929" s="34"/>
      <c r="AD929" s="34"/>
      <c r="AE929" s="34"/>
      <c r="AF929" s="34"/>
      <c r="AG929" s="34"/>
      <c r="AH929" s="33"/>
      <c r="AI929" s="33"/>
      <c r="AJ929" s="34"/>
      <c r="AK929" s="33"/>
      <c r="AL929" s="33"/>
      <c r="AM929" s="33"/>
      <c r="AN929" s="34"/>
      <c r="AO929" s="34"/>
      <c r="AP929" s="33"/>
      <c r="AQ929" s="34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4"/>
      <c r="BM929" s="33"/>
      <c r="BN929" s="33"/>
      <c r="BO929" s="33"/>
      <c r="BP929" s="33"/>
      <c r="BQ929" s="33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5"/>
      <c r="CC929" s="33"/>
      <c r="CD929" s="33"/>
      <c r="CE929" s="33"/>
      <c r="CF929" s="34"/>
      <c r="CG929" s="33"/>
      <c r="CH929" s="33"/>
      <c r="CI929" s="33"/>
      <c r="CJ929" s="33"/>
      <c r="CK929" s="33"/>
      <c r="CL929" s="33"/>
      <c r="CM929" s="33"/>
      <c r="CN929" s="33"/>
      <c r="CO929" s="33"/>
      <c r="CP929" s="33"/>
      <c r="CQ929" s="33"/>
      <c r="CR929" s="33"/>
      <c r="CS929" s="33"/>
      <c r="CT929" s="33"/>
      <c r="CU929" s="33"/>
      <c r="CV929" s="33"/>
      <c r="CW929" s="33"/>
      <c r="CX929" s="33"/>
      <c r="CY929" s="33"/>
      <c r="CZ929" s="34"/>
      <c r="DA929" s="33"/>
      <c r="DB929" s="33"/>
      <c r="DC929" s="33"/>
      <c r="DD929" s="33"/>
      <c r="DE929" s="33"/>
      <c r="DF929" s="33"/>
      <c r="DG929" s="33"/>
      <c r="DH929" s="33"/>
      <c r="DI929" s="33"/>
      <c r="DJ929" s="33"/>
      <c r="DK929" s="33"/>
      <c r="DL929" s="33"/>
      <c r="DM929" s="34"/>
      <c r="DN929" s="34"/>
      <c r="DO929" s="33"/>
      <c r="DP929" s="33"/>
      <c r="DQ929" s="33"/>
      <c r="DR929" s="33"/>
      <c r="DS929" s="33"/>
      <c r="DT929" s="33"/>
      <c r="DU929" s="33"/>
      <c r="DV929" s="33"/>
      <c r="DW929" s="33"/>
      <c r="DX929" s="33"/>
      <c r="DY929" s="33"/>
      <c r="DZ929" s="33"/>
      <c r="EA929" s="33"/>
      <c r="EB929" s="33"/>
      <c r="EC929" s="33"/>
      <c r="ED929" s="33"/>
      <c r="EE929" s="33"/>
      <c r="EF929" s="33"/>
      <c r="EG929" s="38"/>
    </row>
    <row r="930" spans="2:137" ht="13.2">
      <c r="B930" s="30" t="str">
        <f t="shared" si="28"/>
        <v/>
      </c>
      <c r="C930" s="31" t="str">
        <f t="shared" si="29"/>
        <v/>
      </c>
      <c r="D930" s="32"/>
      <c r="E930" s="33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3"/>
      <c r="R930" s="33"/>
      <c r="S930" s="33"/>
      <c r="T930" s="33"/>
      <c r="U930" s="35"/>
      <c r="V930" s="36"/>
      <c r="W930" s="37"/>
      <c r="X930" s="34"/>
      <c r="Y930" s="33"/>
      <c r="Z930" s="33"/>
      <c r="AA930" s="33"/>
      <c r="AB930" s="35"/>
      <c r="AC930" s="34"/>
      <c r="AD930" s="34"/>
      <c r="AE930" s="34"/>
      <c r="AF930" s="34"/>
      <c r="AG930" s="34"/>
      <c r="AH930" s="33"/>
      <c r="AI930" s="33"/>
      <c r="AJ930" s="34"/>
      <c r="AK930" s="33"/>
      <c r="AL930" s="33"/>
      <c r="AM930" s="33"/>
      <c r="AN930" s="34"/>
      <c r="AO930" s="34"/>
      <c r="AP930" s="33"/>
      <c r="AQ930" s="34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4"/>
      <c r="BM930" s="33"/>
      <c r="BN930" s="33"/>
      <c r="BO930" s="33"/>
      <c r="BP930" s="33"/>
      <c r="BQ930" s="33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5"/>
      <c r="CC930" s="33"/>
      <c r="CD930" s="33"/>
      <c r="CE930" s="33"/>
      <c r="CF930" s="34"/>
      <c r="CG930" s="33"/>
      <c r="CH930" s="33"/>
      <c r="CI930" s="33"/>
      <c r="CJ930" s="33"/>
      <c r="CK930" s="33"/>
      <c r="CL930" s="33"/>
      <c r="CM930" s="33"/>
      <c r="CN930" s="33"/>
      <c r="CO930" s="33"/>
      <c r="CP930" s="33"/>
      <c r="CQ930" s="33"/>
      <c r="CR930" s="33"/>
      <c r="CS930" s="33"/>
      <c r="CT930" s="33"/>
      <c r="CU930" s="33"/>
      <c r="CV930" s="33"/>
      <c r="CW930" s="33"/>
      <c r="CX930" s="33"/>
      <c r="CY930" s="33"/>
      <c r="CZ930" s="34"/>
      <c r="DA930" s="33"/>
      <c r="DB930" s="33"/>
      <c r="DC930" s="33"/>
      <c r="DD930" s="33"/>
      <c r="DE930" s="33"/>
      <c r="DF930" s="33"/>
      <c r="DG930" s="33"/>
      <c r="DH930" s="33"/>
      <c r="DI930" s="33"/>
      <c r="DJ930" s="33"/>
      <c r="DK930" s="33"/>
      <c r="DL930" s="33"/>
      <c r="DM930" s="34"/>
      <c r="DN930" s="34"/>
      <c r="DO930" s="33"/>
      <c r="DP930" s="33"/>
      <c r="DQ930" s="33"/>
      <c r="DR930" s="33"/>
      <c r="DS930" s="33"/>
      <c r="DT930" s="33"/>
      <c r="DU930" s="33"/>
      <c r="DV930" s="33"/>
      <c r="DW930" s="33"/>
      <c r="DX930" s="33"/>
      <c r="DY930" s="33"/>
      <c r="DZ930" s="33"/>
      <c r="EA930" s="33"/>
      <c r="EB930" s="33"/>
      <c r="EC930" s="33"/>
      <c r="ED930" s="33"/>
      <c r="EE930" s="33"/>
      <c r="EF930" s="33"/>
      <c r="EG930" s="38"/>
    </row>
    <row r="931" spans="2:137" ht="13.2">
      <c r="B931" s="30" t="str">
        <f t="shared" si="28"/>
        <v/>
      </c>
      <c r="C931" s="31" t="str">
        <f t="shared" si="29"/>
        <v/>
      </c>
      <c r="D931" s="32"/>
      <c r="E931" s="33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3"/>
      <c r="R931" s="33"/>
      <c r="S931" s="33"/>
      <c r="T931" s="33"/>
      <c r="U931" s="35"/>
      <c r="V931" s="36"/>
      <c r="W931" s="37"/>
      <c r="X931" s="34"/>
      <c r="Y931" s="33"/>
      <c r="Z931" s="33"/>
      <c r="AA931" s="33"/>
      <c r="AB931" s="35"/>
      <c r="AC931" s="34"/>
      <c r="AD931" s="34"/>
      <c r="AE931" s="34"/>
      <c r="AF931" s="34"/>
      <c r="AG931" s="34"/>
      <c r="AH931" s="33"/>
      <c r="AI931" s="33"/>
      <c r="AJ931" s="34"/>
      <c r="AK931" s="33"/>
      <c r="AL931" s="33"/>
      <c r="AM931" s="33"/>
      <c r="AN931" s="34"/>
      <c r="AO931" s="34"/>
      <c r="AP931" s="33"/>
      <c r="AQ931" s="34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4"/>
      <c r="BM931" s="33"/>
      <c r="BN931" s="33"/>
      <c r="BO931" s="33"/>
      <c r="BP931" s="33"/>
      <c r="BQ931" s="33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5"/>
      <c r="CC931" s="33"/>
      <c r="CD931" s="33"/>
      <c r="CE931" s="33"/>
      <c r="CF931" s="34"/>
      <c r="CG931" s="33"/>
      <c r="CH931" s="33"/>
      <c r="CI931" s="33"/>
      <c r="CJ931" s="33"/>
      <c r="CK931" s="33"/>
      <c r="CL931" s="33"/>
      <c r="CM931" s="33"/>
      <c r="CN931" s="33"/>
      <c r="CO931" s="33"/>
      <c r="CP931" s="33"/>
      <c r="CQ931" s="33"/>
      <c r="CR931" s="33"/>
      <c r="CS931" s="33"/>
      <c r="CT931" s="33"/>
      <c r="CU931" s="33"/>
      <c r="CV931" s="33"/>
      <c r="CW931" s="33"/>
      <c r="CX931" s="33"/>
      <c r="CY931" s="33"/>
      <c r="CZ931" s="34"/>
      <c r="DA931" s="33"/>
      <c r="DB931" s="33"/>
      <c r="DC931" s="33"/>
      <c r="DD931" s="33"/>
      <c r="DE931" s="33"/>
      <c r="DF931" s="33"/>
      <c r="DG931" s="33"/>
      <c r="DH931" s="33"/>
      <c r="DI931" s="33"/>
      <c r="DJ931" s="33"/>
      <c r="DK931" s="33"/>
      <c r="DL931" s="33"/>
      <c r="DM931" s="34"/>
      <c r="DN931" s="34"/>
      <c r="DO931" s="33"/>
      <c r="DP931" s="33"/>
      <c r="DQ931" s="33"/>
      <c r="DR931" s="33"/>
      <c r="DS931" s="33"/>
      <c r="DT931" s="33"/>
      <c r="DU931" s="33"/>
      <c r="DV931" s="33"/>
      <c r="DW931" s="33"/>
      <c r="DX931" s="33"/>
      <c r="DY931" s="33"/>
      <c r="DZ931" s="33"/>
      <c r="EA931" s="33"/>
      <c r="EB931" s="33"/>
      <c r="EC931" s="33"/>
      <c r="ED931" s="33"/>
      <c r="EE931" s="33"/>
      <c r="EF931" s="33"/>
      <c r="EG931" s="38"/>
    </row>
    <row r="932" spans="2:137" ht="13.2">
      <c r="B932" s="30" t="str">
        <f t="shared" si="28"/>
        <v/>
      </c>
      <c r="C932" s="31" t="str">
        <f t="shared" si="29"/>
        <v/>
      </c>
      <c r="D932" s="32"/>
      <c r="E932" s="33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3"/>
      <c r="R932" s="33"/>
      <c r="S932" s="33"/>
      <c r="T932" s="33"/>
      <c r="U932" s="35"/>
      <c r="V932" s="36"/>
      <c r="W932" s="37"/>
      <c r="X932" s="34"/>
      <c r="Y932" s="33"/>
      <c r="Z932" s="33"/>
      <c r="AA932" s="33"/>
      <c r="AB932" s="35"/>
      <c r="AC932" s="34"/>
      <c r="AD932" s="34"/>
      <c r="AE932" s="34"/>
      <c r="AF932" s="34"/>
      <c r="AG932" s="34"/>
      <c r="AH932" s="33"/>
      <c r="AI932" s="33"/>
      <c r="AJ932" s="34"/>
      <c r="AK932" s="33"/>
      <c r="AL932" s="33"/>
      <c r="AM932" s="33"/>
      <c r="AN932" s="34"/>
      <c r="AO932" s="34"/>
      <c r="AP932" s="33"/>
      <c r="AQ932" s="34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4"/>
      <c r="BM932" s="33"/>
      <c r="BN932" s="33"/>
      <c r="BO932" s="33"/>
      <c r="BP932" s="33"/>
      <c r="BQ932" s="33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5"/>
      <c r="CC932" s="33"/>
      <c r="CD932" s="33"/>
      <c r="CE932" s="33"/>
      <c r="CF932" s="34"/>
      <c r="CG932" s="33"/>
      <c r="CH932" s="33"/>
      <c r="CI932" s="33"/>
      <c r="CJ932" s="33"/>
      <c r="CK932" s="33"/>
      <c r="CL932" s="33"/>
      <c r="CM932" s="33"/>
      <c r="CN932" s="33"/>
      <c r="CO932" s="33"/>
      <c r="CP932" s="33"/>
      <c r="CQ932" s="33"/>
      <c r="CR932" s="33"/>
      <c r="CS932" s="33"/>
      <c r="CT932" s="33"/>
      <c r="CU932" s="33"/>
      <c r="CV932" s="33"/>
      <c r="CW932" s="33"/>
      <c r="CX932" s="33"/>
      <c r="CY932" s="33"/>
      <c r="CZ932" s="34"/>
      <c r="DA932" s="33"/>
      <c r="DB932" s="33"/>
      <c r="DC932" s="33"/>
      <c r="DD932" s="33"/>
      <c r="DE932" s="33"/>
      <c r="DF932" s="33"/>
      <c r="DG932" s="33"/>
      <c r="DH932" s="33"/>
      <c r="DI932" s="33"/>
      <c r="DJ932" s="33"/>
      <c r="DK932" s="33"/>
      <c r="DL932" s="33"/>
      <c r="DM932" s="34"/>
      <c r="DN932" s="34"/>
      <c r="DO932" s="33"/>
      <c r="DP932" s="33"/>
      <c r="DQ932" s="33"/>
      <c r="DR932" s="33"/>
      <c r="DS932" s="33"/>
      <c r="DT932" s="33"/>
      <c r="DU932" s="33"/>
      <c r="DV932" s="33"/>
      <c r="DW932" s="33"/>
      <c r="DX932" s="33"/>
      <c r="DY932" s="33"/>
      <c r="DZ932" s="33"/>
      <c r="EA932" s="33"/>
      <c r="EB932" s="33"/>
      <c r="EC932" s="33"/>
      <c r="ED932" s="33"/>
      <c r="EE932" s="33"/>
      <c r="EF932" s="33"/>
      <c r="EG932" s="38"/>
    </row>
    <row r="933" spans="2:137" ht="13.2">
      <c r="B933" s="30" t="str">
        <f t="shared" si="28"/>
        <v/>
      </c>
      <c r="C933" s="31" t="str">
        <f t="shared" si="29"/>
        <v/>
      </c>
      <c r="D933" s="32"/>
      <c r="E933" s="33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3"/>
      <c r="R933" s="33"/>
      <c r="S933" s="33"/>
      <c r="T933" s="33"/>
      <c r="U933" s="35"/>
      <c r="V933" s="36"/>
      <c r="W933" s="37"/>
      <c r="X933" s="34"/>
      <c r="Y933" s="33"/>
      <c r="Z933" s="33"/>
      <c r="AA933" s="33"/>
      <c r="AB933" s="35"/>
      <c r="AC933" s="34"/>
      <c r="AD933" s="34"/>
      <c r="AE933" s="34"/>
      <c r="AF933" s="34"/>
      <c r="AG933" s="34"/>
      <c r="AH933" s="33"/>
      <c r="AI933" s="33"/>
      <c r="AJ933" s="34"/>
      <c r="AK933" s="33"/>
      <c r="AL933" s="33"/>
      <c r="AM933" s="33"/>
      <c r="AN933" s="34"/>
      <c r="AO933" s="34"/>
      <c r="AP933" s="33"/>
      <c r="AQ933" s="34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4"/>
      <c r="BM933" s="33"/>
      <c r="BN933" s="33"/>
      <c r="BO933" s="33"/>
      <c r="BP933" s="33"/>
      <c r="BQ933" s="33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5"/>
      <c r="CC933" s="33"/>
      <c r="CD933" s="33"/>
      <c r="CE933" s="33"/>
      <c r="CF933" s="34"/>
      <c r="CG933" s="33"/>
      <c r="CH933" s="33"/>
      <c r="CI933" s="33"/>
      <c r="CJ933" s="33"/>
      <c r="CK933" s="33"/>
      <c r="CL933" s="33"/>
      <c r="CM933" s="33"/>
      <c r="CN933" s="33"/>
      <c r="CO933" s="33"/>
      <c r="CP933" s="33"/>
      <c r="CQ933" s="33"/>
      <c r="CR933" s="33"/>
      <c r="CS933" s="33"/>
      <c r="CT933" s="33"/>
      <c r="CU933" s="33"/>
      <c r="CV933" s="33"/>
      <c r="CW933" s="33"/>
      <c r="CX933" s="33"/>
      <c r="CY933" s="33"/>
      <c r="CZ933" s="34"/>
      <c r="DA933" s="33"/>
      <c r="DB933" s="33"/>
      <c r="DC933" s="33"/>
      <c r="DD933" s="33"/>
      <c r="DE933" s="33"/>
      <c r="DF933" s="33"/>
      <c r="DG933" s="33"/>
      <c r="DH933" s="33"/>
      <c r="DI933" s="33"/>
      <c r="DJ933" s="33"/>
      <c r="DK933" s="33"/>
      <c r="DL933" s="33"/>
      <c r="DM933" s="34"/>
      <c r="DN933" s="34"/>
      <c r="DO933" s="33"/>
      <c r="DP933" s="33"/>
      <c r="DQ933" s="33"/>
      <c r="DR933" s="33"/>
      <c r="DS933" s="33"/>
      <c r="DT933" s="33"/>
      <c r="DU933" s="33"/>
      <c r="DV933" s="33"/>
      <c r="DW933" s="33"/>
      <c r="DX933" s="33"/>
      <c r="DY933" s="33"/>
      <c r="DZ933" s="33"/>
      <c r="EA933" s="33"/>
      <c r="EB933" s="33"/>
      <c r="EC933" s="33"/>
      <c r="ED933" s="33"/>
      <c r="EE933" s="33"/>
      <c r="EF933" s="33"/>
      <c r="EG933" s="38"/>
    </row>
    <row r="934" spans="2:137" ht="13.2">
      <c r="B934" s="30" t="str">
        <f t="shared" si="28"/>
        <v/>
      </c>
      <c r="C934" s="31" t="str">
        <f t="shared" si="29"/>
        <v/>
      </c>
      <c r="D934" s="32"/>
      <c r="E934" s="33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3"/>
      <c r="R934" s="33"/>
      <c r="S934" s="33"/>
      <c r="T934" s="33"/>
      <c r="U934" s="35"/>
      <c r="V934" s="36"/>
      <c r="W934" s="37"/>
      <c r="X934" s="34"/>
      <c r="Y934" s="33"/>
      <c r="Z934" s="33"/>
      <c r="AA934" s="33"/>
      <c r="AB934" s="35"/>
      <c r="AC934" s="34"/>
      <c r="AD934" s="34"/>
      <c r="AE934" s="34"/>
      <c r="AF934" s="34"/>
      <c r="AG934" s="34"/>
      <c r="AH934" s="33"/>
      <c r="AI934" s="33"/>
      <c r="AJ934" s="34"/>
      <c r="AK934" s="33"/>
      <c r="AL934" s="33"/>
      <c r="AM934" s="33"/>
      <c r="AN934" s="34"/>
      <c r="AO934" s="34"/>
      <c r="AP934" s="33"/>
      <c r="AQ934" s="34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4"/>
      <c r="BM934" s="33"/>
      <c r="BN934" s="33"/>
      <c r="BO934" s="33"/>
      <c r="BP934" s="33"/>
      <c r="BQ934" s="33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5"/>
      <c r="CC934" s="33"/>
      <c r="CD934" s="33"/>
      <c r="CE934" s="33"/>
      <c r="CF934" s="34"/>
      <c r="CG934" s="33"/>
      <c r="CH934" s="33"/>
      <c r="CI934" s="33"/>
      <c r="CJ934" s="33"/>
      <c r="CK934" s="33"/>
      <c r="CL934" s="33"/>
      <c r="CM934" s="33"/>
      <c r="CN934" s="33"/>
      <c r="CO934" s="33"/>
      <c r="CP934" s="33"/>
      <c r="CQ934" s="33"/>
      <c r="CR934" s="33"/>
      <c r="CS934" s="33"/>
      <c r="CT934" s="33"/>
      <c r="CU934" s="33"/>
      <c r="CV934" s="33"/>
      <c r="CW934" s="33"/>
      <c r="CX934" s="33"/>
      <c r="CY934" s="33"/>
      <c r="CZ934" s="34"/>
      <c r="DA934" s="33"/>
      <c r="DB934" s="33"/>
      <c r="DC934" s="33"/>
      <c r="DD934" s="33"/>
      <c r="DE934" s="33"/>
      <c r="DF934" s="33"/>
      <c r="DG934" s="33"/>
      <c r="DH934" s="33"/>
      <c r="DI934" s="33"/>
      <c r="DJ934" s="33"/>
      <c r="DK934" s="33"/>
      <c r="DL934" s="33"/>
      <c r="DM934" s="34"/>
      <c r="DN934" s="34"/>
      <c r="DO934" s="33"/>
      <c r="DP934" s="33"/>
      <c r="DQ934" s="33"/>
      <c r="DR934" s="33"/>
      <c r="DS934" s="33"/>
      <c r="DT934" s="33"/>
      <c r="DU934" s="33"/>
      <c r="DV934" s="33"/>
      <c r="DW934" s="33"/>
      <c r="DX934" s="33"/>
      <c r="DY934" s="33"/>
      <c r="DZ934" s="33"/>
      <c r="EA934" s="33"/>
      <c r="EB934" s="33"/>
      <c r="EC934" s="33"/>
      <c r="ED934" s="33"/>
      <c r="EE934" s="33"/>
      <c r="EF934" s="33"/>
      <c r="EG934" s="38"/>
    </row>
    <row r="935" spans="2:137" ht="13.2">
      <c r="B935" s="30" t="str">
        <f t="shared" si="28"/>
        <v/>
      </c>
      <c r="C935" s="31" t="str">
        <f t="shared" si="29"/>
        <v/>
      </c>
      <c r="D935" s="32"/>
      <c r="E935" s="33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3"/>
      <c r="R935" s="33"/>
      <c r="S935" s="33"/>
      <c r="T935" s="33"/>
      <c r="U935" s="35"/>
      <c r="V935" s="36"/>
      <c r="W935" s="37"/>
      <c r="X935" s="34"/>
      <c r="Y935" s="33"/>
      <c r="Z935" s="33"/>
      <c r="AA935" s="33"/>
      <c r="AB935" s="35"/>
      <c r="AC935" s="34"/>
      <c r="AD935" s="34"/>
      <c r="AE935" s="34"/>
      <c r="AF935" s="34"/>
      <c r="AG935" s="34"/>
      <c r="AH935" s="33"/>
      <c r="AI935" s="33"/>
      <c r="AJ935" s="34"/>
      <c r="AK935" s="33"/>
      <c r="AL935" s="33"/>
      <c r="AM935" s="33"/>
      <c r="AN935" s="34"/>
      <c r="AO935" s="34"/>
      <c r="AP935" s="33"/>
      <c r="AQ935" s="34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4"/>
      <c r="BM935" s="33"/>
      <c r="BN935" s="33"/>
      <c r="BO935" s="33"/>
      <c r="BP935" s="33"/>
      <c r="BQ935" s="33"/>
      <c r="BR935" s="33"/>
      <c r="BS935" s="33"/>
      <c r="BT935" s="33"/>
      <c r="BU935" s="33"/>
      <c r="BV935" s="33"/>
      <c r="BW935" s="33"/>
      <c r="BX935" s="33"/>
      <c r="BY935" s="33"/>
      <c r="BZ935" s="33"/>
      <c r="CA935" s="33"/>
      <c r="CB935" s="35"/>
      <c r="CC935" s="33"/>
      <c r="CD935" s="33"/>
      <c r="CE935" s="33"/>
      <c r="CF935" s="34"/>
      <c r="CG935" s="33"/>
      <c r="CH935" s="33"/>
      <c r="CI935" s="33"/>
      <c r="CJ935" s="33"/>
      <c r="CK935" s="33"/>
      <c r="CL935" s="33"/>
      <c r="CM935" s="33"/>
      <c r="CN935" s="33"/>
      <c r="CO935" s="33"/>
      <c r="CP935" s="33"/>
      <c r="CQ935" s="33"/>
      <c r="CR935" s="33"/>
      <c r="CS935" s="33"/>
      <c r="CT935" s="33"/>
      <c r="CU935" s="33"/>
      <c r="CV935" s="33"/>
      <c r="CW935" s="33"/>
      <c r="CX935" s="33"/>
      <c r="CY935" s="33"/>
      <c r="CZ935" s="34"/>
      <c r="DA935" s="33"/>
      <c r="DB935" s="33"/>
      <c r="DC935" s="33"/>
      <c r="DD935" s="33"/>
      <c r="DE935" s="33"/>
      <c r="DF935" s="33"/>
      <c r="DG935" s="33"/>
      <c r="DH935" s="33"/>
      <c r="DI935" s="33"/>
      <c r="DJ935" s="33"/>
      <c r="DK935" s="33"/>
      <c r="DL935" s="33"/>
      <c r="DM935" s="34"/>
      <c r="DN935" s="34"/>
      <c r="DO935" s="33"/>
      <c r="DP935" s="33"/>
      <c r="DQ935" s="33"/>
      <c r="DR935" s="33"/>
      <c r="DS935" s="33"/>
      <c r="DT935" s="33"/>
      <c r="DU935" s="33"/>
      <c r="DV935" s="33"/>
      <c r="DW935" s="33"/>
      <c r="DX935" s="33"/>
      <c r="DY935" s="33"/>
      <c r="DZ935" s="33"/>
      <c r="EA935" s="33"/>
      <c r="EB935" s="33"/>
      <c r="EC935" s="33"/>
      <c r="ED935" s="33"/>
      <c r="EE935" s="33"/>
      <c r="EF935" s="33"/>
      <c r="EG935" s="38"/>
    </row>
    <row r="936" spans="2:137" ht="13.2">
      <c r="B936" s="30" t="str">
        <f t="shared" si="28"/>
        <v/>
      </c>
      <c r="C936" s="31" t="str">
        <f t="shared" si="29"/>
        <v/>
      </c>
      <c r="D936" s="32"/>
      <c r="E936" s="33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3"/>
      <c r="R936" s="33"/>
      <c r="S936" s="33"/>
      <c r="T936" s="33"/>
      <c r="U936" s="35"/>
      <c r="V936" s="36"/>
      <c r="W936" s="37"/>
      <c r="X936" s="34"/>
      <c r="Y936" s="33"/>
      <c r="Z936" s="33"/>
      <c r="AA936" s="33"/>
      <c r="AB936" s="35"/>
      <c r="AC936" s="34"/>
      <c r="AD936" s="34"/>
      <c r="AE936" s="34"/>
      <c r="AF936" s="34"/>
      <c r="AG936" s="34"/>
      <c r="AH936" s="33"/>
      <c r="AI936" s="33"/>
      <c r="AJ936" s="34"/>
      <c r="AK936" s="33"/>
      <c r="AL936" s="33"/>
      <c r="AM936" s="33"/>
      <c r="AN936" s="34"/>
      <c r="AO936" s="34"/>
      <c r="AP936" s="33"/>
      <c r="AQ936" s="34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4"/>
      <c r="BM936" s="33"/>
      <c r="BN936" s="33"/>
      <c r="BO936" s="33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5"/>
      <c r="CC936" s="33"/>
      <c r="CD936" s="33"/>
      <c r="CE936" s="33"/>
      <c r="CF936" s="34"/>
      <c r="CG936" s="33"/>
      <c r="CH936" s="33"/>
      <c r="CI936" s="33"/>
      <c r="CJ936" s="33"/>
      <c r="CK936" s="33"/>
      <c r="CL936" s="33"/>
      <c r="CM936" s="33"/>
      <c r="CN936" s="33"/>
      <c r="CO936" s="33"/>
      <c r="CP936" s="33"/>
      <c r="CQ936" s="33"/>
      <c r="CR936" s="33"/>
      <c r="CS936" s="33"/>
      <c r="CT936" s="33"/>
      <c r="CU936" s="33"/>
      <c r="CV936" s="33"/>
      <c r="CW936" s="33"/>
      <c r="CX936" s="33"/>
      <c r="CY936" s="33"/>
      <c r="CZ936" s="34"/>
      <c r="DA936" s="33"/>
      <c r="DB936" s="33"/>
      <c r="DC936" s="33"/>
      <c r="DD936" s="33"/>
      <c r="DE936" s="33"/>
      <c r="DF936" s="33"/>
      <c r="DG936" s="33"/>
      <c r="DH936" s="33"/>
      <c r="DI936" s="33"/>
      <c r="DJ936" s="33"/>
      <c r="DK936" s="33"/>
      <c r="DL936" s="33"/>
      <c r="DM936" s="34"/>
      <c r="DN936" s="34"/>
      <c r="DO936" s="33"/>
      <c r="DP936" s="33"/>
      <c r="DQ936" s="33"/>
      <c r="DR936" s="33"/>
      <c r="DS936" s="33"/>
      <c r="DT936" s="33"/>
      <c r="DU936" s="33"/>
      <c r="DV936" s="33"/>
      <c r="DW936" s="33"/>
      <c r="DX936" s="33"/>
      <c r="DY936" s="33"/>
      <c r="DZ936" s="33"/>
      <c r="EA936" s="33"/>
      <c r="EB936" s="33"/>
      <c r="EC936" s="33"/>
      <c r="ED936" s="33"/>
      <c r="EE936" s="33"/>
      <c r="EF936" s="33"/>
      <c r="EG936" s="38"/>
    </row>
    <row r="937" spans="2:137" ht="13.2">
      <c r="B937" s="30" t="str">
        <f t="shared" si="28"/>
        <v/>
      </c>
      <c r="C937" s="31" t="str">
        <f t="shared" si="29"/>
        <v/>
      </c>
      <c r="D937" s="32"/>
      <c r="E937" s="33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3"/>
      <c r="R937" s="33"/>
      <c r="S937" s="33"/>
      <c r="T937" s="33"/>
      <c r="U937" s="35"/>
      <c r="V937" s="36"/>
      <c r="W937" s="37"/>
      <c r="X937" s="34"/>
      <c r="Y937" s="33"/>
      <c r="Z937" s="33"/>
      <c r="AA937" s="33"/>
      <c r="AB937" s="35"/>
      <c r="AC937" s="34"/>
      <c r="AD937" s="34"/>
      <c r="AE937" s="34"/>
      <c r="AF937" s="34"/>
      <c r="AG937" s="34"/>
      <c r="AH937" s="33"/>
      <c r="AI937" s="33"/>
      <c r="AJ937" s="34"/>
      <c r="AK937" s="33"/>
      <c r="AL937" s="33"/>
      <c r="AM937" s="33"/>
      <c r="AN937" s="34"/>
      <c r="AO937" s="34"/>
      <c r="AP937" s="33"/>
      <c r="AQ937" s="34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4"/>
      <c r="BM937" s="33"/>
      <c r="BN937" s="33"/>
      <c r="BO937" s="33"/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5"/>
      <c r="CC937" s="33"/>
      <c r="CD937" s="33"/>
      <c r="CE937" s="33"/>
      <c r="CF937" s="34"/>
      <c r="CG937" s="33"/>
      <c r="CH937" s="33"/>
      <c r="CI937" s="33"/>
      <c r="CJ937" s="33"/>
      <c r="CK937" s="33"/>
      <c r="CL937" s="33"/>
      <c r="CM937" s="33"/>
      <c r="CN937" s="33"/>
      <c r="CO937" s="33"/>
      <c r="CP937" s="33"/>
      <c r="CQ937" s="33"/>
      <c r="CR937" s="33"/>
      <c r="CS937" s="33"/>
      <c r="CT937" s="33"/>
      <c r="CU937" s="33"/>
      <c r="CV937" s="33"/>
      <c r="CW937" s="33"/>
      <c r="CX937" s="33"/>
      <c r="CY937" s="33"/>
      <c r="CZ937" s="34"/>
      <c r="DA937" s="33"/>
      <c r="DB937" s="33"/>
      <c r="DC937" s="33"/>
      <c r="DD937" s="33"/>
      <c r="DE937" s="33"/>
      <c r="DF937" s="33"/>
      <c r="DG937" s="33"/>
      <c r="DH937" s="33"/>
      <c r="DI937" s="33"/>
      <c r="DJ937" s="33"/>
      <c r="DK937" s="33"/>
      <c r="DL937" s="33"/>
      <c r="DM937" s="34"/>
      <c r="DN937" s="34"/>
      <c r="DO937" s="33"/>
      <c r="DP937" s="33"/>
      <c r="DQ937" s="33"/>
      <c r="DR937" s="33"/>
      <c r="DS937" s="33"/>
      <c r="DT937" s="33"/>
      <c r="DU937" s="33"/>
      <c r="DV937" s="33"/>
      <c r="DW937" s="33"/>
      <c r="DX937" s="33"/>
      <c r="DY937" s="33"/>
      <c r="DZ937" s="33"/>
      <c r="EA937" s="33"/>
      <c r="EB937" s="33"/>
      <c r="EC937" s="33"/>
      <c r="ED937" s="33"/>
      <c r="EE937" s="33"/>
      <c r="EF937" s="33"/>
      <c r="EG937" s="38"/>
    </row>
    <row r="938" spans="2:137" ht="13.2">
      <c r="B938" s="30" t="str">
        <f t="shared" si="28"/>
        <v/>
      </c>
      <c r="C938" s="31" t="str">
        <f t="shared" si="29"/>
        <v/>
      </c>
      <c r="D938" s="32"/>
      <c r="E938" s="33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3"/>
      <c r="R938" s="33"/>
      <c r="S938" s="33"/>
      <c r="T938" s="33"/>
      <c r="U938" s="35"/>
      <c r="V938" s="36"/>
      <c r="W938" s="37"/>
      <c r="X938" s="34"/>
      <c r="Y938" s="33"/>
      <c r="Z938" s="33"/>
      <c r="AA938" s="33"/>
      <c r="AB938" s="35"/>
      <c r="AC938" s="34"/>
      <c r="AD938" s="34"/>
      <c r="AE938" s="34"/>
      <c r="AF938" s="34"/>
      <c r="AG938" s="34"/>
      <c r="AH938" s="33"/>
      <c r="AI938" s="33"/>
      <c r="AJ938" s="34"/>
      <c r="AK938" s="33"/>
      <c r="AL938" s="33"/>
      <c r="AM938" s="33"/>
      <c r="AN938" s="34"/>
      <c r="AO938" s="34"/>
      <c r="AP938" s="33"/>
      <c r="AQ938" s="34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4"/>
      <c r="BM938" s="33"/>
      <c r="BN938" s="33"/>
      <c r="BO938" s="33"/>
      <c r="BP938" s="33"/>
      <c r="BQ938" s="33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5"/>
      <c r="CC938" s="33"/>
      <c r="CD938" s="33"/>
      <c r="CE938" s="33"/>
      <c r="CF938" s="34"/>
      <c r="CG938" s="33"/>
      <c r="CH938" s="33"/>
      <c r="CI938" s="33"/>
      <c r="CJ938" s="33"/>
      <c r="CK938" s="33"/>
      <c r="CL938" s="33"/>
      <c r="CM938" s="33"/>
      <c r="CN938" s="33"/>
      <c r="CO938" s="33"/>
      <c r="CP938" s="33"/>
      <c r="CQ938" s="33"/>
      <c r="CR938" s="33"/>
      <c r="CS938" s="33"/>
      <c r="CT938" s="33"/>
      <c r="CU938" s="33"/>
      <c r="CV938" s="33"/>
      <c r="CW938" s="33"/>
      <c r="CX938" s="33"/>
      <c r="CY938" s="33"/>
      <c r="CZ938" s="34"/>
      <c r="DA938" s="33"/>
      <c r="DB938" s="33"/>
      <c r="DC938" s="33"/>
      <c r="DD938" s="33"/>
      <c r="DE938" s="33"/>
      <c r="DF938" s="33"/>
      <c r="DG938" s="33"/>
      <c r="DH938" s="33"/>
      <c r="DI938" s="33"/>
      <c r="DJ938" s="33"/>
      <c r="DK938" s="33"/>
      <c r="DL938" s="33"/>
      <c r="DM938" s="34"/>
      <c r="DN938" s="34"/>
      <c r="DO938" s="33"/>
      <c r="DP938" s="33"/>
      <c r="DQ938" s="33"/>
      <c r="DR938" s="33"/>
      <c r="DS938" s="33"/>
      <c r="DT938" s="33"/>
      <c r="DU938" s="33"/>
      <c r="DV938" s="33"/>
      <c r="DW938" s="33"/>
      <c r="DX938" s="33"/>
      <c r="DY938" s="33"/>
      <c r="DZ938" s="33"/>
      <c r="EA938" s="33"/>
      <c r="EB938" s="33"/>
      <c r="EC938" s="33"/>
      <c r="ED938" s="33"/>
      <c r="EE938" s="33"/>
      <c r="EF938" s="33"/>
      <c r="EG938" s="38"/>
    </row>
    <row r="939" spans="2:137" ht="13.2">
      <c r="B939" s="30" t="str">
        <f t="shared" si="28"/>
        <v/>
      </c>
      <c r="C939" s="31" t="str">
        <f t="shared" si="29"/>
        <v/>
      </c>
      <c r="D939" s="32"/>
      <c r="E939" s="33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3"/>
      <c r="R939" s="33"/>
      <c r="S939" s="33"/>
      <c r="T939" s="33"/>
      <c r="U939" s="35"/>
      <c r="V939" s="36"/>
      <c r="W939" s="37"/>
      <c r="X939" s="34"/>
      <c r="Y939" s="33"/>
      <c r="Z939" s="33"/>
      <c r="AA939" s="33"/>
      <c r="AB939" s="35"/>
      <c r="AC939" s="34"/>
      <c r="AD939" s="34"/>
      <c r="AE939" s="34"/>
      <c r="AF939" s="34"/>
      <c r="AG939" s="34"/>
      <c r="AH939" s="33"/>
      <c r="AI939" s="33"/>
      <c r="AJ939" s="34"/>
      <c r="AK939" s="33"/>
      <c r="AL939" s="33"/>
      <c r="AM939" s="33"/>
      <c r="AN939" s="34"/>
      <c r="AO939" s="34"/>
      <c r="AP939" s="33"/>
      <c r="AQ939" s="34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4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5"/>
      <c r="CC939" s="33"/>
      <c r="CD939" s="33"/>
      <c r="CE939" s="33"/>
      <c r="CF939" s="34"/>
      <c r="CG939" s="33"/>
      <c r="CH939" s="33"/>
      <c r="CI939" s="33"/>
      <c r="CJ939" s="33"/>
      <c r="CK939" s="33"/>
      <c r="CL939" s="33"/>
      <c r="CM939" s="33"/>
      <c r="CN939" s="33"/>
      <c r="CO939" s="33"/>
      <c r="CP939" s="33"/>
      <c r="CQ939" s="33"/>
      <c r="CR939" s="33"/>
      <c r="CS939" s="33"/>
      <c r="CT939" s="33"/>
      <c r="CU939" s="33"/>
      <c r="CV939" s="33"/>
      <c r="CW939" s="33"/>
      <c r="CX939" s="33"/>
      <c r="CY939" s="33"/>
      <c r="CZ939" s="34"/>
      <c r="DA939" s="33"/>
      <c r="DB939" s="33"/>
      <c r="DC939" s="33"/>
      <c r="DD939" s="33"/>
      <c r="DE939" s="33"/>
      <c r="DF939" s="33"/>
      <c r="DG939" s="33"/>
      <c r="DH939" s="33"/>
      <c r="DI939" s="33"/>
      <c r="DJ939" s="33"/>
      <c r="DK939" s="33"/>
      <c r="DL939" s="33"/>
      <c r="DM939" s="34"/>
      <c r="DN939" s="34"/>
      <c r="DO939" s="33"/>
      <c r="DP939" s="33"/>
      <c r="DQ939" s="33"/>
      <c r="DR939" s="33"/>
      <c r="DS939" s="33"/>
      <c r="DT939" s="33"/>
      <c r="DU939" s="33"/>
      <c r="DV939" s="33"/>
      <c r="DW939" s="33"/>
      <c r="DX939" s="33"/>
      <c r="DY939" s="33"/>
      <c r="DZ939" s="33"/>
      <c r="EA939" s="33"/>
      <c r="EB939" s="33"/>
      <c r="EC939" s="33"/>
      <c r="ED939" s="33"/>
      <c r="EE939" s="33"/>
      <c r="EF939" s="33"/>
      <c r="EG939" s="38"/>
    </row>
    <row r="940" spans="2:137" ht="13.2">
      <c r="B940" s="30" t="str">
        <f t="shared" si="28"/>
        <v/>
      </c>
      <c r="C940" s="31" t="str">
        <f t="shared" si="29"/>
        <v/>
      </c>
      <c r="D940" s="32"/>
      <c r="E940" s="33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3"/>
      <c r="R940" s="33"/>
      <c r="S940" s="33"/>
      <c r="T940" s="33"/>
      <c r="U940" s="35"/>
      <c r="V940" s="36"/>
      <c r="W940" s="37"/>
      <c r="X940" s="34"/>
      <c r="Y940" s="33"/>
      <c r="Z940" s="33"/>
      <c r="AA940" s="33"/>
      <c r="AB940" s="35"/>
      <c r="AC940" s="34"/>
      <c r="AD940" s="34"/>
      <c r="AE940" s="34"/>
      <c r="AF940" s="34"/>
      <c r="AG940" s="34"/>
      <c r="AH940" s="33"/>
      <c r="AI940" s="33"/>
      <c r="AJ940" s="34"/>
      <c r="AK940" s="33"/>
      <c r="AL940" s="33"/>
      <c r="AM940" s="33"/>
      <c r="AN940" s="34"/>
      <c r="AO940" s="34"/>
      <c r="AP940" s="33"/>
      <c r="AQ940" s="34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4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5"/>
      <c r="CC940" s="33"/>
      <c r="CD940" s="33"/>
      <c r="CE940" s="33"/>
      <c r="CF940" s="34"/>
      <c r="CG940" s="33"/>
      <c r="CH940" s="33"/>
      <c r="CI940" s="33"/>
      <c r="CJ940" s="33"/>
      <c r="CK940" s="33"/>
      <c r="CL940" s="33"/>
      <c r="CM940" s="33"/>
      <c r="CN940" s="33"/>
      <c r="CO940" s="33"/>
      <c r="CP940" s="33"/>
      <c r="CQ940" s="33"/>
      <c r="CR940" s="33"/>
      <c r="CS940" s="33"/>
      <c r="CT940" s="33"/>
      <c r="CU940" s="33"/>
      <c r="CV940" s="33"/>
      <c r="CW940" s="33"/>
      <c r="CX940" s="33"/>
      <c r="CY940" s="33"/>
      <c r="CZ940" s="34"/>
      <c r="DA940" s="33"/>
      <c r="DB940" s="33"/>
      <c r="DC940" s="33"/>
      <c r="DD940" s="33"/>
      <c r="DE940" s="33"/>
      <c r="DF940" s="33"/>
      <c r="DG940" s="33"/>
      <c r="DH940" s="33"/>
      <c r="DI940" s="33"/>
      <c r="DJ940" s="33"/>
      <c r="DK940" s="33"/>
      <c r="DL940" s="33"/>
      <c r="DM940" s="34"/>
      <c r="DN940" s="34"/>
      <c r="DO940" s="33"/>
      <c r="DP940" s="33"/>
      <c r="DQ940" s="33"/>
      <c r="DR940" s="33"/>
      <c r="DS940" s="33"/>
      <c r="DT940" s="33"/>
      <c r="DU940" s="33"/>
      <c r="DV940" s="33"/>
      <c r="DW940" s="33"/>
      <c r="DX940" s="33"/>
      <c r="DY940" s="33"/>
      <c r="DZ940" s="33"/>
      <c r="EA940" s="33"/>
      <c r="EB940" s="33"/>
      <c r="EC940" s="33"/>
      <c r="ED940" s="33"/>
      <c r="EE940" s="33"/>
      <c r="EF940" s="33"/>
      <c r="EG940" s="38"/>
    </row>
    <row r="941" spans="2:137" ht="13.2">
      <c r="B941" s="30" t="str">
        <f t="shared" si="28"/>
        <v/>
      </c>
      <c r="C941" s="31" t="str">
        <f t="shared" si="29"/>
        <v/>
      </c>
      <c r="D941" s="32"/>
      <c r="E941" s="33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3"/>
      <c r="R941" s="33"/>
      <c r="S941" s="33"/>
      <c r="T941" s="33"/>
      <c r="U941" s="35"/>
      <c r="V941" s="36"/>
      <c r="W941" s="37"/>
      <c r="X941" s="34"/>
      <c r="Y941" s="33"/>
      <c r="Z941" s="33"/>
      <c r="AA941" s="33"/>
      <c r="AB941" s="35"/>
      <c r="AC941" s="34"/>
      <c r="AD941" s="34"/>
      <c r="AE941" s="34"/>
      <c r="AF941" s="34"/>
      <c r="AG941" s="34"/>
      <c r="AH941" s="33"/>
      <c r="AI941" s="33"/>
      <c r="AJ941" s="34"/>
      <c r="AK941" s="33"/>
      <c r="AL941" s="33"/>
      <c r="AM941" s="33"/>
      <c r="AN941" s="34"/>
      <c r="AO941" s="34"/>
      <c r="AP941" s="33"/>
      <c r="AQ941" s="34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4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5"/>
      <c r="CC941" s="33"/>
      <c r="CD941" s="33"/>
      <c r="CE941" s="33"/>
      <c r="CF941" s="34"/>
      <c r="CG941" s="33"/>
      <c r="CH941" s="33"/>
      <c r="CI941" s="33"/>
      <c r="CJ941" s="33"/>
      <c r="CK941" s="33"/>
      <c r="CL941" s="33"/>
      <c r="CM941" s="33"/>
      <c r="CN941" s="33"/>
      <c r="CO941" s="33"/>
      <c r="CP941" s="33"/>
      <c r="CQ941" s="33"/>
      <c r="CR941" s="33"/>
      <c r="CS941" s="33"/>
      <c r="CT941" s="33"/>
      <c r="CU941" s="33"/>
      <c r="CV941" s="33"/>
      <c r="CW941" s="33"/>
      <c r="CX941" s="33"/>
      <c r="CY941" s="33"/>
      <c r="CZ941" s="34"/>
      <c r="DA941" s="33"/>
      <c r="DB941" s="33"/>
      <c r="DC941" s="33"/>
      <c r="DD941" s="33"/>
      <c r="DE941" s="33"/>
      <c r="DF941" s="33"/>
      <c r="DG941" s="33"/>
      <c r="DH941" s="33"/>
      <c r="DI941" s="33"/>
      <c r="DJ941" s="33"/>
      <c r="DK941" s="33"/>
      <c r="DL941" s="33"/>
      <c r="DM941" s="34"/>
      <c r="DN941" s="34"/>
      <c r="DO941" s="33"/>
      <c r="DP941" s="33"/>
      <c r="DQ941" s="33"/>
      <c r="DR941" s="33"/>
      <c r="DS941" s="33"/>
      <c r="DT941" s="33"/>
      <c r="DU941" s="33"/>
      <c r="DV941" s="33"/>
      <c r="DW941" s="33"/>
      <c r="DX941" s="33"/>
      <c r="DY941" s="33"/>
      <c r="DZ941" s="33"/>
      <c r="EA941" s="33"/>
      <c r="EB941" s="33"/>
      <c r="EC941" s="33"/>
      <c r="ED941" s="33"/>
      <c r="EE941" s="33"/>
      <c r="EF941" s="33"/>
      <c r="EG941" s="38"/>
    </row>
    <row r="942" spans="2:137" ht="13.2">
      <c r="B942" s="30" t="str">
        <f t="shared" si="28"/>
        <v/>
      </c>
      <c r="C942" s="31" t="str">
        <f t="shared" si="29"/>
        <v/>
      </c>
      <c r="D942" s="32"/>
      <c r="E942" s="33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3"/>
      <c r="R942" s="33"/>
      <c r="S942" s="33"/>
      <c r="T942" s="33"/>
      <c r="U942" s="35"/>
      <c r="V942" s="36"/>
      <c r="W942" s="37"/>
      <c r="X942" s="34"/>
      <c r="Y942" s="33"/>
      <c r="Z942" s="33"/>
      <c r="AA942" s="33"/>
      <c r="AB942" s="35"/>
      <c r="AC942" s="34"/>
      <c r="AD942" s="34"/>
      <c r="AE942" s="34"/>
      <c r="AF942" s="34"/>
      <c r="AG942" s="34"/>
      <c r="AH942" s="33"/>
      <c r="AI942" s="33"/>
      <c r="AJ942" s="34"/>
      <c r="AK942" s="33"/>
      <c r="AL942" s="33"/>
      <c r="AM942" s="33"/>
      <c r="AN942" s="34"/>
      <c r="AO942" s="34"/>
      <c r="AP942" s="33"/>
      <c r="AQ942" s="34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4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5"/>
      <c r="CC942" s="33"/>
      <c r="CD942" s="33"/>
      <c r="CE942" s="33"/>
      <c r="CF942" s="34"/>
      <c r="CG942" s="33"/>
      <c r="CH942" s="33"/>
      <c r="CI942" s="33"/>
      <c r="CJ942" s="33"/>
      <c r="CK942" s="33"/>
      <c r="CL942" s="33"/>
      <c r="CM942" s="33"/>
      <c r="CN942" s="33"/>
      <c r="CO942" s="33"/>
      <c r="CP942" s="33"/>
      <c r="CQ942" s="33"/>
      <c r="CR942" s="33"/>
      <c r="CS942" s="33"/>
      <c r="CT942" s="33"/>
      <c r="CU942" s="33"/>
      <c r="CV942" s="33"/>
      <c r="CW942" s="33"/>
      <c r="CX942" s="33"/>
      <c r="CY942" s="33"/>
      <c r="CZ942" s="34"/>
      <c r="DA942" s="33"/>
      <c r="DB942" s="33"/>
      <c r="DC942" s="33"/>
      <c r="DD942" s="33"/>
      <c r="DE942" s="33"/>
      <c r="DF942" s="33"/>
      <c r="DG942" s="33"/>
      <c r="DH942" s="33"/>
      <c r="DI942" s="33"/>
      <c r="DJ942" s="33"/>
      <c r="DK942" s="33"/>
      <c r="DL942" s="33"/>
      <c r="DM942" s="34"/>
      <c r="DN942" s="34"/>
      <c r="DO942" s="33"/>
      <c r="DP942" s="33"/>
      <c r="DQ942" s="33"/>
      <c r="DR942" s="33"/>
      <c r="DS942" s="33"/>
      <c r="DT942" s="33"/>
      <c r="DU942" s="33"/>
      <c r="DV942" s="33"/>
      <c r="DW942" s="33"/>
      <c r="DX942" s="33"/>
      <c r="DY942" s="33"/>
      <c r="DZ942" s="33"/>
      <c r="EA942" s="33"/>
      <c r="EB942" s="33"/>
      <c r="EC942" s="33"/>
      <c r="ED942" s="33"/>
      <c r="EE942" s="33"/>
      <c r="EF942" s="33"/>
      <c r="EG942" s="38"/>
    </row>
    <row r="943" spans="2:137" ht="13.2">
      <c r="B943" s="30" t="str">
        <f t="shared" si="28"/>
        <v/>
      </c>
      <c r="C943" s="31" t="str">
        <f t="shared" si="29"/>
        <v/>
      </c>
      <c r="D943" s="32"/>
      <c r="E943" s="33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3"/>
      <c r="R943" s="33"/>
      <c r="S943" s="33"/>
      <c r="T943" s="33"/>
      <c r="U943" s="35"/>
      <c r="V943" s="36"/>
      <c r="W943" s="37"/>
      <c r="X943" s="34"/>
      <c r="Y943" s="33"/>
      <c r="Z943" s="33"/>
      <c r="AA943" s="33"/>
      <c r="AB943" s="35"/>
      <c r="AC943" s="34"/>
      <c r="AD943" s="34"/>
      <c r="AE943" s="34"/>
      <c r="AF943" s="34"/>
      <c r="AG943" s="34"/>
      <c r="AH943" s="33"/>
      <c r="AI943" s="33"/>
      <c r="AJ943" s="34"/>
      <c r="AK943" s="33"/>
      <c r="AL943" s="33"/>
      <c r="AM943" s="33"/>
      <c r="AN943" s="34"/>
      <c r="AO943" s="34"/>
      <c r="AP943" s="33"/>
      <c r="AQ943" s="34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4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5"/>
      <c r="CC943" s="33"/>
      <c r="CD943" s="33"/>
      <c r="CE943" s="33"/>
      <c r="CF943" s="34"/>
      <c r="CG943" s="33"/>
      <c r="CH943" s="33"/>
      <c r="CI943" s="33"/>
      <c r="CJ943" s="33"/>
      <c r="CK943" s="33"/>
      <c r="CL943" s="33"/>
      <c r="CM943" s="33"/>
      <c r="CN943" s="33"/>
      <c r="CO943" s="33"/>
      <c r="CP943" s="33"/>
      <c r="CQ943" s="33"/>
      <c r="CR943" s="33"/>
      <c r="CS943" s="33"/>
      <c r="CT943" s="33"/>
      <c r="CU943" s="33"/>
      <c r="CV943" s="33"/>
      <c r="CW943" s="33"/>
      <c r="CX943" s="33"/>
      <c r="CY943" s="33"/>
      <c r="CZ943" s="34"/>
      <c r="DA943" s="33"/>
      <c r="DB943" s="33"/>
      <c r="DC943" s="33"/>
      <c r="DD943" s="33"/>
      <c r="DE943" s="33"/>
      <c r="DF943" s="33"/>
      <c r="DG943" s="33"/>
      <c r="DH943" s="33"/>
      <c r="DI943" s="33"/>
      <c r="DJ943" s="33"/>
      <c r="DK943" s="33"/>
      <c r="DL943" s="33"/>
      <c r="DM943" s="34"/>
      <c r="DN943" s="34"/>
      <c r="DO943" s="33"/>
      <c r="DP943" s="33"/>
      <c r="DQ943" s="33"/>
      <c r="DR943" s="33"/>
      <c r="DS943" s="33"/>
      <c r="DT943" s="33"/>
      <c r="DU943" s="33"/>
      <c r="DV943" s="33"/>
      <c r="DW943" s="33"/>
      <c r="DX943" s="33"/>
      <c r="DY943" s="33"/>
      <c r="DZ943" s="33"/>
      <c r="EA943" s="33"/>
      <c r="EB943" s="33"/>
      <c r="EC943" s="33"/>
      <c r="ED943" s="33"/>
      <c r="EE943" s="33"/>
      <c r="EF943" s="33"/>
      <c r="EG943" s="38"/>
    </row>
    <row r="944" spans="2:137" ht="13.2">
      <c r="B944" s="30" t="str">
        <f t="shared" si="28"/>
        <v/>
      </c>
      <c r="C944" s="31" t="str">
        <f t="shared" si="29"/>
        <v/>
      </c>
      <c r="D944" s="32"/>
      <c r="E944" s="33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3"/>
      <c r="R944" s="33"/>
      <c r="S944" s="33"/>
      <c r="T944" s="33"/>
      <c r="U944" s="35"/>
      <c r="V944" s="36"/>
      <c r="W944" s="37"/>
      <c r="X944" s="34"/>
      <c r="Y944" s="33"/>
      <c r="Z944" s="33"/>
      <c r="AA944" s="33"/>
      <c r="AB944" s="35"/>
      <c r="AC944" s="34"/>
      <c r="AD944" s="34"/>
      <c r="AE944" s="34"/>
      <c r="AF944" s="34"/>
      <c r="AG944" s="34"/>
      <c r="AH944" s="33"/>
      <c r="AI944" s="33"/>
      <c r="AJ944" s="34"/>
      <c r="AK944" s="33"/>
      <c r="AL944" s="33"/>
      <c r="AM944" s="33"/>
      <c r="AN944" s="34"/>
      <c r="AO944" s="34"/>
      <c r="AP944" s="33"/>
      <c r="AQ944" s="34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4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5"/>
      <c r="CC944" s="33"/>
      <c r="CD944" s="33"/>
      <c r="CE944" s="33"/>
      <c r="CF944" s="34"/>
      <c r="CG944" s="33"/>
      <c r="CH944" s="33"/>
      <c r="CI944" s="33"/>
      <c r="CJ944" s="33"/>
      <c r="CK944" s="33"/>
      <c r="CL944" s="33"/>
      <c r="CM944" s="33"/>
      <c r="CN944" s="33"/>
      <c r="CO944" s="33"/>
      <c r="CP944" s="33"/>
      <c r="CQ944" s="33"/>
      <c r="CR944" s="33"/>
      <c r="CS944" s="33"/>
      <c r="CT944" s="33"/>
      <c r="CU944" s="33"/>
      <c r="CV944" s="33"/>
      <c r="CW944" s="33"/>
      <c r="CX944" s="33"/>
      <c r="CY944" s="33"/>
      <c r="CZ944" s="34"/>
      <c r="DA944" s="33"/>
      <c r="DB944" s="33"/>
      <c r="DC944" s="33"/>
      <c r="DD944" s="33"/>
      <c r="DE944" s="33"/>
      <c r="DF944" s="33"/>
      <c r="DG944" s="33"/>
      <c r="DH944" s="33"/>
      <c r="DI944" s="33"/>
      <c r="DJ944" s="33"/>
      <c r="DK944" s="33"/>
      <c r="DL944" s="33"/>
      <c r="DM944" s="34"/>
      <c r="DN944" s="34"/>
      <c r="DO944" s="33"/>
      <c r="DP944" s="33"/>
      <c r="DQ944" s="33"/>
      <c r="DR944" s="33"/>
      <c r="DS944" s="33"/>
      <c r="DT944" s="33"/>
      <c r="DU944" s="33"/>
      <c r="DV944" s="33"/>
      <c r="DW944" s="33"/>
      <c r="DX944" s="33"/>
      <c r="DY944" s="33"/>
      <c r="DZ944" s="33"/>
      <c r="EA944" s="33"/>
      <c r="EB944" s="33"/>
      <c r="EC944" s="33"/>
      <c r="ED944" s="33"/>
      <c r="EE944" s="33"/>
      <c r="EF944" s="33"/>
      <c r="EG944" s="38"/>
    </row>
    <row r="945" spans="2:137" ht="13.2">
      <c r="B945" s="30" t="str">
        <f t="shared" si="28"/>
        <v/>
      </c>
      <c r="C945" s="31" t="str">
        <f t="shared" si="29"/>
        <v/>
      </c>
      <c r="D945" s="32"/>
      <c r="E945" s="33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3"/>
      <c r="R945" s="33"/>
      <c r="S945" s="33"/>
      <c r="T945" s="33"/>
      <c r="U945" s="35"/>
      <c r="V945" s="36"/>
      <c r="W945" s="37"/>
      <c r="X945" s="34"/>
      <c r="Y945" s="33"/>
      <c r="Z945" s="33"/>
      <c r="AA945" s="33"/>
      <c r="AB945" s="35"/>
      <c r="AC945" s="34"/>
      <c r="AD945" s="34"/>
      <c r="AE945" s="34"/>
      <c r="AF945" s="34"/>
      <c r="AG945" s="34"/>
      <c r="AH945" s="33"/>
      <c r="AI945" s="33"/>
      <c r="AJ945" s="34"/>
      <c r="AK945" s="33"/>
      <c r="AL945" s="33"/>
      <c r="AM945" s="33"/>
      <c r="AN945" s="34"/>
      <c r="AO945" s="34"/>
      <c r="AP945" s="33"/>
      <c r="AQ945" s="34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4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5"/>
      <c r="CC945" s="33"/>
      <c r="CD945" s="33"/>
      <c r="CE945" s="33"/>
      <c r="CF945" s="34"/>
      <c r="CG945" s="33"/>
      <c r="CH945" s="33"/>
      <c r="CI945" s="33"/>
      <c r="CJ945" s="33"/>
      <c r="CK945" s="33"/>
      <c r="CL945" s="33"/>
      <c r="CM945" s="33"/>
      <c r="CN945" s="33"/>
      <c r="CO945" s="33"/>
      <c r="CP945" s="33"/>
      <c r="CQ945" s="33"/>
      <c r="CR945" s="33"/>
      <c r="CS945" s="33"/>
      <c r="CT945" s="33"/>
      <c r="CU945" s="33"/>
      <c r="CV945" s="33"/>
      <c r="CW945" s="33"/>
      <c r="CX945" s="33"/>
      <c r="CY945" s="33"/>
      <c r="CZ945" s="34"/>
      <c r="DA945" s="33"/>
      <c r="DB945" s="33"/>
      <c r="DC945" s="33"/>
      <c r="DD945" s="33"/>
      <c r="DE945" s="33"/>
      <c r="DF945" s="33"/>
      <c r="DG945" s="33"/>
      <c r="DH945" s="33"/>
      <c r="DI945" s="33"/>
      <c r="DJ945" s="33"/>
      <c r="DK945" s="33"/>
      <c r="DL945" s="33"/>
      <c r="DM945" s="34"/>
      <c r="DN945" s="34"/>
      <c r="DO945" s="33"/>
      <c r="DP945" s="33"/>
      <c r="DQ945" s="33"/>
      <c r="DR945" s="33"/>
      <c r="DS945" s="33"/>
      <c r="DT945" s="33"/>
      <c r="DU945" s="33"/>
      <c r="DV945" s="33"/>
      <c r="DW945" s="33"/>
      <c r="DX945" s="33"/>
      <c r="DY945" s="33"/>
      <c r="DZ945" s="33"/>
      <c r="EA945" s="33"/>
      <c r="EB945" s="33"/>
      <c r="EC945" s="33"/>
      <c r="ED945" s="33"/>
      <c r="EE945" s="33"/>
      <c r="EF945" s="33"/>
      <c r="EG945" s="38"/>
    </row>
    <row r="946" spans="2:137" ht="13.2">
      <c r="B946" s="30" t="str">
        <f t="shared" si="28"/>
        <v/>
      </c>
      <c r="C946" s="31" t="str">
        <f t="shared" si="29"/>
        <v/>
      </c>
      <c r="D946" s="32"/>
      <c r="E946" s="33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3"/>
      <c r="R946" s="33"/>
      <c r="S946" s="33"/>
      <c r="T946" s="33"/>
      <c r="U946" s="35"/>
      <c r="V946" s="36"/>
      <c r="W946" s="37"/>
      <c r="X946" s="34"/>
      <c r="Y946" s="33"/>
      <c r="Z946" s="33"/>
      <c r="AA946" s="33"/>
      <c r="AB946" s="35"/>
      <c r="AC946" s="34"/>
      <c r="AD946" s="34"/>
      <c r="AE946" s="34"/>
      <c r="AF946" s="34"/>
      <c r="AG946" s="34"/>
      <c r="AH946" s="33"/>
      <c r="AI946" s="33"/>
      <c r="AJ946" s="34"/>
      <c r="AK946" s="33"/>
      <c r="AL946" s="33"/>
      <c r="AM946" s="33"/>
      <c r="AN946" s="34"/>
      <c r="AO946" s="34"/>
      <c r="AP946" s="33"/>
      <c r="AQ946" s="34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4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5"/>
      <c r="CC946" s="33"/>
      <c r="CD946" s="33"/>
      <c r="CE946" s="33"/>
      <c r="CF946" s="34"/>
      <c r="CG946" s="33"/>
      <c r="CH946" s="33"/>
      <c r="CI946" s="33"/>
      <c r="CJ946" s="33"/>
      <c r="CK946" s="33"/>
      <c r="CL946" s="33"/>
      <c r="CM946" s="33"/>
      <c r="CN946" s="33"/>
      <c r="CO946" s="33"/>
      <c r="CP946" s="33"/>
      <c r="CQ946" s="33"/>
      <c r="CR946" s="33"/>
      <c r="CS946" s="33"/>
      <c r="CT946" s="33"/>
      <c r="CU946" s="33"/>
      <c r="CV946" s="33"/>
      <c r="CW946" s="33"/>
      <c r="CX946" s="33"/>
      <c r="CY946" s="33"/>
      <c r="CZ946" s="34"/>
      <c r="DA946" s="33"/>
      <c r="DB946" s="33"/>
      <c r="DC946" s="33"/>
      <c r="DD946" s="33"/>
      <c r="DE946" s="33"/>
      <c r="DF946" s="33"/>
      <c r="DG946" s="33"/>
      <c r="DH946" s="33"/>
      <c r="DI946" s="33"/>
      <c r="DJ946" s="33"/>
      <c r="DK946" s="33"/>
      <c r="DL946" s="33"/>
      <c r="DM946" s="34"/>
      <c r="DN946" s="34"/>
      <c r="DO946" s="33"/>
      <c r="DP946" s="33"/>
      <c r="DQ946" s="33"/>
      <c r="DR946" s="33"/>
      <c r="DS946" s="33"/>
      <c r="DT946" s="33"/>
      <c r="DU946" s="33"/>
      <c r="DV946" s="33"/>
      <c r="DW946" s="33"/>
      <c r="DX946" s="33"/>
      <c r="DY946" s="33"/>
      <c r="DZ946" s="33"/>
      <c r="EA946" s="33"/>
      <c r="EB946" s="33"/>
      <c r="EC946" s="33"/>
      <c r="ED946" s="33"/>
      <c r="EE946" s="33"/>
      <c r="EF946" s="33"/>
      <c r="EG946" s="38"/>
    </row>
    <row r="947" spans="2:137" ht="13.2">
      <c r="B947" s="30" t="str">
        <f t="shared" si="28"/>
        <v/>
      </c>
      <c r="C947" s="31" t="str">
        <f t="shared" si="29"/>
        <v/>
      </c>
      <c r="D947" s="32"/>
      <c r="E947" s="33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3"/>
      <c r="R947" s="33"/>
      <c r="S947" s="33"/>
      <c r="T947" s="33"/>
      <c r="U947" s="35"/>
      <c r="V947" s="36"/>
      <c r="W947" s="37"/>
      <c r="X947" s="34"/>
      <c r="Y947" s="33"/>
      <c r="Z947" s="33"/>
      <c r="AA947" s="33"/>
      <c r="AB947" s="35"/>
      <c r="AC947" s="34"/>
      <c r="AD947" s="34"/>
      <c r="AE947" s="34"/>
      <c r="AF947" s="34"/>
      <c r="AG947" s="34"/>
      <c r="AH947" s="33"/>
      <c r="AI947" s="33"/>
      <c r="AJ947" s="34"/>
      <c r="AK947" s="33"/>
      <c r="AL947" s="33"/>
      <c r="AM947" s="33"/>
      <c r="AN947" s="34"/>
      <c r="AO947" s="34"/>
      <c r="AP947" s="33"/>
      <c r="AQ947" s="34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4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3"/>
      <c r="CA947" s="33"/>
      <c r="CB947" s="35"/>
      <c r="CC947" s="33"/>
      <c r="CD947" s="33"/>
      <c r="CE947" s="33"/>
      <c r="CF947" s="34"/>
      <c r="CG947" s="33"/>
      <c r="CH947" s="33"/>
      <c r="CI947" s="33"/>
      <c r="CJ947" s="33"/>
      <c r="CK947" s="33"/>
      <c r="CL947" s="33"/>
      <c r="CM947" s="33"/>
      <c r="CN947" s="33"/>
      <c r="CO947" s="33"/>
      <c r="CP947" s="33"/>
      <c r="CQ947" s="33"/>
      <c r="CR947" s="33"/>
      <c r="CS947" s="33"/>
      <c r="CT947" s="33"/>
      <c r="CU947" s="33"/>
      <c r="CV947" s="33"/>
      <c r="CW947" s="33"/>
      <c r="CX947" s="33"/>
      <c r="CY947" s="33"/>
      <c r="CZ947" s="34"/>
      <c r="DA947" s="33"/>
      <c r="DB947" s="33"/>
      <c r="DC947" s="33"/>
      <c r="DD947" s="33"/>
      <c r="DE947" s="33"/>
      <c r="DF947" s="33"/>
      <c r="DG947" s="33"/>
      <c r="DH947" s="33"/>
      <c r="DI947" s="33"/>
      <c r="DJ947" s="33"/>
      <c r="DK947" s="33"/>
      <c r="DL947" s="33"/>
      <c r="DM947" s="34"/>
      <c r="DN947" s="34"/>
      <c r="DO947" s="33"/>
      <c r="DP947" s="33"/>
      <c r="DQ947" s="33"/>
      <c r="DR947" s="33"/>
      <c r="DS947" s="33"/>
      <c r="DT947" s="33"/>
      <c r="DU947" s="33"/>
      <c r="DV947" s="33"/>
      <c r="DW947" s="33"/>
      <c r="DX947" s="33"/>
      <c r="DY947" s="33"/>
      <c r="DZ947" s="33"/>
      <c r="EA947" s="33"/>
      <c r="EB947" s="33"/>
      <c r="EC947" s="33"/>
      <c r="ED947" s="33"/>
      <c r="EE947" s="33"/>
      <c r="EF947" s="33"/>
      <c r="EG947" s="38"/>
    </row>
    <row r="948" spans="2:137" ht="13.2">
      <c r="B948" s="30" t="str">
        <f t="shared" si="28"/>
        <v/>
      </c>
      <c r="C948" s="31" t="str">
        <f t="shared" si="29"/>
        <v/>
      </c>
      <c r="D948" s="32"/>
      <c r="E948" s="33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3"/>
      <c r="R948" s="33"/>
      <c r="S948" s="33"/>
      <c r="T948" s="33"/>
      <c r="U948" s="35"/>
      <c r="V948" s="36"/>
      <c r="W948" s="37"/>
      <c r="X948" s="34"/>
      <c r="Y948" s="33"/>
      <c r="Z948" s="33"/>
      <c r="AA948" s="33"/>
      <c r="AB948" s="35"/>
      <c r="AC948" s="34"/>
      <c r="AD948" s="34"/>
      <c r="AE948" s="34"/>
      <c r="AF948" s="34"/>
      <c r="AG948" s="34"/>
      <c r="AH948" s="33"/>
      <c r="AI948" s="33"/>
      <c r="AJ948" s="34"/>
      <c r="AK948" s="33"/>
      <c r="AL948" s="33"/>
      <c r="AM948" s="33"/>
      <c r="AN948" s="34"/>
      <c r="AO948" s="34"/>
      <c r="AP948" s="33"/>
      <c r="AQ948" s="34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4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  <c r="BZ948" s="33"/>
      <c r="CA948" s="33"/>
      <c r="CB948" s="35"/>
      <c r="CC948" s="33"/>
      <c r="CD948" s="33"/>
      <c r="CE948" s="33"/>
      <c r="CF948" s="34"/>
      <c r="CG948" s="33"/>
      <c r="CH948" s="33"/>
      <c r="CI948" s="33"/>
      <c r="CJ948" s="33"/>
      <c r="CK948" s="33"/>
      <c r="CL948" s="33"/>
      <c r="CM948" s="33"/>
      <c r="CN948" s="33"/>
      <c r="CO948" s="33"/>
      <c r="CP948" s="33"/>
      <c r="CQ948" s="33"/>
      <c r="CR948" s="33"/>
      <c r="CS948" s="33"/>
      <c r="CT948" s="33"/>
      <c r="CU948" s="33"/>
      <c r="CV948" s="33"/>
      <c r="CW948" s="33"/>
      <c r="CX948" s="33"/>
      <c r="CY948" s="33"/>
      <c r="CZ948" s="34"/>
      <c r="DA948" s="33"/>
      <c r="DB948" s="33"/>
      <c r="DC948" s="33"/>
      <c r="DD948" s="33"/>
      <c r="DE948" s="33"/>
      <c r="DF948" s="33"/>
      <c r="DG948" s="33"/>
      <c r="DH948" s="33"/>
      <c r="DI948" s="33"/>
      <c r="DJ948" s="33"/>
      <c r="DK948" s="33"/>
      <c r="DL948" s="33"/>
      <c r="DM948" s="34"/>
      <c r="DN948" s="34"/>
      <c r="DO948" s="33"/>
      <c r="DP948" s="33"/>
      <c r="DQ948" s="33"/>
      <c r="DR948" s="33"/>
      <c r="DS948" s="33"/>
      <c r="DT948" s="33"/>
      <c r="DU948" s="33"/>
      <c r="DV948" s="33"/>
      <c r="DW948" s="33"/>
      <c r="DX948" s="33"/>
      <c r="DY948" s="33"/>
      <c r="DZ948" s="33"/>
      <c r="EA948" s="33"/>
      <c r="EB948" s="33"/>
      <c r="EC948" s="33"/>
      <c r="ED948" s="33"/>
      <c r="EE948" s="33"/>
      <c r="EF948" s="33"/>
      <c r="EG948" s="38"/>
    </row>
    <row r="949" spans="2:137" ht="13.2">
      <c r="B949" s="30" t="str">
        <f t="shared" si="28"/>
        <v/>
      </c>
      <c r="C949" s="31" t="str">
        <f t="shared" si="29"/>
        <v/>
      </c>
      <c r="D949" s="32"/>
      <c r="E949" s="33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3"/>
      <c r="R949" s="33"/>
      <c r="S949" s="33"/>
      <c r="T949" s="33"/>
      <c r="U949" s="35"/>
      <c r="V949" s="36"/>
      <c r="W949" s="37"/>
      <c r="X949" s="34"/>
      <c r="Y949" s="33"/>
      <c r="Z949" s="33"/>
      <c r="AA949" s="33"/>
      <c r="AB949" s="35"/>
      <c r="AC949" s="34"/>
      <c r="AD949" s="34"/>
      <c r="AE949" s="34"/>
      <c r="AF949" s="34"/>
      <c r="AG949" s="34"/>
      <c r="AH949" s="33"/>
      <c r="AI949" s="33"/>
      <c r="AJ949" s="34"/>
      <c r="AK949" s="33"/>
      <c r="AL949" s="33"/>
      <c r="AM949" s="33"/>
      <c r="AN949" s="34"/>
      <c r="AO949" s="34"/>
      <c r="AP949" s="33"/>
      <c r="AQ949" s="34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4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5"/>
      <c r="CC949" s="33"/>
      <c r="CD949" s="33"/>
      <c r="CE949" s="33"/>
      <c r="CF949" s="34"/>
      <c r="CG949" s="33"/>
      <c r="CH949" s="33"/>
      <c r="CI949" s="33"/>
      <c r="CJ949" s="33"/>
      <c r="CK949" s="33"/>
      <c r="CL949" s="33"/>
      <c r="CM949" s="33"/>
      <c r="CN949" s="33"/>
      <c r="CO949" s="33"/>
      <c r="CP949" s="33"/>
      <c r="CQ949" s="33"/>
      <c r="CR949" s="33"/>
      <c r="CS949" s="33"/>
      <c r="CT949" s="33"/>
      <c r="CU949" s="33"/>
      <c r="CV949" s="33"/>
      <c r="CW949" s="33"/>
      <c r="CX949" s="33"/>
      <c r="CY949" s="33"/>
      <c r="CZ949" s="34"/>
      <c r="DA949" s="33"/>
      <c r="DB949" s="33"/>
      <c r="DC949" s="33"/>
      <c r="DD949" s="33"/>
      <c r="DE949" s="33"/>
      <c r="DF949" s="33"/>
      <c r="DG949" s="33"/>
      <c r="DH949" s="33"/>
      <c r="DI949" s="33"/>
      <c r="DJ949" s="33"/>
      <c r="DK949" s="33"/>
      <c r="DL949" s="33"/>
      <c r="DM949" s="34"/>
      <c r="DN949" s="34"/>
      <c r="DO949" s="33"/>
      <c r="DP949" s="33"/>
      <c r="DQ949" s="33"/>
      <c r="DR949" s="33"/>
      <c r="DS949" s="33"/>
      <c r="DT949" s="33"/>
      <c r="DU949" s="33"/>
      <c r="DV949" s="33"/>
      <c r="DW949" s="33"/>
      <c r="DX949" s="33"/>
      <c r="DY949" s="33"/>
      <c r="DZ949" s="33"/>
      <c r="EA949" s="33"/>
      <c r="EB949" s="33"/>
      <c r="EC949" s="33"/>
      <c r="ED949" s="33"/>
      <c r="EE949" s="33"/>
      <c r="EF949" s="33"/>
      <c r="EG949" s="38"/>
    </row>
    <row r="950" spans="2:137" ht="13.2">
      <c r="B950" s="30" t="str">
        <f t="shared" si="28"/>
        <v/>
      </c>
      <c r="C950" s="31" t="str">
        <f t="shared" si="29"/>
        <v/>
      </c>
      <c r="D950" s="32"/>
      <c r="E950" s="33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3"/>
      <c r="R950" s="33"/>
      <c r="S950" s="33"/>
      <c r="T950" s="33"/>
      <c r="U950" s="35"/>
      <c r="V950" s="36"/>
      <c r="W950" s="37"/>
      <c r="X950" s="34"/>
      <c r="Y950" s="33"/>
      <c r="Z950" s="33"/>
      <c r="AA950" s="33"/>
      <c r="AB950" s="35"/>
      <c r="AC950" s="34"/>
      <c r="AD950" s="34"/>
      <c r="AE950" s="34"/>
      <c r="AF950" s="34"/>
      <c r="AG950" s="34"/>
      <c r="AH950" s="33"/>
      <c r="AI950" s="33"/>
      <c r="AJ950" s="34"/>
      <c r="AK950" s="33"/>
      <c r="AL950" s="33"/>
      <c r="AM950" s="33"/>
      <c r="AN950" s="34"/>
      <c r="AO950" s="34"/>
      <c r="AP950" s="33"/>
      <c r="AQ950" s="34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4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5"/>
      <c r="CC950" s="33"/>
      <c r="CD950" s="33"/>
      <c r="CE950" s="33"/>
      <c r="CF950" s="34"/>
      <c r="CG950" s="33"/>
      <c r="CH950" s="33"/>
      <c r="CI950" s="33"/>
      <c r="CJ950" s="33"/>
      <c r="CK950" s="33"/>
      <c r="CL950" s="33"/>
      <c r="CM950" s="33"/>
      <c r="CN950" s="33"/>
      <c r="CO950" s="33"/>
      <c r="CP950" s="33"/>
      <c r="CQ950" s="33"/>
      <c r="CR950" s="33"/>
      <c r="CS950" s="33"/>
      <c r="CT950" s="33"/>
      <c r="CU950" s="33"/>
      <c r="CV950" s="33"/>
      <c r="CW950" s="33"/>
      <c r="CX950" s="33"/>
      <c r="CY950" s="33"/>
      <c r="CZ950" s="34"/>
      <c r="DA950" s="33"/>
      <c r="DB950" s="33"/>
      <c r="DC950" s="33"/>
      <c r="DD950" s="33"/>
      <c r="DE950" s="33"/>
      <c r="DF950" s="33"/>
      <c r="DG950" s="33"/>
      <c r="DH950" s="33"/>
      <c r="DI950" s="33"/>
      <c r="DJ950" s="33"/>
      <c r="DK950" s="33"/>
      <c r="DL950" s="33"/>
      <c r="DM950" s="34"/>
      <c r="DN950" s="34"/>
      <c r="DO950" s="33"/>
      <c r="DP950" s="33"/>
      <c r="DQ950" s="33"/>
      <c r="DR950" s="33"/>
      <c r="DS950" s="33"/>
      <c r="DT950" s="33"/>
      <c r="DU950" s="33"/>
      <c r="DV950" s="33"/>
      <c r="DW950" s="33"/>
      <c r="DX950" s="33"/>
      <c r="DY950" s="33"/>
      <c r="DZ950" s="33"/>
      <c r="EA950" s="33"/>
      <c r="EB950" s="33"/>
      <c r="EC950" s="33"/>
      <c r="ED950" s="33"/>
      <c r="EE950" s="33"/>
      <c r="EF950" s="33"/>
      <c r="EG950" s="38"/>
    </row>
    <row r="951" spans="2:137" ht="13.2">
      <c r="B951" s="30" t="str">
        <f t="shared" si="28"/>
        <v/>
      </c>
      <c r="C951" s="31" t="str">
        <f t="shared" si="29"/>
        <v/>
      </c>
      <c r="D951" s="32"/>
      <c r="E951" s="33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3"/>
      <c r="R951" s="33"/>
      <c r="S951" s="33"/>
      <c r="T951" s="33"/>
      <c r="U951" s="35"/>
      <c r="V951" s="36"/>
      <c r="W951" s="37"/>
      <c r="X951" s="34"/>
      <c r="Y951" s="33"/>
      <c r="Z951" s="33"/>
      <c r="AA951" s="33"/>
      <c r="AB951" s="35"/>
      <c r="AC951" s="34"/>
      <c r="AD951" s="34"/>
      <c r="AE951" s="34"/>
      <c r="AF951" s="34"/>
      <c r="AG951" s="34"/>
      <c r="AH951" s="33"/>
      <c r="AI951" s="33"/>
      <c r="AJ951" s="34"/>
      <c r="AK951" s="33"/>
      <c r="AL951" s="33"/>
      <c r="AM951" s="33"/>
      <c r="AN951" s="34"/>
      <c r="AO951" s="34"/>
      <c r="AP951" s="33"/>
      <c r="AQ951" s="34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4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5"/>
      <c r="CC951" s="33"/>
      <c r="CD951" s="33"/>
      <c r="CE951" s="33"/>
      <c r="CF951" s="34"/>
      <c r="CG951" s="33"/>
      <c r="CH951" s="33"/>
      <c r="CI951" s="33"/>
      <c r="CJ951" s="33"/>
      <c r="CK951" s="33"/>
      <c r="CL951" s="33"/>
      <c r="CM951" s="33"/>
      <c r="CN951" s="33"/>
      <c r="CO951" s="33"/>
      <c r="CP951" s="33"/>
      <c r="CQ951" s="33"/>
      <c r="CR951" s="33"/>
      <c r="CS951" s="33"/>
      <c r="CT951" s="33"/>
      <c r="CU951" s="33"/>
      <c r="CV951" s="33"/>
      <c r="CW951" s="33"/>
      <c r="CX951" s="33"/>
      <c r="CY951" s="33"/>
      <c r="CZ951" s="34"/>
      <c r="DA951" s="33"/>
      <c r="DB951" s="33"/>
      <c r="DC951" s="33"/>
      <c r="DD951" s="33"/>
      <c r="DE951" s="33"/>
      <c r="DF951" s="33"/>
      <c r="DG951" s="33"/>
      <c r="DH951" s="33"/>
      <c r="DI951" s="33"/>
      <c r="DJ951" s="33"/>
      <c r="DK951" s="33"/>
      <c r="DL951" s="33"/>
      <c r="DM951" s="34"/>
      <c r="DN951" s="34"/>
      <c r="DO951" s="33"/>
      <c r="DP951" s="33"/>
      <c r="DQ951" s="33"/>
      <c r="DR951" s="33"/>
      <c r="DS951" s="33"/>
      <c r="DT951" s="33"/>
      <c r="DU951" s="33"/>
      <c r="DV951" s="33"/>
      <c r="DW951" s="33"/>
      <c r="DX951" s="33"/>
      <c r="DY951" s="33"/>
      <c r="DZ951" s="33"/>
      <c r="EA951" s="33"/>
      <c r="EB951" s="33"/>
      <c r="EC951" s="33"/>
      <c r="ED951" s="33"/>
      <c r="EE951" s="33"/>
      <c r="EF951" s="33"/>
      <c r="EG951" s="38"/>
    </row>
    <row r="952" spans="2:137" ht="13.2">
      <c r="B952" s="30" t="str">
        <f t="shared" si="28"/>
        <v/>
      </c>
      <c r="C952" s="31" t="str">
        <f t="shared" si="29"/>
        <v/>
      </c>
      <c r="D952" s="32"/>
      <c r="E952" s="33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3"/>
      <c r="R952" s="33"/>
      <c r="S952" s="33"/>
      <c r="T952" s="33"/>
      <c r="U952" s="35"/>
      <c r="V952" s="36"/>
      <c r="W952" s="37"/>
      <c r="X952" s="34"/>
      <c r="Y952" s="33"/>
      <c r="Z952" s="33"/>
      <c r="AA952" s="33"/>
      <c r="AB952" s="35"/>
      <c r="AC952" s="34"/>
      <c r="AD952" s="34"/>
      <c r="AE952" s="34"/>
      <c r="AF952" s="34"/>
      <c r="AG952" s="34"/>
      <c r="AH952" s="33"/>
      <c r="AI952" s="33"/>
      <c r="AJ952" s="34"/>
      <c r="AK952" s="33"/>
      <c r="AL952" s="33"/>
      <c r="AM952" s="33"/>
      <c r="AN952" s="34"/>
      <c r="AO952" s="34"/>
      <c r="AP952" s="33"/>
      <c r="AQ952" s="34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4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5"/>
      <c r="CC952" s="33"/>
      <c r="CD952" s="33"/>
      <c r="CE952" s="33"/>
      <c r="CF952" s="34"/>
      <c r="CG952" s="33"/>
      <c r="CH952" s="33"/>
      <c r="CI952" s="33"/>
      <c r="CJ952" s="33"/>
      <c r="CK952" s="33"/>
      <c r="CL952" s="33"/>
      <c r="CM952" s="33"/>
      <c r="CN952" s="33"/>
      <c r="CO952" s="33"/>
      <c r="CP952" s="33"/>
      <c r="CQ952" s="33"/>
      <c r="CR952" s="33"/>
      <c r="CS952" s="33"/>
      <c r="CT952" s="33"/>
      <c r="CU952" s="33"/>
      <c r="CV952" s="33"/>
      <c r="CW952" s="33"/>
      <c r="CX952" s="33"/>
      <c r="CY952" s="33"/>
      <c r="CZ952" s="34"/>
      <c r="DA952" s="33"/>
      <c r="DB952" s="33"/>
      <c r="DC952" s="33"/>
      <c r="DD952" s="33"/>
      <c r="DE952" s="33"/>
      <c r="DF952" s="33"/>
      <c r="DG952" s="33"/>
      <c r="DH952" s="33"/>
      <c r="DI952" s="33"/>
      <c r="DJ952" s="33"/>
      <c r="DK952" s="33"/>
      <c r="DL952" s="33"/>
      <c r="DM952" s="34"/>
      <c r="DN952" s="34"/>
      <c r="DO952" s="33"/>
      <c r="DP952" s="33"/>
      <c r="DQ952" s="33"/>
      <c r="DR952" s="33"/>
      <c r="DS952" s="33"/>
      <c r="DT952" s="33"/>
      <c r="DU952" s="33"/>
      <c r="DV952" s="33"/>
      <c r="DW952" s="33"/>
      <c r="DX952" s="33"/>
      <c r="DY952" s="33"/>
      <c r="DZ952" s="33"/>
      <c r="EA952" s="33"/>
      <c r="EB952" s="33"/>
      <c r="EC952" s="33"/>
      <c r="ED952" s="33"/>
      <c r="EE952" s="33"/>
      <c r="EF952" s="33"/>
      <c r="EG952" s="38"/>
    </row>
    <row r="953" spans="2:137" ht="13.2">
      <c r="B953" s="30" t="str">
        <f t="shared" si="28"/>
        <v/>
      </c>
      <c r="C953" s="31" t="str">
        <f t="shared" si="29"/>
        <v/>
      </c>
      <c r="D953" s="32"/>
      <c r="E953" s="33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3"/>
      <c r="R953" s="33"/>
      <c r="S953" s="33"/>
      <c r="T953" s="33"/>
      <c r="U953" s="35"/>
      <c r="V953" s="36"/>
      <c r="W953" s="37"/>
      <c r="X953" s="34"/>
      <c r="Y953" s="33"/>
      <c r="Z953" s="33"/>
      <c r="AA953" s="33"/>
      <c r="AB953" s="35"/>
      <c r="AC953" s="34"/>
      <c r="AD953" s="34"/>
      <c r="AE953" s="34"/>
      <c r="AF953" s="34"/>
      <c r="AG953" s="34"/>
      <c r="AH953" s="33"/>
      <c r="AI953" s="33"/>
      <c r="AJ953" s="34"/>
      <c r="AK953" s="33"/>
      <c r="AL953" s="33"/>
      <c r="AM953" s="33"/>
      <c r="AN953" s="34"/>
      <c r="AO953" s="34"/>
      <c r="AP953" s="33"/>
      <c r="AQ953" s="34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4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5"/>
      <c r="CC953" s="33"/>
      <c r="CD953" s="33"/>
      <c r="CE953" s="33"/>
      <c r="CF953" s="34"/>
      <c r="CG953" s="33"/>
      <c r="CH953" s="33"/>
      <c r="CI953" s="33"/>
      <c r="CJ953" s="33"/>
      <c r="CK953" s="33"/>
      <c r="CL953" s="33"/>
      <c r="CM953" s="33"/>
      <c r="CN953" s="33"/>
      <c r="CO953" s="33"/>
      <c r="CP953" s="33"/>
      <c r="CQ953" s="33"/>
      <c r="CR953" s="33"/>
      <c r="CS953" s="33"/>
      <c r="CT953" s="33"/>
      <c r="CU953" s="33"/>
      <c r="CV953" s="33"/>
      <c r="CW953" s="33"/>
      <c r="CX953" s="33"/>
      <c r="CY953" s="33"/>
      <c r="CZ953" s="34"/>
      <c r="DA953" s="33"/>
      <c r="DB953" s="33"/>
      <c r="DC953" s="33"/>
      <c r="DD953" s="33"/>
      <c r="DE953" s="33"/>
      <c r="DF953" s="33"/>
      <c r="DG953" s="33"/>
      <c r="DH953" s="33"/>
      <c r="DI953" s="33"/>
      <c r="DJ953" s="33"/>
      <c r="DK953" s="33"/>
      <c r="DL953" s="33"/>
      <c r="DM953" s="34"/>
      <c r="DN953" s="34"/>
      <c r="DO953" s="33"/>
      <c r="DP953" s="33"/>
      <c r="DQ953" s="33"/>
      <c r="DR953" s="33"/>
      <c r="DS953" s="33"/>
      <c r="DT953" s="33"/>
      <c r="DU953" s="33"/>
      <c r="DV953" s="33"/>
      <c r="DW953" s="33"/>
      <c r="DX953" s="33"/>
      <c r="DY953" s="33"/>
      <c r="DZ953" s="33"/>
      <c r="EA953" s="33"/>
      <c r="EB953" s="33"/>
      <c r="EC953" s="33"/>
      <c r="ED953" s="33"/>
      <c r="EE953" s="33"/>
      <c r="EF953" s="33"/>
      <c r="EG953" s="38"/>
    </row>
    <row r="954" spans="2:137" ht="13.2">
      <c r="B954" s="30" t="str">
        <f t="shared" si="28"/>
        <v/>
      </c>
      <c r="C954" s="31" t="str">
        <f t="shared" si="29"/>
        <v/>
      </c>
      <c r="D954" s="32"/>
      <c r="E954" s="33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3"/>
      <c r="R954" s="33"/>
      <c r="S954" s="33"/>
      <c r="T954" s="33"/>
      <c r="U954" s="35"/>
      <c r="V954" s="36"/>
      <c r="W954" s="37"/>
      <c r="X954" s="34"/>
      <c r="Y954" s="33"/>
      <c r="Z954" s="33"/>
      <c r="AA954" s="33"/>
      <c r="AB954" s="35"/>
      <c r="AC954" s="34"/>
      <c r="AD954" s="34"/>
      <c r="AE954" s="34"/>
      <c r="AF954" s="34"/>
      <c r="AG954" s="34"/>
      <c r="AH954" s="33"/>
      <c r="AI954" s="33"/>
      <c r="AJ954" s="34"/>
      <c r="AK954" s="33"/>
      <c r="AL954" s="33"/>
      <c r="AM954" s="33"/>
      <c r="AN954" s="34"/>
      <c r="AO954" s="34"/>
      <c r="AP954" s="33"/>
      <c r="AQ954" s="34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4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5"/>
      <c r="CC954" s="33"/>
      <c r="CD954" s="33"/>
      <c r="CE954" s="33"/>
      <c r="CF954" s="34"/>
      <c r="CG954" s="33"/>
      <c r="CH954" s="33"/>
      <c r="CI954" s="33"/>
      <c r="CJ954" s="33"/>
      <c r="CK954" s="33"/>
      <c r="CL954" s="33"/>
      <c r="CM954" s="33"/>
      <c r="CN954" s="33"/>
      <c r="CO954" s="33"/>
      <c r="CP954" s="33"/>
      <c r="CQ954" s="33"/>
      <c r="CR954" s="33"/>
      <c r="CS954" s="33"/>
      <c r="CT954" s="33"/>
      <c r="CU954" s="33"/>
      <c r="CV954" s="33"/>
      <c r="CW954" s="33"/>
      <c r="CX954" s="33"/>
      <c r="CY954" s="33"/>
      <c r="CZ954" s="34"/>
      <c r="DA954" s="33"/>
      <c r="DB954" s="33"/>
      <c r="DC954" s="33"/>
      <c r="DD954" s="33"/>
      <c r="DE954" s="33"/>
      <c r="DF954" s="33"/>
      <c r="DG954" s="33"/>
      <c r="DH954" s="33"/>
      <c r="DI954" s="33"/>
      <c r="DJ954" s="33"/>
      <c r="DK954" s="33"/>
      <c r="DL954" s="33"/>
      <c r="DM954" s="34"/>
      <c r="DN954" s="34"/>
      <c r="DO954" s="33"/>
      <c r="DP954" s="33"/>
      <c r="DQ954" s="33"/>
      <c r="DR954" s="33"/>
      <c r="DS954" s="33"/>
      <c r="DT954" s="33"/>
      <c r="DU954" s="33"/>
      <c r="DV954" s="33"/>
      <c r="DW954" s="33"/>
      <c r="DX954" s="33"/>
      <c r="DY954" s="33"/>
      <c r="DZ954" s="33"/>
      <c r="EA954" s="33"/>
      <c r="EB954" s="33"/>
      <c r="EC954" s="33"/>
      <c r="ED954" s="33"/>
      <c r="EE954" s="33"/>
      <c r="EF954" s="33"/>
      <c r="EG954" s="38"/>
    </row>
    <row r="955" spans="2:137" ht="13.2">
      <c r="B955" s="30" t="str">
        <f t="shared" si="28"/>
        <v/>
      </c>
      <c r="C955" s="31" t="str">
        <f t="shared" si="29"/>
        <v/>
      </c>
      <c r="D955" s="32"/>
      <c r="E955" s="33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3"/>
      <c r="R955" s="33"/>
      <c r="S955" s="33"/>
      <c r="T955" s="33"/>
      <c r="U955" s="35"/>
      <c r="V955" s="36"/>
      <c r="W955" s="37"/>
      <c r="X955" s="34"/>
      <c r="Y955" s="33"/>
      <c r="Z955" s="33"/>
      <c r="AA955" s="33"/>
      <c r="AB955" s="35"/>
      <c r="AC955" s="34"/>
      <c r="AD955" s="34"/>
      <c r="AE955" s="34"/>
      <c r="AF955" s="34"/>
      <c r="AG955" s="34"/>
      <c r="AH955" s="33"/>
      <c r="AI955" s="33"/>
      <c r="AJ955" s="34"/>
      <c r="AK955" s="33"/>
      <c r="AL955" s="33"/>
      <c r="AM955" s="33"/>
      <c r="AN955" s="34"/>
      <c r="AO955" s="34"/>
      <c r="AP955" s="33"/>
      <c r="AQ955" s="34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4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5"/>
      <c r="CC955" s="33"/>
      <c r="CD955" s="33"/>
      <c r="CE955" s="33"/>
      <c r="CF955" s="34"/>
      <c r="CG955" s="33"/>
      <c r="CH955" s="33"/>
      <c r="CI955" s="33"/>
      <c r="CJ955" s="33"/>
      <c r="CK955" s="33"/>
      <c r="CL955" s="33"/>
      <c r="CM955" s="33"/>
      <c r="CN955" s="33"/>
      <c r="CO955" s="33"/>
      <c r="CP955" s="33"/>
      <c r="CQ955" s="33"/>
      <c r="CR955" s="33"/>
      <c r="CS955" s="33"/>
      <c r="CT955" s="33"/>
      <c r="CU955" s="33"/>
      <c r="CV955" s="33"/>
      <c r="CW955" s="33"/>
      <c r="CX955" s="33"/>
      <c r="CY955" s="33"/>
      <c r="CZ955" s="34"/>
      <c r="DA955" s="33"/>
      <c r="DB955" s="33"/>
      <c r="DC955" s="33"/>
      <c r="DD955" s="33"/>
      <c r="DE955" s="33"/>
      <c r="DF955" s="33"/>
      <c r="DG955" s="33"/>
      <c r="DH955" s="33"/>
      <c r="DI955" s="33"/>
      <c r="DJ955" s="33"/>
      <c r="DK955" s="33"/>
      <c r="DL955" s="33"/>
      <c r="DM955" s="34"/>
      <c r="DN955" s="34"/>
      <c r="DO955" s="33"/>
      <c r="DP955" s="33"/>
      <c r="DQ955" s="33"/>
      <c r="DR955" s="33"/>
      <c r="DS955" s="33"/>
      <c r="DT955" s="33"/>
      <c r="DU955" s="33"/>
      <c r="DV955" s="33"/>
      <c r="DW955" s="33"/>
      <c r="DX955" s="33"/>
      <c r="DY955" s="33"/>
      <c r="DZ955" s="33"/>
      <c r="EA955" s="33"/>
      <c r="EB955" s="33"/>
      <c r="EC955" s="33"/>
      <c r="ED955" s="33"/>
      <c r="EE955" s="33"/>
      <c r="EF955" s="33"/>
      <c r="EG955" s="38"/>
    </row>
    <row r="956" spans="2:137" ht="13.2">
      <c r="B956" s="30" t="str">
        <f t="shared" si="28"/>
        <v/>
      </c>
      <c r="C956" s="31" t="str">
        <f t="shared" si="29"/>
        <v/>
      </c>
      <c r="D956" s="32"/>
      <c r="E956" s="33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3"/>
      <c r="R956" s="33"/>
      <c r="S956" s="33"/>
      <c r="T956" s="33"/>
      <c r="U956" s="35"/>
      <c r="V956" s="36"/>
      <c r="W956" s="37"/>
      <c r="X956" s="34"/>
      <c r="Y956" s="33"/>
      <c r="Z956" s="33"/>
      <c r="AA956" s="33"/>
      <c r="AB956" s="35"/>
      <c r="AC956" s="34"/>
      <c r="AD956" s="34"/>
      <c r="AE956" s="34"/>
      <c r="AF956" s="34"/>
      <c r="AG956" s="34"/>
      <c r="AH956" s="33"/>
      <c r="AI956" s="33"/>
      <c r="AJ956" s="34"/>
      <c r="AK956" s="33"/>
      <c r="AL956" s="33"/>
      <c r="AM956" s="33"/>
      <c r="AN956" s="34"/>
      <c r="AO956" s="34"/>
      <c r="AP956" s="33"/>
      <c r="AQ956" s="34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4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5"/>
      <c r="CC956" s="33"/>
      <c r="CD956" s="33"/>
      <c r="CE956" s="33"/>
      <c r="CF956" s="34"/>
      <c r="CG956" s="33"/>
      <c r="CH956" s="33"/>
      <c r="CI956" s="33"/>
      <c r="CJ956" s="33"/>
      <c r="CK956" s="33"/>
      <c r="CL956" s="33"/>
      <c r="CM956" s="33"/>
      <c r="CN956" s="33"/>
      <c r="CO956" s="33"/>
      <c r="CP956" s="33"/>
      <c r="CQ956" s="33"/>
      <c r="CR956" s="33"/>
      <c r="CS956" s="33"/>
      <c r="CT956" s="33"/>
      <c r="CU956" s="33"/>
      <c r="CV956" s="33"/>
      <c r="CW956" s="33"/>
      <c r="CX956" s="33"/>
      <c r="CY956" s="33"/>
      <c r="CZ956" s="34"/>
      <c r="DA956" s="33"/>
      <c r="DB956" s="33"/>
      <c r="DC956" s="33"/>
      <c r="DD956" s="33"/>
      <c r="DE956" s="33"/>
      <c r="DF956" s="33"/>
      <c r="DG956" s="33"/>
      <c r="DH956" s="33"/>
      <c r="DI956" s="33"/>
      <c r="DJ956" s="33"/>
      <c r="DK956" s="33"/>
      <c r="DL956" s="33"/>
      <c r="DM956" s="34"/>
      <c r="DN956" s="34"/>
      <c r="DO956" s="33"/>
      <c r="DP956" s="33"/>
      <c r="DQ956" s="33"/>
      <c r="DR956" s="33"/>
      <c r="DS956" s="33"/>
      <c r="DT956" s="33"/>
      <c r="DU956" s="33"/>
      <c r="DV956" s="33"/>
      <c r="DW956" s="33"/>
      <c r="DX956" s="33"/>
      <c r="DY956" s="33"/>
      <c r="DZ956" s="33"/>
      <c r="EA956" s="33"/>
      <c r="EB956" s="33"/>
      <c r="EC956" s="33"/>
      <c r="ED956" s="33"/>
      <c r="EE956" s="33"/>
      <c r="EF956" s="33"/>
      <c r="EG956" s="38"/>
    </row>
    <row r="957" spans="2:137" ht="13.2">
      <c r="B957" s="30" t="str">
        <f t="shared" si="28"/>
        <v/>
      </c>
      <c r="C957" s="31" t="str">
        <f t="shared" si="29"/>
        <v/>
      </c>
      <c r="D957" s="32"/>
      <c r="E957" s="33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3"/>
      <c r="R957" s="33"/>
      <c r="S957" s="33"/>
      <c r="T957" s="33"/>
      <c r="U957" s="35"/>
      <c r="V957" s="36"/>
      <c r="W957" s="37"/>
      <c r="X957" s="34"/>
      <c r="Y957" s="33"/>
      <c r="Z957" s="33"/>
      <c r="AA957" s="33"/>
      <c r="AB957" s="35"/>
      <c r="AC957" s="34"/>
      <c r="AD957" s="34"/>
      <c r="AE957" s="34"/>
      <c r="AF957" s="34"/>
      <c r="AG957" s="34"/>
      <c r="AH957" s="33"/>
      <c r="AI957" s="33"/>
      <c r="AJ957" s="34"/>
      <c r="AK957" s="33"/>
      <c r="AL957" s="33"/>
      <c r="AM957" s="33"/>
      <c r="AN957" s="34"/>
      <c r="AO957" s="34"/>
      <c r="AP957" s="33"/>
      <c r="AQ957" s="34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4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  <c r="BZ957" s="33"/>
      <c r="CA957" s="33"/>
      <c r="CB957" s="35"/>
      <c r="CC957" s="33"/>
      <c r="CD957" s="33"/>
      <c r="CE957" s="33"/>
      <c r="CF957" s="34"/>
      <c r="CG957" s="33"/>
      <c r="CH957" s="33"/>
      <c r="CI957" s="33"/>
      <c r="CJ957" s="33"/>
      <c r="CK957" s="33"/>
      <c r="CL957" s="33"/>
      <c r="CM957" s="33"/>
      <c r="CN957" s="33"/>
      <c r="CO957" s="33"/>
      <c r="CP957" s="33"/>
      <c r="CQ957" s="33"/>
      <c r="CR957" s="33"/>
      <c r="CS957" s="33"/>
      <c r="CT957" s="33"/>
      <c r="CU957" s="33"/>
      <c r="CV957" s="33"/>
      <c r="CW957" s="33"/>
      <c r="CX957" s="33"/>
      <c r="CY957" s="33"/>
      <c r="CZ957" s="34"/>
      <c r="DA957" s="33"/>
      <c r="DB957" s="33"/>
      <c r="DC957" s="33"/>
      <c r="DD957" s="33"/>
      <c r="DE957" s="33"/>
      <c r="DF957" s="33"/>
      <c r="DG957" s="33"/>
      <c r="DH957" s="33"/>
      <c r="DI957" s="33"/>
      <c r="DJ957" s="33"/>
      <c r="DK957" s="33"/>
      <c r="DL957" s="33"/>
      <c r="DM957" s="34"/>
      <c r="DN957" s="34"/>
      <c r="DO957" s="33"/>
      <c r="DP957" s="33"/>
      <c r="DQ957" s="33"/>
      <c r="DR957" s="33"/>
      <c r="DS957" s="33"/>
      <c r="DT957" s="33"/>
      <c r="DU957" s="33"/>
      <c r="DV957" s="33"/>
      <c r="DW957" s="33"/>
      <c r="DX957" s="33"/>
      <c r="DY957" s="33"/>
      <c r="DZ957" s="33"/>
      <c r="EA957" s="33"/>
      <c r="EB957" s="33"/>
      <c r="EC957" s="33"/>
      <c r="ED957" s="33"/>
      <c r="EE957" s="33"/>
      <c r="EF957" s="33"/>
      <c r="EG957" s="38"/>
    </row>
    <row r="958" spans="2:137" ht="13.2">
      <c r="B958" s="30" t="str">
        <f t="shared" si="28"/>
        <v/>
      </c>
      <c r="C958" s="31" t="str">
        <f t="shared" si="29"/>
        <v/>
      </c>
      <c r="D958" s="32"/>
      <c r="E958" s="33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3"/>
      <c r="R958" s="33"/>
      <c r="S958" s="33"/>
      <c r="T958" s="33"/>
      <c r="U958" s="35"/>
      <c r="V958" s="36"/>
      <c r="W958" s="37"/>
      <c r="X958" s="34"/>
      <c r="Y958" s="33"/>
      <c r="Z958" s="33"/>
      <c r="AA958" s="33"/>
      <c r="AB958" s="35"/>
      <c r="AC958" s="34"/>
      <c r="AD958" s="34"/>
      <c r="AE958" s="34"/>
      <c r="AF958" s="34"/>
      <c r="AG958" s="34"/>
      <c r="AH958" s="33"/>
      <c r="AI958" s="33"/>
      <c r="AJ958" s="34"/>
      <c r="AK958" s="33"/>
      <c r="AL958" s="33"/>
      <c r="AM958" s="33"/>
      <c r="AN958" s="34"/>
      <c r="AO958" s="34"/>
      <c r="AP958" s="33"/>
      <c r="AQ958" s="34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4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  <c r="BZ958" s="33"/>
      <c r="CA958" s="33"/>
      <c r="CB958" s="35"/>
      <c r="CC958" s="33"/>
      <c r="CD958" s="33"/>
      <c r="CE958" s="33"/>
      <c r="CF958" s="34"/>
      <c r="CG958" s="33"/>
      <c r="CH958" s="33"/>
      <c r="CI958" s="33"/>
      <c r="CJ958" s="33"/>
      <c r="CK958" s="33"/>
      <c r="CL958" s="33"/>
      <c r="CM958" s="33"/>
      <c r="CN958" s="33"/>
      <c r="CO958" s="33"/>
      <c r="CP958" s="33"/>
      <c r="CQ958" s="33"/>
      <c r="CR958" s="33"/>
      <c r="CS958" s="33"/>
      <c r="CT958" s="33"/>
      <c r="CU958" s="33"/>
      <c r="CV958" s="33"/>
      <c r="CW958" s="33"/>
      <c r="CX958" s="33"/>
      <c r="CY958" s="33"/>
      <c r="CZ958" s="34"/>
      <c r="DA958" s="33"/>
      <c r="DB958" s="33"/>
      <c r="DC958" s="33"/>
      <c r="DD958" s="33"/>
      <c r="DE958" s="33"/>
      <c r="DF958" s="33"/>
      <c r="DG958" s="33"/>
      <c r="DH958" s="33"/>
      <c r="DI958" s="33"/>
      <c r="DJ958" s="33"/>
      <c r="DK958" s="33"/>
      <c r="DL958" s="33"/>
      <c r="DM958" s="34"/>
      <c r="DN958" s="34"/>
      <c r="DO958" s="33"/>
      <c r="DP958" s="33"/>
      <c r="DQ958" s="33"/>
      <c r="DR958" s="33"/>
      <c r="DS958" s="33"/>
      <c r="DT958" s="33"/>
      <c r="DU958" s="33"/>
      <c r="DV958" s="33"/>
      <c r="DW958" s="33"/>
      <c r="DX958" s="33"/>
      <c r="DY958" s="33"/>
      <c r="DZ958" s="33"/>
      <c r="EA958" s="33"/>
      <c r="EB958" s="33"/>
      <c r="EC958" s="33"/>
      <c r="ED958" s="33"/>
      <c r="EE958" s="33"/>
      <c r="EF958" s="33"/>
      <c r="EG958" s="38"/>
    </row>
    <row r="959" spans="2:137" ht="13.2">
      <c r="B959" s="30" t="str">
        <f t="shared" si="28"/>
        <v/>
      </c>
      <c r="C959" s="31" t="str">
        <f t="shared" si="29"/>
        <v/>
      </c>
      <c r="D959" s="32"/>
      <c r="E959" s="33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3"/>
      <c r="R959" s="33"/>
      <c r="S959" s="33"/>
      <c r="T959" s="33"/>
      <c r="U959" s="35"/>
      <c r="V959" s="36"/>
      <c r="W959" s="37"/>
      <c r="X959" s="34"/>
      <c r="Y959" s="33"/>
      <c r="Z959" s="33"/>
      <c r="AA959" s="33"/>
      <c r="AB959" s="35"/>
      <c r="AC959" s="34"/>
      <c r="AD959" s="34"/>
      <c r="AE959" s="34"/>
      <c r="AF959" s="34"/>
      <c r="AG959" s="34"/>
      <c r="AH959" s="33"/>
      <c r="AI959" s="33"/>
      <c r="AJ959" s="34"/>
      <c r="AK959" s="33"/>
      <c r="AL959" s="33"/>
      <c r="AM959" s="33"/>
      <c r="AN959" s="34"/>
      <c r="AO959" s="34"/>
      <c r="AP959" s="33"/>
      <c r="AQ959" s="34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4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5"/>
      <c r="CC959" s="33"/>
      <c r="CD959" s="33"/>
      <c r="CE959" s="33"/>
      <c r="CF959" s="34"/>
      <c r="CG959" s="33"/>
      <c r="CH959" s="33"/>
      <c r="CI959" s="33"/>
      <c r="CJ959" s="33"/>
      <c r="CK959" s="33"/>
      <c r="CL959" s="33"/>
      <c r="CM959" s="33"/>
      <c r="CN959" s="33"/>
      <c r="CO959" s="33"/>
      <c r="CP959" s="33"/>
      <c r="CQ959" s="33"/>
      <c r="CR959" s="33"/>
      <c r="CS959" s="33"/>
      <c r="CT959" s="33"/>
      <c r="CU959" s="33"/>
      <c r="CV959" s="33"/>
      <c r="CW959" s="33"/>
      <c r="CX959" s="33"/>
      <c r="CY959" s="33"/>
      <c r="CZ959" s="34"/>
      <c r="DA959" s="33"/>
      <c r="DB959" s="33"/>
      <c r="DC959" s="33"/>
      <c r="DD959" s="33"/>
      <c r="DE959" s="33"/>
      <c r="DF959" s="33"/>
      <c r="DG959" s="33"/>
      <c r="DH959" s="33"/>
      <c r="DI959" s="33"/>
      <c r="DJ959" s="33"/>
      <c r="DK959" s="33"/>
      <c r="DL959" s="33"/>
      <c r="DM959" s="34"/>
      <c r="DN959" s="34"/>
      <c r="DO959" s="33"/>
      <c r="DP959" s="33"/>
      <c r="DQ959" s="33"/>
      <c r="DR959" s="33"/>
      <c r="DS959" s="33"/>
      <c r="DT959" s="33"/>
      <c r="DU959" s="33"/>
      <c r="DV959" s="33"/>
      <c r="DW959" s="33"/>
      <c r="DX959" s="33"/>
      <c r="DY959" s="33"/>
      <c r="DZ959" s="33"/>
      <c r="EA959" s="33"/>
      <c r="EB959" s="33"/>
      <c r="EC959" s="33"/>
      <c r="ED959" s="33"/>
      <c r="EE959" s="33"/>
      <c r="EF959" s="33"/>
      <c r="EG959" s="38"/>
    </row>
    <row r="960" spans="2:137" ht="13.2">
      <c r="B960" s="30" t="str">
        <f t="shared" si="28"/>
        <v/>
      </c>
      <c r="C960" s="31" t="str">
        <f t="shared" si="29"/>
        <v/>
      </c>
      <c r="D960" s="32"/>
      <c r="E960" s="33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3"/>
      <c r="R960" s="33"/>
      <c r="S960" s="33"/>
      <c r="T960" s="33"/>
      <c r="U960" s="35"/>
      <c r="V960" s="36"/>
      <c r="W960" s="37"/>
      <c r="X960" s="34"/>
      <c r="Y960" s="33"/>
      <c r="Z960" s="33"/>
      <c r="AA960" s="33"/>
      <c r="AB960" s="35"/>
      <c r="AC960" s="34"/>
      <c r="AD960" s="34"/>
      <c r="AE960" s="34"/>
      <c r="AF960" s="34"/>
      <c r="AG960" s="34"/>
      <c r="AH960" s="33"/>
      <c r="AI960" s="33"/>
      <c r="AJ960" s="34"/>
      <c r="AK960" s="33"/>
      <c r="AL960" s="33"/>
      <c r="AM960" s="33"/>
      <c r="AN960" s="34"/>
      <c r="AO960" s="34"/>
      <c r="AP960" s="33"/>
      <c r="AQ960" s="34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4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5"/>
      <c r="CC960" s="33"/>
      <c r="CD960" s="33"/>
      <c r="CE960" s="33"/>
      <c r="CF960" s="34"/>
      <c r="CG960" s="33"/>
      <c r="CH960" s="33"/>
      <c r="CI960" s="33"/>
      <c r="CJ960" s="33"/>
      <c r="CK960" s="33"/>
      <c r="CL960" s="33"/>
      <c r="CM960" s="33"/>
      <c r="CN960" s="33"/>
      <c r="CO960" s="33"/>
      <c r="CP960" s="33"/>
      <c r="CQ960" s="33"/>
      <c r="CR960" s="33"/>
      <c r="CS960" s="33"/>
      <c r="CT960" s="33"/>
      <c r="CU960" s="33"/>
      <c r="CV960" s="33"/>
      <c r="CW960" s="33"/>
      <c r="CX960" s="33"/>
      <c r="CY960" s="33"/>
      <c r="CZ960" s="34"/>
      <c r="DA960" s="33"/>
      <c r="DB960" s="33"/>
      <c r="DC960" s="33"/>
      <c r="DD960" s="33"/>
      <c r="DE960" s="33"/>
      <c r="DF960" s="33"/>
      <c r="DG960" s="33"/>
      <c r="DH960" s="33"/>
      <c r="DI960" s="33"/>
      <c r="DJ960" s="33"/>
      <c r="DK960" s="33"/>
      <c r="DL960" s="33"/>
      <c r="DM960" s="34"/>
      <c r="DN960" s="34"/>
      <c r="DO960" s="33"/>
      <c r="DP960" s="33"/>
      <c r="DQ960" s="33"/>
      <c r="DR960" s="33"/>
      <c r="DS960" s="33"/>
      <c r="DT960" s="33"/>
      <c r="DU960" s="33"/>
      <c r="DV960" s="33"/>
      <c r="DW960" s="33"/>
      <c r="DX960" s="33"/>
      <c r="DY960" s="33"/>
      <c r="DZ960" s="33"/>
      <c r="EA960" s="33"/>
      <c r="EB960" s="33"/>
      <c r="EC960" s="33"/>
      <c r="ED960" s="33"/>
      <c r="EE960" s="33"/>
      <c r="EF960" s="33"/>
      <c r="EG960" s="38"/>
    </row>
    <row r="961" spans="2:137" ht="13.2">
      <c r="B961" s="30" t="str">
        <f t="shared" si="28"/>
        <v/>
      </c>
      <c r="C961" s="31" t="str">
        <f t="shared" si="29"/>
        <v/>
      </c>
      <c r="D961" s="32"/>
      <c r="E961" s="33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3"/>
      <c r="R961" s="33"/>
      <c r="S961" s="33"/>
      <c r="T961" s="33"/>
      <c r="U961" s="35"/>
      <c r="V961" s="36"/>
      <c r="W961" s="37"/>
      <c r="X961" s="34"/>
      <c r="Y961" s="33"/>
      <c r="Z961" s="33"/>
      <c r="AA961" s="33"/>
      <c r="AB961" s="35"/>
      <c r="AC961" s="34"/>
      <c r="AD961" s="34"/>
      <c r="AE961" s="34"/>
      <c r="AF961" s="34"/>
      <c r="AG961" s="34"/>
      <c r="AH961" s="33"/>
      <c r="AI961" s="33"/>
      <c r="AJ961" s="34"/>
      <c r="AK961" s="33"/>
      <c r="AL961" s="33"/>
      <c r="AM961" s="33"/>
      <c r="AN961" s="34"/>
      <c r="AO961" s="34"/>
      <c r="AP961" s="33"/>
      <c r="AQ961" s="34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4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5"/>
      <c r="CC961" s="33"/>
      <c r="CD961" s="33"/>
      <c r="CE961" s="33"/>
      <c r="CF961" s="34"/>
      <c r="CG961" s="33"/>
      <c r="CH961" s="33"/>
      <c r="CI961" s="33"/>
      <c r="CJ961" s="33"/>
      <c r="CK961" s="33"/>
      <c r="CL961" s="33"/>
      <c r="CM961" s="33"/>
      <c r="CN961" s="33"/>
      <c r="CO961" s="33"/>
      <c r="CP961" s="33"/>
      <c r="CQ961" s="33"/>
      <c r="CR961" s="33"/>
      <c r="CS961" s="33"/>
      <c r="CT961" s="33"/>
      <c r="CU961" s="33"/>
      <c r="CV961" s="33"/>
      <c r="CW961" s="33"/>
      <c r="CX961" s="33"/>
      <c r="CY961" s="33"/>
      <c r="CZ961" s="34"/>
      <c r="DA961" s="33"/>
      <c r="DB961" s="33"/>
      <c r="DC961" s="33"/>
      <c r="DD961" s="33"/>
      <c r="DE961" s="33"/>
      <c r="DF961" s="33"/>
      <c r="DG961" s="33"/>
      <c r="DH961" s="33"/>
      <c r="DI961" s="33"/>
      <c r="DJ961" s="33"/>
      <c r="DK961" s="33"/>
      <c r="DL961" s="33"/>
      <c r="DM961" s="34"/>
      <c r="DN961" s="34"/>
      <c r="DO961" s="33"/>
      <c r="DP961" s="33"/>
      <c r="DQ961" s="33"/>
      <c r="DR961" s="33"/>
      <c r="DS961" s="33"/>
      <c r="DT961" s="33"/>
      <c r="DU961" s="33"/>
      <c r="DV961" s="33"/>
      <c r="DW961" s="33"/>
      <c r="DX961" s="33"/>
      <c r="DY961" s="33"/>
      <c r="DZ961" s="33"/>
      <c r="EA961" s="33"/>
      <c r="EB961" s="33"/>
      <c r="EC961" s="33"/>
      <c r="ED961" s="33"/>
      <c r="EE961" s="33"/>
      <c r="EF961" s="33"/>
      <c r="EG961" s="38"/>
    </row>
    <row r="962" spans="2:137" ht="13.2">
      <c r="B962" s="30" t="str">
        <f t="shared" si="28"/>
        <v/>
      </c>
      <c r="C962" s="31" t="str">
        <f t="shared" si="29"/>
        <v/>
      </c>
      <c r="D962" s="32"/>
      <c r="E962" s="33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3"/>
      <c r="R962" s="33"/>
      <c r="S962" s="33"/>
      <c r="T962" s="33"/>
      <c r="U962" s="35"/>
      <c r="V962" s="36"/>
      <c r="W962" s="37"/>
      <c r="X962" s="34"/>
      <c r="Y962" s="33"/>
      <c r="Z962" s="33"/>
      <c r="AA962" s="33"/>
      <c r="AB962" s="35"/>
      <c r="AC962" s="34"/>
      <c r="AD962" s="34"/>
      <c r="AE962" s="34"/>
      <c r="AF962" s="34"/>
      <c r="AG962" s="34"/>
      <c r="AH962" s="33"/>
      <c r="AI962" s="33"/>
      <c r="AJ962" s="34"/>
      <c r="AK962" s="33"/>
      <c r="AL962" s="33"/>
      <c r="AM962" s="33"/>
      <c r="AN962" s="34"/>
      <c r="AO962" s="34"/>
      <c r="AP962" s="33"/>
      <c r="AQ962" s="34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4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5"/>
      <c r="CC962" s="33"/>
      <c r="CD962" s="33"/>
      <c r="CE962" s="33"/>
      <c r="CF962" s="34"/>
      <c r="CG962" s="33"/>
      <c r="CH962" s="33"/>
      <c r="CI962" s="33"/>
      <c r="CJ962" s="33"/>
      <c r="CK962" s="33"/>
      <c r="CL962" s="33"/>
      <c r="CM962" s="33"/>
      <c r="CN962" s="33"/>
      <c r="CO962" s="33"/>
      <c r="CP962" s="33"/>
      <c r="CQ962" s="33"/>
      <c r="CR962" s="33"/>
      <c r="CS962" s="33"/>
      <c r="CT962" s="33"/>
      <c r="CU962" s="33"/>
      <c r="CV962" s="33"/>
      <c r="CW962" s="33"/>
      <c r="CX962" s="33"/>
      <c r="CY962" s="33"/>
      <c r="CZ962" s="34"/>
      <c r="DA962" s="33"/>
      <c r="DB962" s="33"/>
      <c r="DC962" s="33"/>
      <c r="DD962" s="33"/>
      <c r="DE962" s="33"/>
      <c r="DF962" s="33"/>
      <c r="DG962" s="33"/>
      <c r="DH962" s="33"/>
      <c r="DI962" s="33"/>
      <c r="DJ962" s="33"/>
      <c r="DK962" s="33"/>
      <c r="DL962" s="33"/>
      <c r="DM962" s="34"/>
      <c r="DN962" s="34"/>
      <c r="DO962" s="33"/>
      <c r="DP962" s="33"/>
      <c r="DQ962" s="33"/>
      <c r="DR962" s="33"/>
      <c r="DS962" s="33"/>
      <c r="DT962" s="33"/>
      <c r="DU962" s="33"/>
      <c r="DV962" s="33"/>
      <c r="DW962" s="33"/>
      <c r="DX962" s="33"/>
      <c r="DY962" s="33"/>
      <c r="DZ962" s="33"/>
      <c r="EA962" s="33"/>
      <c r="EB962" s="33"/>
      <c r="EC962" s="33"/>
      <c r="ED962" s="33"/>
      <c r="EE962" s="33"/>
      <c r="EF962" s="33"/>
      <c r="EG962" s="38"/>
    </row>
    <row r="963" spans="2:137" ht="13.2">
      <c r="B963" s="30" t="str">
        <f t="shared" si="28"/>
        <v/>
      </c>
      <c r="C963" s="31" t="str">
        <f t="shared" si="29"/>
        <v/>
      </c>
      <c r="D963" s="32"/>
      <c r="E963" s="33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3"/>
      <c r="R963" s="33"/>
      <c r="S963" s="33"/>
      <c r="T963" s="33"/>
      <c r="U963" s="35"/>
      <c r="V963" s="36"/>
      <c r="W963" s="37"/>
      <c r="X963" s="34"/>
      <c r="Y963" s="33"/>
      <c r="Z963" s="33"/>
      <c r="AA963" s="33"/>
      <c r="AB963" s="35"/>
      <c r="AC963" s="34"/>
      <c r="AD963" s="34"/>
      <c r="AE963" s="34"/>
      <c r="AF963" s="34"/>
      <c r="AG963" s="34"/>
      <c r="AH963" s="33"/>
      <c r="AI963" s="33"/>
      <c r="AJ963" s="34"/>
      <c r="AK963" s="33"/>
      <c r="AL963" s="33"/>
      <c r="AM963" s="33"/>
      <c r="AN963" s="34"/>
      <c r="AO963" s="34"/>
      <c r="AP963" s="33"/>
      <c r="AQ963" s="34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4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5"/>
      <c r="CC963" s="33"/>
      <c r="CD963" s="33"/>
      <c r="CE963" s="33"/>
      <c r="CF963" s="34"/>
      <c r="CG963" s="33"/>
      <c r="CH963" s="33"/>
      <c r="CI963" s="33"/>
      <c r="CJ963" s="33"/>
      <c r="CK963" s="33"/>
      <c r="CL963" s="33"/>
      <c r="CM963" s="33"/>
      <c r="CN963" s="33"/>
      <c r="CO963" s="33"/>
      <c r="CP963" s="33"/>
      <c r="CQ963" s="33"/>
      <c r="CR963" s="33"/>
      <c r="CS963" s="33"/>
      <c r="CT963" s="33"/>
      <c r="CU963" s="33"/>
      <c r="CV963" s="33"/>
      <c r="CW963" s="33"/>
      <c r="CX963" s="33"/>
      <c r="CY963" s="33"/>
      <c r="CZ963" s="34"/>
      <c r="DA963" s="33"/>
      <c r="DB963" s="33"/>
      <c r="DC963" s="33"/>
      <c r="DD963" s="33"/>
      <c r="DE963" s="33"/>
      <c r="DF963" s="33"/>
      <c r="DG963" s="33"/>
      <c r="DH963" s="33"/>
      <c r="DI963" s="33"/>
      <c r="DJ963" s="33"/>
      <c r="DK963" s="33"/>
      <c r="DL963" s="33"/>
      <c r="DM963" s="34"/>
      <c r="DN963" s="34"/>
      <c r="DO963" s="33"/>
      <c r="DP963" s="33"/>
      <c r="DQ963" s="33"/>
      <c r="DR963" s="33"/>
      <c r="DS963" s="33"/>
      <c r="DT963" s="33"/>
      <c r="DU963" s="33"/>
      <c r="DV963" s="33"/>
      <c r="DW963" s="33"/>
      <c r="DX963" s="33"/>
      <c r="DY963" s="33"/>
      <c r="DZ963" s="33"/>
      <c r="EA963" s="33"/>
      <c r="EB963" s="33"/>
      <c r="EC963" s="33"/>
      <c r="ED963" s="33"/>
      <c r="EE963" s="33"/>
      <c r="EF963" s="33"/>
      <c r="EG963" s="38"/>
    </row>
    <row r="964" spans="2:137" ht="13.2">
      <c r="B964" s="30" t="str">
        <f t="shared" si="28"/>
        <v/>
      </c>
      <c r="C964" s="31" t="str">
        <f t="shared" ref="C964:C995" si="30">IF(SUM(E964:EG964)=0,"",SUM(E964:EG964))</f>
        <v/>
      </c>
      <c r="D964" s="32"/>
      <c r="E964" s="33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3"/>
      <c r="R964" s="33"/>
      <c r="S964" s="33"/>
      <c r="T964" s="33"/>
      <c r="U964" s="35"/>
      <c r="V964" s="36"/>
      <c r="W964" s="37"/>
      <c r="X964" s="34"/>
      <c r="Y964" s="33"/>
      <c r="Z964" s="33"/>
      <c r="AA964" s="33"/>
      <c r="AB964" s="35"/>
      <c r="AC964" s="34"/>
      <c r="AD964" s="34"/>
      <c r="AE964" s="34"/>
      <c r="AF964" s="34"/>
      <c r="AG964" s="34"/>
      <c r="AH964" s="33"/>
      <c r="AI964" s="33"/>
      <c r="AJ964" s="34"/>
      <c r="AK964" s="33"/>
      <c r="AL964" s="33"/>
      <c r="AM964" s="33"/>
      <c r="AN964" s="34"/>
      <c r="AO964" s="34"/>
      <c r="AP964" s="33"/>
      <c r="AQ964" s="34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4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5"/>
      <c r="CC964" s="33"/>
      <c r="CD964" s="33"/>
      <c r="CE964" s="33"/>
      <c r="CF964" s="34"/>
      <c r="CG964" s="33"/>
      <c r="CH964" s="33"/>
      <c r="CI964" s="33"/>
      <c r="CJ964" s="33"/>
      <c r="CK964" s="33"/>
      <c r="CL964" s="33"/>
      <c r="CM964" s="33"/>
      <c r="CN964" s="33"/>
      <c r="CO964" s="33"/>
      <c r="CP964" s="33"/>
      <c r="CQ964" s="33"/>
      <c r="CR964" s="33"/>
      <c r="CS964" s="33"/>
      <c r="CT964" s="33"/>
      <c r="CU964" s="33"/>
      <c r="CV964" s="33"/>
      <c r="CW964" s="33"/>
      <c r="CX964" s="33"/>
      <c r="CY964" s="33"/>
      <c r="CZ964" s="34"/>
      <c r="DA964" s="33"/>
      <c r="DB964" s="33"/>
      <c r="DC964" s="33"/>
      <c r="DD964" s="33"/>
      <c r="DE964" s="33"/>
      <c r="DF964" s="33"/>
      <c r="DG964" s="33"/>
      <c r="DH964" s="33"/>
      <c r="DI964" s="33"/>
      <c r="DJ964" s="33"/>
      <c r="DK964" s="33"/>
      <c r="DL964" s="33"/>
      <c r="DM964" s="34"/>
      <c r="DN964" s="34"/>
      <c r="DO964" s="33"/>
      <c r="DP964" s="33"/>
      <c r="DQ964" s="33"/>
      <c r="DR964" s="33"/>
      <c r="DS964" s="33"/>
      <c r="DT964" s="33"/>
      <c r="DU964" s="33"/>
      <c r="DV964" s="33"/>
      <c r="DW964" s="33"/>
      <c r="DX964" s="33"/>
      <c r="DY964" s="33"/>
      <c r="DZ964" s="33"/>
      <c r="EA964" s="33"/>
      <c r="EB964" s="33"/>
      <c r="EC964" s="33"/>
      <c r="ED964" s="33"/>
      <c r="EE964" s="33"/>
      <c r="EF964" s="33"/>
      <c r="EG964" s="38"/>
    </row>
    <row r="965" spans="2:137" ht="13.2">
      <c r="B965" s="30" t="str">
        <f t="shared" si="28"/>
        <v/>
      </c>
      <c r="C965" s="31" t="str">
        <f t="shared" si="30"/>
        <v/>
      </c>
      <c r="D965" s="32"/>
      <c r="E965" s="33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3"/>
      <c r="R965" s="33"/>
      <c r="S965" s="33"/>
      <c r="T965" s="33"/>
      <c r="U965" s="35"/>
      <c r="V965" s="36"/>
      <c r="W965" s="37"/>
      <c r="X965" s="34"/>
      <c r="Y965" s="33"/>
      <c r="Z965" s="33"/>
      <c r="AA965" s="33"/>
      <c r="AB965" s="35"/>
      <c r="AC965" s="34"/>
      <c r="AD965" s="34"/>
      <c r="AE965" s="34"/>
      <c r="AF965" s="34"/>
      <c r="AG965" s="34"/>
      <c r="AH965" s="33"/>
      <c r="AI965" s="33"/>
      <c r="AJ965" s="34"/>
      <c r="AK965" s="33"/>
      <c r="AL965" s="33"/>
      <c r="AM965" s="33"/>
      <c r="AN965" s="34"/>
      <c r="AO965" s="34"/>
      <c r="AP965" s="33"/>
      <c r="AQ965" s="34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4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5"/>
      <c r="CC965" s="33"/>
      <c r="CD965" s="33"/>
      <c r="CE965" s="33"/>
      <c r="CF965" s="34"/>
      <c r="CG965" s="33"/>
      <c r="CH965" s="33"/>
      <c r="CI965" s="33"/>
      <c r="CJ965" s="33"/>
      <c r="CK965" s="33"/>
      <c r="CL965" s="33"/>
      <c r="CM965" s="33"/>
      <c r="CN965" s="33"/>
      <c r="CO965" s="33"/>
      <c r="CP965" s="33"/>
      <c r="CQ965" s="33"/>
      <c r="CR965" s="33"/>
      <c r="CS965" s="33"/>
      <c r="CT965" s="33"/>
      <c r="CU965" s="33"/>
      <c r="CV965" s="33"/>
      <c r="CW965" s="33"/>
      <c r="CX965" s="33"/>
      <c r="CY965" s="33"/>
      <c r="CZ965" s="34"/>
      <c r="DA965" s="33"/>
      <c r="DB965" s="33"/>
      <c r="DC965" s="33"/>
      <c r="DD965" s="33"/>
      <c r="DE965" s="33"/>
      <c r="DF965" s="33"/>
      <c r="DG965" s="33"/>
      <c r="DH965" s="33"/>
      <c r="DI965" s="33"/>
      <c r="DJ965" s="33"/>
      <c r="DK965" s="33"/>
      <c r="DL965" s="33"/>
      <c r="DM965" s="34"/>
      <c r="DN965" s="34"/>
      <c r="DO965" s="33"/>
      <c r="DP965" s="33"/>
      <c r="DQ965" s="33"/>
      <c r="DR965" s="33"/>
      <c r="DS965" s="33"/>
      <c r="DT965" s="33"/>
      <c r="DU965" s="33"/>
      <c r="DV965" s="33"/>
      <c r="DW965" s="33"/>
      <c r="DX965" s="33"/>
      <c r="DY965" s="33"/>
      <c r="DZ965" s="33"/>
      <c r="EA965" s="33"/>
      <c r="EB965" s="33"/>
      <c r="EC965" s="33"/>
      <c r="ED965" s="33"/>
      <c r="EE965" s="33"/>
      <c r="EF965" s="33"/>
      <c r="EG965" s="38"/>
    </row>
    <row r="966" spans="2:137" ht="13.2">
      <c r="B966" s="30" t="str">
        <f t="shared" si="28"/>
        <v/>
      </c>
      <c r="C966" s="31" t="str">
        <f t="shared" si="30"/>
        <v/>
      </c>
      <c r="D966" s="32"/>
      <c r="E966" s="33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3"/>
      <c r="R966" s="33"/>
      <c r="S966" s="33"/>
      <c r="T966" s="33"/>
      <c r="U966" s="35"/>
      <c r="V966" s="36"/>
      <c r="W966" s="37"/>
      <c r="X966" s="34"/>
      <c r="Y966" s="33"/>
      <c r="Z966" s="33"/>
      <c r="AA966" s="33"/>
      <c r="AB966" s="35"/>
      <c r="AC966" s="34"/>
      <c r="AD966" s="34"/>
      <c r="AE966" s="34"/>
      <c r="AF966" s="34"/>
      <c r="AG966" s="34"/>
      <c r="AH966" s="33"/>
      <c r="AI966" s="33"/>
      <c r="AJ966" s="34"/>
      <c r="AK966" s="33"/>
      <c r="AL966" s="33"/>
      <c r="AM966" s="33"/>
      <c r="AN966" s="34"/>
      <c r="AO966" s="34"/>
      <c r="AP966" s="33"/>
      <c r="AQ966" s="34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4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5"/>
      <c r="CC966" s="33"/>
      <c r="CD966" s="33"/>
      <c r="CE966" s="33"/>
      <c r="CF966" s="34"/>
      <c r="CG966" s="33"/>
      <c r="CH966" s="33"/>
      <c r="CI966" s="33"/>
      <c r="CJ966" s="33"/>
      <c r="CK966" s="33"/>
      <c r="CL966" s="33"/>
      <c r="CM966" s="33"/>
      <c r="CN966" s="33"/>
      <c r="CO966" s="33"/>
      <c r="CP966" s="33"/>
      <c r="CQ966" s="33"/>
      <c r="CR966" s="33"/>
      <c r="CS966" s="33"/>
      <c r="CT966" s="33"/>
      <c r="CU966" s="33"/>
      <c r="CV966" s="33"/>
      <c r="CW966" s="33"/>
      <c r="CX966" s="33"/>
      <c r="CY966" s="33"/>
      <c r="CZ966" s="34"/>
      <c r="DA966" s="33"/>
      <c r="DB966" s="33"/>
      <c r="DC966" s="33"/>
      <c r="DD966" s="33"/>
      <c r="DE966" s="33"/>
      <c r="DF966" s="33"/>
      <c r="DG966" s="33"/>
      <c r="DH966" s="33"/>
      <c r="DI966" s="33"/>
      <c r="DJ966" s="33"/>
      <c r="DK966" s="33"/>
      <c r="DL966" s="33"/>
      <c r="DM966" s="34"/>
      <c r="DN966" s="34"/>
      <c r="DO966" s="33"/>
      <c r="DP966" s="33"/>
      <c r="DQ966" s="33"/>
      <c r="DR966" s="33"/>
      <c r="DS966" s="33"/>
      <c r="DT966" s="33"/>
      <c r="DU966" s="33"/>
      <c r="DV966" s="33"/>
      <c r="DW966" s="33"/>
      <c r="DX966" s="33"/>
      <c r="DY966" s="33"/>
      <c r="DZ966" s="33"/>
      <c r="EA966" s="33"/>
      <c r="EB966" s="33"/>
      <c r="EC966" s="33"/>
      <c r="ED966" s="33"/>
      <c r="EE966" s="33"/>
      <c r="EF966" s="33"/>
      <c r="EG966" s="38"/>
    </row>
    <row r="967" spans="2:137" ht="13.2">
      <c r="B967" s="30" t="str">
        <f t="shared" si="28"/>
        <v/>
      </c>
      <c r="C967" s="31" t="str">
        <f t="shared" si="30"/>
        <v/>
      </c>
      <c r="D967" s="32"/>
      <c r="E967" s="33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3"/>
      <c r="R967" s="33"/>
      <c r="S967" s="33"/>
      <c r="T967" s="33"/>
      <c r="U967" s="35"/>
      <c r="V967" s="36"/>
      <c r="W967" s="37"/>
      <c r="X967" s="34"/>
      <c r="Y967" s="33"/>
      <c r="Z967" s="33"/>
      <c r="AA967" s="33"/>
      <c r="AB967" s="35"/>
      <c r="AC967" s="34"/>
      <c r="AD967" s="34"/>
      <c r="AE967" s="34"/>
      <c r="AF967" s="34"/>
      <c r="AG967" s="34"/>
      <c r="AH967" s="33"/>
      <c r="AI967" s="33"/>
      <c r="AJ967" s="34"/>
      <c r="AK967" s="33"/>
      <c r="AL967" s="33"/>
      <c r="AM967" s="33"/>
      <c r="AN967" s="34"/>
      <c r="AO967" s="34"/>
      <c r="AP967" s="33"/>
      <c r="AQ967" s="34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4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  <c r="BZ967" s="33"/>
      <c r="CA967" s="33"/>
      <c r="CB967" s="35"/>
      <c r="CC967" s="33"/>
      <c r="CD967" s="33"/>
      <c r="CE967" s="33"/>
      <c r="CF967" s="34"/>
      <c r="CG967" s="33"/>
      <c r="CH967" s="33"/>
      <c r="CI967" s="33"/>
      <c r="CJ967" s="33"/>
      <c r="CK967" s="33"/>
      <c r="CL967" s="33"/>
      <c r="CM967" s="33"/>
      <c r="CN967" s="33"/>
      <c r="CO967" s="33"/>
      <c r="CP967" s="33"/>
      <c r="CQ967" s="33"/>
      <c r="CR967" s="33"/>
      <c r="CS967" s="33"/>
      <c r="CT967" s="33"/>
      <c r="CU967" s="33"/>
      <c r="CV967" s="33"/>
      <c r="CW967" s="33"/>
      <c r="CX967" s="33"/>
      <c r="CY967" s="33"/>
      <c r="CZ967" s="34"/>
      <c r="DA967" s="33"/>
      <c r="DB967" s="33"/>
      <c r="DC967" s="33"/>
      <c r="DD967" s="33"/>
      <c r="DE967" s="33"/>
      <c r="DF967" s="33"/>
      <c r="DG967" s="33"/>
      <c r="DH967" s="33"/>
      <c r="DI967" s="33"/>
      <c r="DJ967" s="33"/>
      <c r="DK967" s="33"/>
      <c r="DL967" s="33"/>
      <c r="DM967" s="34"/>
      <c r="DN967" s="34"/>
      <c r="DO967" s="33"/>
      <c r="DP967" s="33"/>
      <c r="DQ967" s="33"/>
      <c r="DR967" s="33"/>
      <c r="DS967" s="33"/>
      <c r="DT967" s="33"/>
      <c r="DU967" s="33"/>
      <c r="DV967" s="33"/>
      <c r="DW967" s="33"/>
      <c r="DX967" s="33"/>
      <c r="DY967" s="33"/>
      <c r="DZ967" s="33"/>
      <c r="EA967" s="33"/>
      <c r="EB967" s="33"/>
      <c r="EC967" s="33"/>
      <c r="ED967" s="33"/>
      <c r="EE967" s="33"/>
      <c r="EF967" s="33"/>
      <c r="EG967" s="38"/>
    </row>
    <row r="968" spans="2:137" ht="13.2">
      <c r="B968" s="30" t="str">
        <f t="shared" si="28"/>
        <v/>
      </c>
      <c r="C968" s="31" t="str">
        <f t="shared" si="30"/>
        <v/>
      </c>
      <c r="D968" s="32"/>
      <c r="E968" s="33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3"/>
      <c r="R968" s="33"/>
      <c r="S968" s="33"/>
      <c r="T968" s="33"/>
      <c r="U968" s="35"/>
      <c r="V968" s="36"/>
      <c r="W968" s="37"/>
      <c r="X968" s="34"/>
      <c r="Y968" s="33"/>
      <c r="Z968" s="33"/>
      <c r="AA968" s="33"/>
      <c r="AB968" s="35"/>
      <c r="AC968" s="34"/>
      <c r="AD968" s="34"/>
      <c r="AE968" s="34"/>
      <c r="AF968" s="34"/>
      <c r="AG968" s="34"/>
      <c r="AH968" s="33"/>
      <c r="AI968" s="33"/>
      <c r="AJ968" s="34"/>
      <c r="AK968" s="33"/>
      <c r="AL968" s="33"/>
      <c r="AM968" s="33"/>
      <c r="AN968" s="34"/>
      <c r="AO968" s="34"/>
      <c r="AP968" s="33"/>
      <c r="AQ968" s="34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4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  <c r="BZ968" s="33"/>
      <c r="CA968" s="33"/>
      <c r="CB968" s="35"/>
      <c r="CC968" s="33"/>
      <c r="CD968" s="33"/>
      <c r="CE968" s="33"/>
      <c r="CF968" s="34"/>
      <c r="CG968" s="33"/>
      <c r="CH968" s="33"/>
      <c r="CI968" s="33"/>
      <c r="CJ968" s="33"/>
      <c r="CK968" s="33"/>
      <c r="CL968" s="33"/>
      <c r="CM968" s="33"/>
      <c r="CN968" s="33"/>
      <c r="CO968" s="33"/>
      <c r="CP968" s="33"/>
      <c r="CQ968" s="33"/>
      <c r="CR968" s="33"/>
      <c r="CS968" s="33"/>
      <c r="CT968" s="33"/>
      <c r="CU968" s="33"/>
      <c r="CV968" s="33"/>
      <c r="CW968" s="33"/>
      <c r="CX968" s="33"/>
      <c r="CY968" s="33"/>
      <c r="CZ968" s="34"/>
      <c r="DA968" s="33"/>
      <c r="DB968" s="33"/>
      <c r="DC968" s="33"/>
      <c r="DD968" s="33"/>
      <c r="DE968" s="33"/>
      <c r="DF968" s="33"/>
      <c r="DG968" s="33"/>
      <c r="DH968" s="33"/>
      <c r="DI968" s="33"/>
      <c r="DJ968" s="33"/>
      <c r="DK968" s="33"/>
      <c r="DL968" s="33"/>
      <c r="DM968" s="34"/>
      <c r="DN968" s="34"/>
      <c r="DO968" s="33"/>
      <c r="DP968" s="33"/>
      <c r="DQ968" s="33"/>
      <c r="DR968" s="33"/>
      <c r="DS968" s="33"/>
      <c r="DT968" s="33"/>
      <c r="DU968" s="33"/>
      <c r="DV968" s="33"/>
      <c r="DW968" s="33"/>
      <c r="DX968" s="33"/>
      <c r="DY968" s="33"/>
      <c r="DZ968" s="33"/>
      <c r="EA968" s="33"/>
      <c r="EB968" s="33"/>
      <c r="EC968" s="33"/>
      <c r="ED968" s="33"/>
      <c r="EE968" s="33"/>
      <c r="EF968" s="33"/>
      <c r="EG968" s="38"/>
    </row>
    <row r="969" spans="2:137" ht="13.2">
      <c r="B969" s="30" t="str">
        <f t="shared" si="28"/>
        <v/>
      </c>
      <c r="C969" s="31" t="str">
        <f t="shared" si="30"/>
        <v/>
      </c>
      <c r="D969" s="32"/>
      <c r="E969" s="33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3"/>
      <c r="R969" s="33"/>
      <c r="S969" s="33"/>
      <c r="T969" s="33"/>
      <c r="U969" s="35"/>
      <c r="V969" s="36"/>
      <c r="W969" s="37"/>
      <c r="X969" s="34"/>
      <c r="Y969" s="33"/>
      <c r="Z969" s="33"/>
      <c r="AA969" s="33"/>
      <c r="AB969" s="35"/>
      <c r="AC969" s="34"/>
      <c r="AD969" s="34"/>
      <c r="AE969" s="34"/>
      <c r="AF969" s="34"/>
      <c r="AG969" s="34"/>
      <c r="AH969" s="33"/>
      <c r="AI969" s="33"/>
      <c r="AJ969" s="34"/>
      <c r="AK969" s="33"/>
      <c r="AL969" s="33"/>
      <c r="AM969" s="33"/>
      <c r="AN969" s="34"/>
      <c r="AO969" s="34"/>
      <c r="AP969" s="33"/>
      <c r="AQ969" s="34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4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5"/>
      <c r="CC969" s="33"/>
      <c r="CD969" s="33"/>
      <c r="CE969" s="33"/>
      <c r="CF969" s="34"/>
      <c r="CG969" s="33"/>
      <c r="CH969" s="33"/>
      <c r="CI969" s="33"/>
      <c r="CJ969" s="33"/>
      <c r="CK969" s="33"/>
      <c r="CL969" s="33"/>
      <c r="CM969" s="33"/>
      <c r="CN969" s="33"/>
      <c r="CO969" s="33"/>
      <c r="CP969" s="33"/>
      <c r="CQ969" s="33"/>
      <c r="CR969" s="33"/>
      <c r="CS969" s="33"/>
      <c r="CT969" s="33"/>
      <c r="CU969" s="33"/>
      <c r="CV969" s="33"/>
      <c r="CW969" s="33"/>
      <c r="CX969" s="33"/>
      <c r="CY969" s="33"/>
      <c r="CZ969" s="34"/>
      <c r="DA969" s="33"/>
      <c r="DB969" s="33"/>
      <c r="DC969" s="33"/>
      <c r="DD969" s="33"/>
      <c r="DE969" s="33"/>
      <c r="DF969" s="33"/>
      <c r="DG969" s="33"/>
      <c r="DH969" s="33"/>
      <c r="DI969" s="33"/>
      <c r="DJ969" s="33"/>
      <c r="DK969" s="33"/>
      <c r="DL969" s="33"/>
      <c r="DM969" s="34"/>
      <c r="DN969" s="34"/>
      <c r="DO969" s="33"/>
      <c r="DP969" s="33"/>
      <c r="DQ969" s="33"/>
      <c r="DR969" s="33"/>
      <c r="DS969" s="33"/>
      <c r="DT969" s="33"/>
      <c r="DU969" s="33"/>
      <c r="DV969" s="33"/>
      <c r="DW969" s="33"/>
      <c r="DX969" s="33"/>
      <c r="DY969" s="33"/>
      <c r="DZ969" s="33"/>
      <c r="EA969" s="33"/>
      <c r="EB969" s="33"/>
      <c r="EC969" s="33"/>
      <c r="ED969" s="33"/>
      <c r="EE969" s="33"/>
      <c r="EF969" s="33"/>
      <c r="EG969" s="38"/>
    </row>
    <row r="970" spans="2:137" ht="13.2">
      <c r="B970" s="30" t="str">
        <f t="shared" si="28"/>
        <v/>
      </c>
      <c r="C970" s="31" t="str">
        <f t="shared" si="30"/>
        <v/>
      </c>
      <c r="D970" s="32"/>
      <c r="E970" s="33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3"/>
      <c r="R970" s="33"/>
      <c r="S970" s="33"/>
      <c r="T970" s="33"/>
      <c r="U970" s="35"/>
      <c r="V970" s="36"/>
      <c r="W970" s="37"/>
      <c r="X970" s="34"/>
      <c r="Y970" s="33"/>
      <c r="Z970" s="33"/>
      <c r="AA970" s="33"/>
      <c r="AB970" s="35"/>
      <c r="AC970" s="34"/>
      <c r="AD970" s="34"/>
      <c r="AE970" s="34"/>
      <c r="AF970" s="34"/>
      <c r="AG970" s="34"/>
      <c r="AH970" s="33"/>
      <c r="AI970" s="33"/>
      <c r="AJ970" s="34"/>
      <c r="AK970" s="33"/>
      <c r="AL970" s="33"/>
      <c r="AM970" s="33"/>
      <c r="AN970" s="34"/>
      <c r="AO970" s="34"/>
      <c r="AP970" s="33"/>
      <c r="AQ970" s="34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4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5"/>
      <c r="CC970" s="33"/>
      <c r="CD970" s="33"/>
      <c r="CE970" s="33"/>
      <c r="CF970" s="34"/>
      <c r="CG970" s="33"/>
      <c r="CH970" s="33"/>
      <c r="CI970" s="33"/>
      <c r="CJ970" s="33"/>
      <c r="CK970" s="33"/>
      <c r="CL970" s="33"/>
      <c r="CM970" s="33"/>
      <c r="CN970" s="33"/>
      <c r="CO970" s="33"/>
      <c r="CP970" s="33"/>
      <c r="CQ970" s="33"/>
      <c r="CR970" s="33"/>
      <c r="CS970" s="33"/>
      <c r="CT970" s="33"/>
      <c r="CU970" s="33"/>
      <c r="CV970" s="33"/>
      <c r="CW970" s="33"/>
      <c r="CX970" s="33"/>
      <c r="CY970" s="33"/>
      <c r="CZ970" s="34"/>
      <c r="DA970" s="33"/>
      <c r="DB970" s="33"/>
      <c r="DC970" s="33"/>
      <c r="DD970" s="33"/>
      <c r="DE970" s="33"/>
      <c r="DF970" s="33"/>
      <c r="DG970" s="33"/>
      <c r="DH970" s="33"/>
      <c r="DI970" s="33"/>
      <c r="DJ970" s="33"/>
      <c r="DK970" s="33"/>
      <c r="DL970" s="33"/>
      <c r="DM970" s="34"/>
      <c r="DN970" s="34"/>
      <c r="DO970" s="33"/>
      <c r="DP970" s="33"/>
      <c r="DQ970" s="33"/>
      <c r="DR970" s="33"/>
      <c r="DS970" s="33"/>
      <c r="DT970" s="33"/>
      <c r="DU970" s="33"/>
      <c r="DV970" s="33"/>
      <c r="DW970" s="33"/>
      <c r="DX970" s="33"/>
      <c r="DY970" s="33"/>
      <c r="DZ970" s="33"/>
      <c r="EA970" s="33"/>
      <c r="EB970" s="33"/>
      <c r="EC970" s="33"/>
      <c r="ED970" s="33"/>
      <c r="EE970" s="33"/>
      <c r="EF970" s="33"/>
      <c r="EG970" s="38"/>
    </row>
    <row r="971" spans="2:137" ht="13.2">
      <c r="B971" s="30" t="str">
        <f t="shared" si="28"/>
        <v/>
      </c>
      <c r="C971" s="31" t="str">
        <f t="shared" si="30"/>
        <v/>
      </c>
      <c r="D971" s="32"/>
      <c r="E971" s="33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3"/>
      <c r="R971" s="33"/>
      <c r="S971" s="33"/>
      <c r="T971" s="33"/>
      <c r="U971" s="35"/>
      <c r="V971" s="36"/>
      <c r="W971" s="37"/>
      <c r="X971" s="34"/>
      <c r="Y971" s="33"/>
      <c r="Z971" s="33"/>
      <c r="AA971" s="33"/>
      <c r="AB971" s="35"/>
      <c r="AC971" s="34"/>
      <c r="AD971" s="34"/>
      <c r="AE971" s="34"/>
      <c r="AF971" s="34"/>
      <c r="AG971" s="34"/>
      <c r="AH971" s="33"/>
      <c r="AI971" s="33"/>
      <c r="AJ971" s="34"/>
      <c r="AK971" s="33"/>
      <c r="AL971" s="33"/>
      <c r="AM971" s="33"/>
      <c r="AN971" s="34"/>
      <c r="AO971" s="34"/>
      <c r="AP971" s="33"/>
      <c r="AQ971" s="34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4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5"/>
      <c r="CC971" s="33"/>
      <c r="CD971" s="33"/>
      <c r="CE971" s="33"/>
      <c r="CF971" s="34"/>
      <c r="CG971" s="33"/>
      <c r="CH971" s="33"/>
      <c r="CI971" s="33"/>
      <c r="CJ971" s="33"/>
      <c r="CK971" s="33"/>
      <c r="CL971" s="33"/>
      <c r="CM971" s="33"/>
      <c r="CN971" s="33"/>
      <c r="CO971" s="33"/>
      <c r="CP971" s="33"/>
      <c r="CQ971" s="33"/>
      <c r="CR971" s="33"/>
      <c r="CS971" s="33"/>
      <c r="CT971" s="33"/>
      <c r="CU971" s="33"/>
      <c r="CV971" s="33"/>
      <c r="CW971" s="33"/>
      <c r="CX971" s="33"/>
      <c r="CY971" s="33"/>
      <c r="CZ971" s="34"/>
      <c r="DA971" s="33"/>
      <c r="DB971" s="33"/>
      <c r="DC971" s="33"/>
      <c r="DD971" s="33"/>
      <c r="DE971" s="33"/>
      <c r="DF971" s="33"/>
      <c r="DG971" s="33"/>
      <c r="DH971" s="33"/>
      <c r="DI971" s="33"/>
      <c r="DJ971" s="33"/>
      <c r="DK971" s="33"/>
      <c r="DL971" s="33"/>
      <c r="DM971" s="34"/>
      <c r="DN971" s="34"/>
      <c r="DO971" s="33"/>
      <c r="DP971" s="33"/>
      <c r="DQ971" s="33"/>
      <c r="DR971" s="33"/>
      <c r="DS971" s="33"/>
      <c r="DT971" s="33"/>
      <c r="DU971" s="33"/>
      <c r="DV971" s="33"/>
      <c r="DW971" s="33"/>
      <c r="DX971" s="33"/>
      <c r="DY971" s="33"/>
      <c r="DZ971" s="33"/>
      <c r="EA971" s="33"/>
      <c r="EB971" s="33"/>
      <c r="EC971" s="33"/>
      <c r="ED971" s="33"/>
      <c r="EE971" s="33"/>
      <c r="EF971" s="33"/>
      <c r="EG971" s="38"/>
    </row>
    <row r="972" spans="2:137" ht="13.2">
      <c r="B972" s="30" t="str">
        <f t="shared" si="28"/>
        <v/>
      </c>
      <c r="C972" s="31" t="str">
        <f t="shared" si="30"/>
        <v/>
      </c>
      <c r="D972" s="32"/>
      <c r="E972" s="33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3"/>
      <c r="R972" s="33"/>
      <c r="S972" s="33"/>
      <c r="T972" s="33"/>
      <c r="U972" s="35"/>
      <c r="V972" s="36"/>
      <c r="W972" s="37"/>
      <c r="X972" s="34"/>
      <c r="Y972" s="33"/>
      <c r="Z972" s="33"/>
      <c r="AA972" s="33"/>
      <c r="AB972" s="35"/>
      <c r="AC972" s="34"/>
      <c r="AD972" s="34"/>
      <c r="AE972" s="34"/>
      <c r="AF972" s="34"/>
      <c r="AG972" s="34"/>
      <c r="AH972" s="33"/>
      <c r="AI972" s="33"/>
      <c r="AJ972" s="34"/>
      <c r="AK972" s="33"/>
      <c r="AL972" s="33"/>
      <c r="AM972" s="33"/>
      <c r="AN972" s="34"/>
      <c r="AO972" s="34"/>
      <c r="AP972" s="33"/>
      <c r="AQ972" s="34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4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5"/>
      <c r="CC972" s="33"/>
      <c r="CD972" s="33"/>
      <c r="CE972" s="33"/>
      <c r="CF972" s="34"/>
      <c r="CG972" s="33"/>
      <c r="CH972" s="33"/>
      <c r="CI972" s="33"/>
      <c r="CJ972" s="33"/>
      <c r="CK972" s="33"/>
      <c r="CL972" s="33"/>
      <c r="CM972" s="33"/>
      <c r="CN972" s="33"/>
      <c r="CO972" s="33"/>
      <c r="CP972" s="33"/>
      <c r="CQ972" s="33"/>
      <c r="CR972" s="33"/>
      <c r="CS972" s="33"/>
      <c r="CT972" s="33"/>
      <c r="CU972" s="33"/>
      <c r="CV972" s="33"/>
      <c r="CW972" s="33"/>
      <c r="CX972" s="33"/>
      <c r="CY972" s="33"/>
      <c r="CZ972" s="34"/>
      <c r="DA972" s="33"/>
      <c r="DB972" s="33"/>
      <c r="DC972" s="33"/>
      <c r="DD972" s="33"/>
      <c r="DE972" s="33"/>
      <c r="DF972" s="33"/>
      <c r="DG972" s="33"/>
      <c r="DH972" s="33"/>
      <c r="DI972" s="33"/>
      <c r="DJ972" s="33"/>
      <c r="DK972" s="33"/>
      <c r="DL972" s="33"/>
      <c r="DM972" s="34"/>
      <c r="DN972" s="34"/>
      <c r="DO972" s="33"/>
      <c r="DP972" s="33"/>
      <c r="DQ972" s="33"/>
      <c r="DR972" s="33"/>
      <c r="DS972" s="33"/>
      <c r="DT972" s="33"/>
      <c r="DU972" s="33"/>
      <c r="DV972" s="33"/>
      <c r="DW972" s="33"/>
      <c r="DX972" s="33"/>
      <c r="DY972" s="33"/>
      <c r="DZ972" s="33"/>
      <c r="EA972" s="33"/>
      <c r="EB972" s="33"/>
      <c r="EC972" s="33"/>
      <c r="ED972" s="33"/>
      <c r="EE972" s="33"/>
      <c r="EF972" s="33"/>
      <c r="EG972" s="38"/>
    </row>
    <row r="973" spans="2:137" ht="13.2">
      <c r="B973" s="30" t="str">
        <f t="shared" si="28"/>
        <v/>
      </c>
      <c r="C973" s="31" t="str">
        <f t="shared" si="30"/>
        <v/>
      </c>
      <c r="D973" s="32"/>
      <c r="E973" s="33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3"/>
      <c r="R973" s="33"/>
      <c r="S973" s="33"/>
      <c r="T973" s="33"/>
      <c r="U973" s="35"/>
      <c r="V973" s="36"/>
      <c r="W973" s="37"/>
      <c r="X973" s="34"/>
      <c r="Y973" s="33"/>
      <c r="Z973" s="33"/>
      <c r="AA973" s="33"/>
      <c r="AB973" s="35"/>
      <c r="AC973" s="34"/>
      <c r="AD973" s="34"/>
      <c r="AE973" s="34"/>
      <c r="AF973" s="34"/>
      <c r="AG973" s="34"/>
      <c r="AH973" s="33"/>
      <c r="AI973" s="33"/>
      <c r="AJ973" s="34"/>
      <c r="AK973" s="33"/>
      <c r="AL973" s="33"/>
      <c r="AM973" s="33"/>
      <c r="AN973" s="34"/>
      <c r="AO973" s="34"/>
      <c r="AP973" s="33"/>
      <c r="AQ973" s="34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4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5"/>
      <c r="CC973" s="33"/>
      <c r="CD973" s="33"/>
      <c r="CE973" s="33"/>
      <c r="CF973" s="34"/>
      <c r="CG973" s="33"/>
      <c r="CH973" s="33"/>
      <c r="CI973" s="33"/>
      <c r="CJ973" s="33"/>
      <c r="CK973" s="33"/>
      <c r="CL973" s="33"/>
      <c r="CM973" s="33"/>
      <c r="CN973" s="33"/>
      <c r="CO973" s="33"/>
      <c r="CP973" s="33"/>
      <c r="CQ973" s="33"/>
      <c r="CR973" s="33"/>
      <c r="CS973" s="33"/>
      <c r="CT973" s="33"/>
      <c r="CU973" s="33"/>
      <c r="CV973" s="33"/>
      <c r="CW973" s="33"/>
      <c r="CX973" s="33"/>
      <c r="CY973" s="33"/>
      <c r="CZ973" s="34"/>
      <c r="DA973" s="33"/>
      <c r="DB973" s="33"/>
      <c r="DC973" s="33"/>
      <c r="DD973" s="33"/>
      <c r="DE973" s="33"/>
      <c r="DF973" s="33"/>
      <c r="DG973" s="33"/>
      <c r="DH973" s="33"/>
      <c r="DI973" s="33"/>
      <c r="DJ973" s="33"/>
      <c r="DK973" s="33"/>
      <c r="DL973" s="33"/>
      <c r="DM973" s="34"/>
      <c r="DN973" s="34"/>
      <c r="DO973" s="33"/>
      <c r="DP973" s="33"/>
      <c r="DQ973" s="33"/>
      <c r="DR973" s="33"/>
      <c r="DS973" s="33"/>
      <c r="DT973" s="33"/>
      <c r="DU973" s="33"/>
      <c r="DV973" s="33"/>
      <c r="DW973" s="33"/>
      <c r="DX973" s="33"/>
      <c r="DY973" s="33"/>
      <c r="DZ973" s="33"/>
      <c r="EA973" s="33"/>
      <c r="EB973" s="33"/>
      <c r="EC973" s="33"/>
      <c r="ED973" s="33"/>
      <c r="EE973" s="33"/>
      <c r="EF973" s="33"/>
      <c r="EG973" s="38"/>
    </row>
    <row r="974" spans="2:137" ht="13.2">
      <c r="B974" s="30" t="str">
        <f t="shared" si="28"/>
        <v/>
      </c>
      <c r="C974" s="31" t="str">
        <f t="shared" si="30"/>
        <v/>
      </c>
      <c r="D974" s="32"/>
      <c r="E974" s="33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3"/>
      <c r="R974" s="33"/>
      <c r="S974" s="33"/>
      <c r="T974" s="33"/>
      <c r="U974" s="35"/>
      <c r="V974" s="36"/>
      <c r="W974" s="37"/>
      <c r="X974" s="34"/>
      <c r="Y974" s="33"/>
      <c r="Z974" s="33"/>
      <c r="AA974" s="33"/>
      <c r="AB974" s="35"/>
      <c r="AC974" s="34"/>
      <c r="AD974" s="34"/>
      <c r="AE974" s="34"/>
      <c r="AF974" s="34"/>
      <c r="AG974" s="34"/>
      <c r="AH974" s="33"/>
      <c r="AI974" s="33"/>
      <c r="AJ974" s="34"/>
      <c r="AK974" s="33"/>
      <c r="AL974" s="33"/>
      <c r="AM974" s="33"/>
      <c r="AN974" s="34"/>
      <c r="AO974" s="34"/>
      <c r="AP974" s="33"/>
      <c r="AQ974" s="34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4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5"/>
      <c r="CC974" s="33"/>
      <c r="CD974" s="33"/>
      <c r="CE974" s="33"/>
      <c r="CF974" s="34"/>
      <c r="CG974" s="33"/>
      <c r="CH974" s="33"/>
      <c r="CI974" s="33"/>
      <c r="CJ974" s="33"/>
      <c r="CK974" s="33"/>
      <c r="CL974" s="33"/>
      <c r="CM974" s="33"/>
      <c r="CN974" s="33"/>
      <c r="CO974" s="33"/>
      <c r="CP974" s="33"/>
      <c r="CQ974" s="33"/>
      <c r="CR974" s="33"/>
      <c r="CS974" s="33"/>
      <c r="CT974" s="33"/>
      <c r="CU974" s="33"/>
      <c r="CV974" s="33"/>
      <c r="CW974" s="33"/>
      <c r="CX974" s="33"/>
      <c r="CY974" s="33"/>
      <c r="CZ974" s="34"/>
      <c r="DA974" s="33"/>
      <c r="DB974" s="33"/>
      <c r="DC974" s="33"/>
      <c r="DD974" s="33"/>
      <c r="DE974" s="33"/>
      <c r="DF974" s="33"/>
      <c r="DG974" s="33"/>
      <c r="DH974" s="33"/>
      <c r="DI974" s="33"/>
      <c r="DJ974" s="33"/>
      <c r="DK974" s="33"/>
      <c r="DL974" s="33"/>
      <c r="DM974" s="34"/>
      <c r="DN974" s="34"/>
      <c r="DO974" s="33"/>
      <c r="DP974" s="33"/>
      <c r="DQ974" s="33"/>
      <c r="DR974" s="33"/>
      <c r="DS974" s="33"/>
      <c r="DT974" s="33"/>
      <c r="DU974" s="33"/>
      <c r="DV974" s="33"/>
      <c r="DW974" s="33"/>
      <c r="DX974" s="33"/>
      <c r="DY974" s="33"/>
      <c r="DZ974" s="33"/>
      <c r="EA974" s="33"/>
      <c r="EB974" s="33"/>
      <c r="EC974" s="33"/>
      <c r="ED974" s="33"/>
      <c r="EE974" s="33"/>
      <c r="EF974" s="33"/>
      <c r="EG974" s="38"/>
    </row>
    <row r="975" spans="2:137" ht="13.2">
      <c r="B975" s="30" t="str">
        <f t="shared" si="28"/>
        <v/>
      </c>
      <c r="C975" s="31" t="str">
        <f t="shared" si="30"/>
        <v/>
      </c>
      <c r="D975" s="32"/>
      <c r="E975" s="33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3"/>
      <c r="R975" s="33"/>
      <c r="S975" s="33"/>
      <c r="T975" s="33"/>
      <c r="U975" s="35"/>
      <c r="V975" s="36"/>
      <c r="W975" s="37"/>
      <c r="X975" s="34"/>
      <c r="Y975" s="33"/>
      <c r="Z975" s="33"/>
      <c r="AA975" s="33"/>
      <c r="AB975" s="35"/>
      <c r="AC975" s="34"/>
      <c r="AD975" s="34"/>
      <c r="AE975" s="34"/>
      <c r="AF975" s="34"/>
      <c r="AG975" s="34"/>
      <c r="AH975" s="33"/>
      <c r="AI975" s="33"/>
      <c r="AJ975" s="34"/>
      <c r="AK975" s="33"/>
      <c r="AL975" s="33"/>
      <c r="AM975" s="33"/>
      <c r="AN975" s="34"/>
      <c r="AO975" s="34"/>
      <c r="AP975" s="33"/>
      <c r="AQ975" s="34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4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5"/>
      <c r="CC975" s="33"/>
      <c r="CD975" s="33"/>
      <c r="CE975" s="33"/>
      <c r="CF975" s="34"/>
      <c r="CG975" s="33"/>
      <c r="CH975" s="33"/>
      <c r="CI975" s="33"/>
      <c r="CJ975" s="33"/>
      <c r="CK975" s="33"/>
      <c r="CL975" s="33"/>
      <c r="CM975" s="33"/>
      <c r="CN975" s="33"/>
      <c r="CO975" s="33"/>
      <c r="CP975" s="33"/>
      <c r="CQ975" s="33"/>
      <c r="CR975" s="33"/>
      <c r="CS975" s="33"/>
      <c r="CT975" s="33"/>
      <c r="CU975" s="33"/>
      <c r="CV975" s="33"/>
      <c r="CW975" s="33"/>
      <c r="CX975" s="33"/>
      <c r="CY975" s="33"/>
      <c r="CZ975" s="34"/>
      <c r="DA975" s="33"/>
      <c r="DB975" s="33"/>
      <c r="DC975" s="33"/>
      <c r="DD975" s="33"/>
      <c r="DE975" s="33"/>
      <c r="DF975" s="33"/>
      <c r="DG975" s="33"/>
      <c r="DH975" s="33"/>
      <c r="DI975" s="33"/>
      <c r="DJ975" s="33"/>
      <c r="DK975" s="33"/>
      <c r="DL975" s="33"/>
      <c r="DM975" s="34"/>
      <c r="DN975" s="34"/>
      <c r="DO975" s="33"/>
      <c r="DP975" s="33"/>
      <c r="DQ975" s="33"/>
      <c r="DR975" s="33"/>
      <c r="DS975" s="33"/>
      <c r="DT975" s="33"/>
      <c r="DU975" s="33"/>
      <c r="DV975" s="33"/>
      <c r="DW975" s="33"/>
      <c r="DX975" s="33"/>
      <c r="DY975" s="33"/>
      <c r="DZ975" s="33"/>
      <c r="EA975" s="33"/>
      <c r="EB975" s="33"/>
      <c r="EC975" s="33"/>
      <c r="ED975" s="33"/>
      <c r="EE975" s="33"/>
      <c r="EF975" s="33"/>
      <c r="EG975" s="38"/>
    </row>
    <row r="976" spans="2:137" ht="13.2">
      <c r="B976" s="30" t="str">
        <f t="shared" si="28"/>
        <v/>
      </c>
      <c r="C976" s="31" t="str">
        <f t="shared" si="30"/>
        <v/>
      </c>
      <c r="D976" s="32"/>
      <c r="E976" s="33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3"/>
      <c r="R976" s="33"/>
      <c r="S976" s="33"/>
      <c r="T976" s="33"/>
      <c r="U976" s="35"/>
      <c r="V976" s="36"/>
      <c r="W976" s="37"/>
      <c r="X976" s="34"/>
      <c r="Y976" s="33"/>
      <c r="Z976" s="33"/>
      <c r="AA976" s="33"/>
      <c r="AB976" s="35"/>
      <c r="AC976" s="34"/>
      <c r="AD976" s="34"/>
      <c r="AE976" s="34"/>
      <c r="AF976" s="34"/>
      <c r="AG976" s="34"/>
      <c r="AH976" s="33"/>
      <c r="AI976" s="33"/>
      <c r="AJ976" s="34"/>
      <c r="AK976" s="33"/>
      <c r="AL976" s="33"/>
      <c r="AM976" s="33"/>
      <c r="AN976" s="34"/>
      <c r="AO976" s="34"/>
      <c r="AP976" s="33"/>
      <c r="AQ976" s="34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4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5"/>
      <c r="CC976" s="33"/>
      <c r="CD976" s="33"/>
      <c r="CE976" s="33"/>
      <c r="CF976" s="34"/>
      <c r="CG976" s="33"/>
      <c r="CH976" s="33"/>
      <c r="CI976" s="33"/>
      <c r="CJ976" s="33"/>
      <c r="CK976" s="33"/>
      <c r="CL976" s="33"/>
      <c r="CM976" s="33"/>
      <c r="CN976" s="33"/>
      <c r="CO976" s="33"/>
      <c r="CP976" s="33"/>
      <c r="CQ976" s="33"/>
      <c r="CR976" s="33"/>
      <c r="CS976" s="33"/>
      <c r="CT976" s="33"/>
      <c r="CU976" s="33"/>
      <c r="CV976" s="33"/>
      <c r="CW976" s="33"/>
      <c r="CX976" s="33"/>
      <c r="CY976" s="33"/>
      <c r="CZ976" s="34"/>
      <c r="DA976" s="33"/>
      <c r="DB976" s="33"/>
      <c r="DC976" s="33"/>
      <c r="DD976" s="33"/>
      <c r="DE976" s="33"/>
      <c r="DF976" s="33"/>
      <c r="DG976" s="33"/>
      <c r="DH976" s="33"/>
      <c r="DI976" s="33"/>
      <c r="DJ976" s="33"/>
      <c r="DK976" s="33"/>
      <c r="DL976" s="33"/>
      <c r="DM976" s="34"/>
      <c r="DN976" s="34"/>
      <c r="DO976" s="33"/>
      <c r="DP976" s="33"/>
      <c r="DQ976" s="33"/>
      <c r="DR976" s="33"/>
      <c r="DS976" s="33"/>
      <c r="DT976" s="33"/>
      <c r="DU976" s="33"/>
      <c r="DV976" s="33"/>
      <c r="DW976" s="33"/>
      <c r="DX976" s="33"/>
      <c r="DY976" s="33"/>
      <c r="DZ976" s="33"/>
      <c r="EA976" s="33"/>
      <c r="EB976" s="33"/>
      <c r="EC976" s="33"/>
      <c r="ED976" s="33"/>
      <c r="EE976" s="33"/>
      <c r="EF976" s="33"/>
      <c r="EG976" s="38"/>
    </row>
    <row r="977" spans="2:137" ht="13.2">
      <c r="B977" s="30" t="str">
        <f t="shared" si="28"/>
        <v/>
      </c>
      <c r="C977" s="31" t="str">
        <f t="shared" si="30"/>
        <v/>
      </c>
      <c r="D977" s="32"/>
      <c r="E977" s="33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3"/>
      <c r="R977" s="33"/>
      <c r="S977" s="33"/>
      <c r="T977" s="33"/>
      <c r="U977" s="35"/>
      <c r="V977" s="36"/>
      <c r="W977" s="37"/>
      <c r="X977" s="34"/>
      <c r="Y977" s="33"/>
      <c r="Z977" s="33"/>
      <c r="AA977" s="33"/>
      <c r="AB977" s="35"/>
      <c r="AC977" s="34"/>
      <c r="AD977" s="34"/>
      <c r="AE977" s="34"/>
      <c r="AF977" s="34"/>
      <c r="AG977" s="34"/>
      <c r="AH977" s="33"/>
      <c r="AI977" s="33"/>
      <c r="AJ977" s="34"/>
      <c r="AK977" s="33"/>
      <c r="AL977" s="33"/>
      <c r="AM977" s="33"/>
      <c r="AN977" s="34"/>
      <c r="AO977" s="34"/>
      <c r="AP977" s="33"/>
      <c r="AQ977" s="34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4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5"/>
      <c r="CC977" s="33"/>
      <c r="CD977" s="33"/>
      <c r="CE977" s="33"/>
      <c r="CF977" s="34"/>
      <c r="CG977" s="33"/>
      <c r="CH977" s="33"/>
      <c r="CI977" s="33"/>
      <c r="CJ977" s="33"/>
      <c r="CK977" s="33"/>
      <c r="CL977" s="33"/>
      <c r="CM977" s="33"/>
      <c r="CN977" s="33"/>
      <c r="CO977" s="33"/>
      <c r="CP977" s="33"/>
      <c r="CQ977" s="33"/>
      <c r="CR977" s="33"/>
      <c r="CS977" s="33"/>
      <c r="CT977" s="33"/>
      <c r="CU977" s="33"/>
      <c r="CV977" s="33"/>
      <c r="CW977" s="33"/>
      <c r="CX977" s="33"/>
      <c r="CY977" s="33"/>
      <c r="CZ977" s="34"/>
      <c r="DA977" s="33"/>
      <c r="DB977" s="33"/>
      <c r="DC977" s="33"/>
      <c r="DD977" s="33"/>
      <c r="DE977" s="33"/>
      <c r="DF977" s="33"/>
      <c r="DG977" s="33"/>
      <c r="DH977" s="33"/>
      <c r="DI977" s="33"/>
      <c r="DJ977" s="33"/>
      <c r="DK977" s="33"/>
      <c r="DL977" s="33"/>
      <c r="DM977" s="34"/>
      <c r="DN977" s="34"/>
      <c r="DO977" s="33"/>
      <c r="DP977" s="33"/>
      <c r="DQ977" s="33"/>
      <c r="DR977" s="33"/>
      <c r="DS977" s="33"/>
      <c r="DT977" s="33"/>
      <c r="DU977" s="33"/>
      <c r="DV977" s="33"/>
      <c r="DW977" s="33"/>
      <c r="DX977" s="33"/>
      <c r="DY977" s="33"/>
      <c r="DZ977" s="33"/>
      <c r="EA977" s="33"/>
      <c r="EB977" s="33"/>
      <c r="EC977" s="33"/>
      <c r="ED977" s="33"/>
      <c r="EE977" s="33"/>
      <c r="EF977" s="33"/>
      <c r="EG977" s="38"/>
    </row>
    <row r="978" spans="2:137" ht="13.2">
      <c r="B978" s="30" t="str">
        <f t="shared" si="28"/>
        <v/>
      </c>
      <c r="C978" s="31" t="str">
        <f t="shared" si="30"/>
        <v/>
      </c>
      <c r="D978" s="32"/>
      <c r="E978" s="33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3"/>
      <c r="R978" s="33"/>
      <c r="S978" s="33"/>
      <c r="T978" s="33"/>
      <c r="U978" s="35"/>
      <c r="V978" s="36"/>
      <c r="W978" s="37"/>
      <c r="X978" s="34"/>
      <c r="Y978" s="33"/>
      <c r="Z978" s="33"/>
      <c r="AA978" s="33"/>
      <c r="AB978" s="35"/>
      <c r="AC978" s="34"/>
      <c r="AD978" s="34"/>
      <c r="AE978" s="34"/>
      <c r="AF978" s="34"/>
      <c r="AG978" s="34"/>
      <c r="AH978" s="33"/>
      <c r="AI978" s="33"/>
      <c r="AJ978" s="34"/>
      <c r="AK978" s="33"/>
      <c r="AL978" s="33"/>
      <c r="AM978" s="33"/>
      <c r="AN978" s="34"/>
      <c r="AO978" s="34"/>
      <c r="AP978" s="33"/>
      <c r="AQ978" s="34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4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5"/>
      <c r="CC978" s="33"/>
      <c r="CD978" s="33"/>
      <c r="CE978" s="33"/>
      <c r="CF978" s="34"/>
      <c r="CG978" s="33"/>
      <c r="CH978" s="33"/>
      <c r="CI978" s="33"/>
      <c r="CJ978" s="33"/>
      <c r="CK978" s="33"/>
      <c r="CL978" s="33"/>
      <c r="CM978" s="33"/>
      <c r="CN978" s="33"/>
      <c r="CO978" s="33"/>
      <c r="CP978" s="33"/>
      <c r="CQ978" s="33"/>
      <c r="CR978" s="33"/>
      <c r="CS978" s="33"/>
      <c r="CT978" s="33"/>
      <c r="CU978" s="33"/>
      <c r="CV978" s="33"/>
      <c r="CW978" s="33"/>
      <c r="CX978" s="33"/>
      <c r="CY978" s="33"/>
      <c r="CZ978" s="34"/>
      <c r="DA978" s="33"/>
      <c r="DB978" s="33"/>
      <c r="DC978" s="33"/>
      <c r="DD978" s="33"/>
      <c r="DE978" s="33"/>
      <c r="DF978" s="33"/>
      <c r="DG978" s="33"/>
      <c r="DH978" s="33"/>
      <c r="DI978" s="33"/>
      <c r="DJ978" s="33"/>
      <c r="DK978" s="33"/>
      <c r="DL978" s="33"/>
      <c r="DM978" s="34"/>
      <c r="DN978" s="34"/>
      <c r="DO978" s="33"/>
      <c r="DP978" s="33"/>
      <c r="DQ978" s="33"/>
      <c r="DR978" s="33"/>
      <c r="DS978" s="33"/>
      <c r="DT978" s="33"/>
      <c r="DU978" s="33"/>
      <c r="DV978" s="33"/>
      <c r="DW978" s="33"/>
      <c r="DX978" s="33"/>
      <c r="DY978" s="33"/>
      <c r="DZ978" s="33"/>
      <c r="EA978" s="33"/>
      <c r="EB978" s="33"/>
      <c r="EC978" s="33"/>
      <c r="ED978" s="33"/>
      <c r="EE978" s="33"/>
      <c r="EF978" s="33"/>
      <c r="EG978" s="38"/>
    </row>
    <row r="979" spans="2:137" ht="13.2">
      <c r="B979" s="30" t="str">
        <f t="shared" si="28"/>
        <v/>
      </c>
      <c r="C979" s="31" t="str">
        <f t="shared" si="30"/>
        <v/>
      </c>
      <c r="D979" s="32"/>
      <c r="E979" s="33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3"/>
      <c r="R979" s="33"/>
      <c r="S979" s="33"/>
      <c r="T979" s="33"/>
      <c r="U979" s="35"/>
      <c r="V979" s="36"/>
      <c r="W979" s="37"/>
      <c r="X979" s="34"/>
      <c r="Y979" s="33"/>
      <c r="Z979" s="33"/>
      <c r="AA979" s="33"/>
      <c r="AB979" s="35"/>
      <c r="AC979" s="34"/>
      <c r="AD979" s="34"/>
      <c r="AE979" s="34"/>
      <c r="AF979" s="34"/>
      <c r="AG979" s="34"/>
      <c r="AH979" s="33"/>
      <c r="AI979" s="33"/>
      <c r="AJ979" s="34"/>
      <c r="AK979" s="33"/>
      <c r="AL979" s="33"/>
      <c r="AM979" s="33"/>
      <c r="AN979" s="34"/>
      <c r="AO979" s="34"/>
      <c r="AP979" s="33"/>
      <c r="AQ979" s="34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4"/>
      <c r="BM979" s="33"/>
      <c r="BN979" s="33"/>
      <c r="BO979" s="33"/>
      <c r="BP979" s="33"/>
      <c r="BQ979" s="33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5"/>
      <c r="CC979" s="33"/>
      <c r="CD979" s="33"/>
      <c r="CE979" s="33"/>
      <c r="CF979" s="34"/>
      <c r="CG979" s="33"/>
      <c r="CH979" s="33"/>
      <c r="CI979" s="33"/>
      <c r="CJ979" s="33"/>
      <c r="CK979" s="33"/>
      <c r="CL979" s="33"/>
      <c r="CM979" s="33"/>
      <c r="CN979" s="33"/>
      <c r="CO979" s="33"/>
      <c r="CP979" s="33"/>
      <c r="CQ979" s="33"/>
      <c r="CR979" s="33"/>
      <c r="CS979" s="33"/>
      <c r="CT979" s="33"/>
      <c r="CU979" s="33"/>
      <c r="CV979" s="33"/>
      <c r="CW979" s="33"/>
      <c r="CX979" s="33"/>
      <c r="CY979" s="33"/>
      <c r="CZ979" s="34"/>
      <c r="DA979" s="33"/>
      <c r="DB979" s="33"/>
      <c r="DC979" s="33"/>
      <c r="DD979" s="33"/>
      <c r="DE979" s="33"/>
      <c r="DF979" s="33"/>
      <c r="DG979" s="33"/>
      <c r="DH979" s="33"/>
      <c r="DI979" s="33"/>
      <c r="DJ979" s="33"/>
      <c r="DK979" s="33"/>
      <c r="DL979" s="33"/>
      <c r="DM979" s="34"/>
      <c r="DN979" s="34"/>
      <c r="DO979" s="33"/>
      <c r="DP979" s="33"/>
      <c r="DQ979" s="33"/>
      <c r="DR979" s="33"/>
      <c r="DS979" s="33"/>
      <c r="DT979" s="33"/>
      <c r="DU979" s="33"/>
      <c r="DV979" s="33"/>
      <c r="DW979" s="33"/>
      <c r="DX979" s="33"/>
      <c r="DY979" s="33"/>
      <c r="DZ979" s="33"/>
      <c r="EA979" s="33"/>
      <c r="EB979" s="33"/>
      <c r="EC979" s="33"/>
      <c r="ED979" s="33"/>
      <c r="EE979" s="33"/>
      <c r="EF979" s="33"/>
      <c r="EG979" s="38"/>
    </row>
    <row r="980" spans="2:137" ht="13.2">
      <c r="B980" s="30" t="str">
        <f t="shared" si="28"/>
        <v/>
      </c>
      <c r="C980" s="31" t="str">
        <f t="shared" si="30"/>
        <v/>
      </c>
      <c r="D980" s="32"/>
      <c r="E980" s="33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3"/>
      <c r="R980" s="33"/>
      <c r="S980" s="33"/>
      <c r="T980" s="33"/>
      <c r="U980" s="35"/>
      <c r="V980" s="36"/>
      <c r="W980" s="37"/>
      <c r="X980" s="34"/>
      <c r="Y980" s="33"/>
      <c r="Z980" s="33"/>
      <c r="AA980" s="33"/>
      <c r="AB980" s="35"/>
      <c r="AC980" s="34"/>
      <c r="AD980" s="34"/>
      <c r="AE980" s="34"/>
      <c r="AF980" s="34"/>
      <c r="AG980" s="34"/>
      <c r="AH980" s="33"/>
      <c r="AI980" s="33"/>
      <c r="AJ980" s="34"/>
      <c r="AK980" s="33"/>
      <c r="AL980" s="33"/>
      <c r="AM980" s="33"/>
      <c r="AN980" s="34"/>
      <c r="AO980" s="34"/>
      <c r="AP980" s="33"/>
      <c r="AQ980" s="34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4"/>
      <c r="BM980" s="33"/>
      <c r="BN980" s="33"/>
      <c r="BO980" s="33"/>
      <c r="BP980" s="33"/>
      <c r="BQ980" s="33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5"/>
      <c r="CC980" s="33"/>
      <c r="CD980" s="33"/>
      <c r="CE980" s="33"/>
      <c r="CF980" s="34"/>
      <c r="CG980" s="33"/>
      <c r="CH980" s="33"/>
      <c r="CI980" s="33"/>
      <c r="CJ980" s="33"/>
      <c r="CK980" s="33"/>
      <c r="CL980" s="33"/>
      <c r="CM980" s="33"/>
      <c r="CN980" s="33"/>
      <c r="CO980" s="33"/>
      <c r="CP980" s="33"/>
      <c r="CQ980" s="33"/>
      <c r="CR980" s="33"/>
      <c r="CS980" s="33"/>
      <c r="CT980" s="33"/>
      <c r="CU980" s="33"/>
      <c r="CV980" s="33"/>
      <c r="CW980" s="33"/>
      <c r="CX980" s="33"/>
      <c r="CY980" s="33"/>
      <c r="CZ980" s="34"/>
      <c r="DA980" s="33"/>
      <c r="DB980" s="33"/>
      <c r="DC980" s="33"/>
      <c r="DD980" s="33"/>
      <c r="DE980" s="33"/>
      <c r="DF980" s="33"/>
      <c r="DG980" s="33"/>
      <c r="DH980" s="33"/>
      <c r="DI980" s="33"/>
      <c r="DJ980" s="33"/>
      <c r="DK980" s="33"/>
      <c r="DL980" s="33"/>
      <c r="DM980" s="34"/>
      <c r="DN980" s="34"/>
      <c r="DO980" s="33"/>
      <c r="DP980" s="33"/>
      <c r="DQ980" s="33"/>
      <c r="DR980" s="33"/>
      <c r="DS980" s="33"/>
      <c r="DT980" s="33"/>
      <c r="DU980" s="33"/>
      <c r="DV980" s="33"/>
      <c r="DW980" s="33"/>
      <c r="DX980" s="33"/>
      <c r="DY980" s="33"/>
      <c r="DZ980" s="33"/>
      <c r="EA980" s="33"/>
      <c r="EB980" s="33"/>
      <c r="EC980" s="33"/>
      <c r="ED980" s="33"/>
      <c r="EE980" s="33"/>
      <c r="EF980" s="33"/>
      <c r="EG980" s="38"/>
    </row>
    <row r="981" spans="2:137" ht="13.2">
      <c r="B981" s="30" t="str">
        <f t="shared" si="28"/>
        <v/>
      </c>
      <c r="C981" s="31" t="str">
        <f t="shared" si="30"/>
        <v/>
      </c>
      <c r="D981" s="32"/>
      <c r="E981" s="33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3"/>
      <c r="R981" s="33"/>
      <c r="S981" s="33"/>
      <c r="T981" s="33"/>
      <c r="U981" s="35"/>
      <c r="V981" s="36"/>
      <c r="W981" s="37"/>
      <c r="X981" s="34"/>
      <c r="Y981" s="33"/>
      <c r="Z981" s="33"/>
      <c r="AA981" s="33"/>
      <c r="AB981" s="35"/>
      <c r="AC981" s="34"/>
      <c r="AD981" s="34"/>
      <c r="AE981" s="34"/>
      <c r="AF981" s="34"/>
      <c r="AG981" s="34"/>
      <c r="AH981" s="33"/>
      <c r="AI981" s="33"/>
      <c r="AJ981" s="34"/>
      <c r="AK981" s="33"/>
      <c r="AL981" s="33"/>
      <c r="AM981" s="33"/>
      <c r="AN981" s="34"/>
      <c r="AO981" s="34"/>
      <c r="AP981" s="33"/>
      <c r="AQ981" s="34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4"/>
      <c r="BM981" s="33"/>
      <c r="BN981" s="33"/>
      <c r="BO981" s="33"/>
      <c r="BP981" s="33"/>
      <c r="BQ981" s="33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5"/>
      <c r="CC981" s="33"/>
      <c r="CD981" s="33"/>
      <c r="CE981" s="33"/>
      <c r="CF981" s="34"/>
      <c r="CG981" s="33"/>
      <c r="CH981" s="33"/>
      <c r="CI981" s="33"/>
      <c r="CJ981" s="33"/>
      <c r="CK981" s="33"/>
      <c r="CL981" s="33"/>
      <c r="CM981" s="33"/>
      <c r="CN981" s="33"/>
      <c r="CO981" s="33"/>
      <c r="CP981" s="33"/>
      <c r="CQ981" s="33"/>
      <c r="CR981" s="33"/>
      <c r="CS981" s="33"/>
      <c r="CT981" s="33"/>
      <c r="CU981" s="33"/>
      <c r="CV981" s="33"/>
      <c r="CW981" s="33"/>
      <c r="CX981" s="33"/>
      <c r="CY981" s="33"/>
      <c r="CZ981" s="34"/>
      <c r="DA981" s="33"/>
      <c r="DB981" s="33"/>
      <c r="DC981" s="33"/>
      <c r="DD981" s="33"/>
      <c r="DE981" s="33"/>
      <c r="DF981" s="33"/>
      <c r="DG981" s="33"/>
      <c r="DH981" s="33"/>
      <c r="DI981" s="33"/>
      <c r="DJ981" s="33"/>
      <c r="DK981" s="33"/>
      <c r="DL981" s="33"/>
      <c r="DM981" s="34"/>
      <c r="DN981" s="34"/>
      <c r="DO981" s="33"/>
      <c r="DP981" s="33"/>
      <c r="DQ981" s="33"/>
      <c r="DR981" s="33"/>
      <c r="DS981" s="33"/>
      <c r="DT981" s="33"/>
      <c r="DU981" s="33"/>
      <c r="DV981" s="33"/>
      <c r="DW981" s="33"/>
      <c r="DX981" s="33"/>
      <c r="DY981" s="33"/>
      <c r="DZ981" s="33"/>
      <c r="EA981" s="33"/>
      <c r="EB981" s="33"/>
      <c r="EC981" s="33"/>
      <c r="ED981" s="33"/>
      <c r="EE981" s="33"/>
      <c r="EF981" s="33"/>
      <c r="EG981" s="38"/>
    </row>
    <row r="982" spans="2:137" ht="13.2">
      <c r="B982" s="30" t="str">
        <f t="shared" si="28"/>
        <v/>
      </c>
      <c r="C982" s="31" t="str">
        <f t="shared" si="30"/>
        <v/>
      </c>
      <c r="D982" s="32"/>
      <c r="E982" s="33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3"/>
      <c r="R982" s="33"/>
      <c r="S982" s="33"/>
      <c r="T982" s="33"/>
      <c r="U982" s="35"/>
      <c r="V982" s="36"/>
      <c r="W982" s="37"/>
      <c r="X982" s="34"/>
      <c r="Y982" s="33"/>
      <c r="Z982" s="33"/>
      <c r="AA982" s="33"/>
      <c r="AB982" s="35"/>
      <c r="AC982" s="34"/>
      <c r="AD982" s="34"/>
      <c r="AE982" s="34"/>
      <c r="AF982" s="34"/>
      <c r="AG982" s="34"/>
      <c r="AH982" s="33"/>
      <c r="AI982" s="33"/>
      <c r="AJ982" s="34"/>
      <c r="AK982" s="33"/>
      <c r="AL982" s="33"/>
      <c r="AM982" s="33"/>
      <c r="AN982" s="34"/>
      <c r="AO982" s="34"/>
      <c r="AP982" s="33"/>
      <c r="AQ982" s="34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4"/>
      <c r="BM982" s="33"/>
      <c r="BN982" s="33"/>
      <c r="BO982" s="33"/>
      <c r="BP982" s="33"/>
      <c r="BQ982" s="33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5"/>
      <c r="CC982" s="33"/>
      <c r="CD982" s="33"/>
      <c r="CE982" s="33"/>
      <c r="CF982" s="34"/>
      <c r="CG982" s="33"/>
      <c r="CH982" s="33"/>
      <c r="CI982" s="33"/>
      <c r="CJ982" s="33"/>
      <c r="CK982" s="33"/>
      <c r="CL982" s="33"/>
      <c r="CM982" s="33"/>
      <c r="CN982" s="33"/>
      <c r="CO982" s="33"/>
      <c r="CP982" s="33"/>
      <c r="CQ982" s="33"/>
      <c r="CR982" s="33"/>
      <c r="CS982" s="33"/>
      <c r="CT982" s="33"/>
      <c r="CU982" s="33"/>
      <c r="CV982" s="33"/>
      <c r="CW982" s="33"/>
      <c r="CX982" s="33"/>
      <c r="CY982" s="33"/>
      <c r="CZ982" s="34"/>
      <c r="DA982" s="33"/>
      <c r="DB982" s="33"/>
      <c r="DC982" s="33"/>
      <c r="DD982" s="33"/>
      <c r="DE982" s="33"/>
      <c r="DF982" s="33"/>
      <c r="DG982" s="33"/>
      <c r="DH982" s="33"/>
      <c r="DI982" s="33"/>
      <c r="DJ982" s="33"/>
      <c r="DK982" s="33"/>
      <c r="DL982" s="33"/>
      <c r="DM982" s="34"/>
      <c r="DN982" s="34"/>
      <c r="DO982" s="33"/>
      <c r="DP982" s="33"/>
      <c r="DQ982" s="33"/>
      <c r="DR982" s="33"/>
      <c r="DS982" s="33"/>
      <c r="DT982" s="33"/>
      <c r="DU982" s="33"/>
      <c r="DV982" s="33"/>
      <c r="DW982" s="33"/>
      <c r="DX982" s="33"/>
      <c r="DY982" s="33"/>
      <c r="DZ982" s="33"/>
      <c r="EA982" s="33"/>
      <c r="EB982" s="33"/>
      <c r="EC982" s="33"/>
      <c r="ED982" s="33"/>
      <c r="EE982" s="33"/>
      <c r="EF982" s="33"/>
      <c r="EG982" s="38"/>
    </row>
    <row r="983" spans="2:137" ht="13.2">
      <c r="B983" s="30" t="str">
        <f t="shared" si="28"/>
        <v/>
      </c>
      <c r="C983" s="31" t="str">
        <f t="shared" si="30"/>
        <v/>
      </c>
      <c r="D983" s="32"/>
      <c r="E983" s="33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3"/>
      <c r="R983" s="33"/>
      <c r="S983" s="33"/>
      <c r="T983" s="33"/>
      <c r="U983" s="35"/>
      <c r="V983" s="36"/>
      <c r="W983" s="37"/>
      <c r="X983" s="34"/>
      <c r="Y983" s="33"/>
      <c r="Z983" s="33"/>
      <c r="AA983" s="33"/>
      <c r="AB983" s="35"/>
      <c r="AC983" s="34"/>
      <c r="AD983" s="34"/>
      <c r="AE983" s="34"/>
      <c r="AF983" s="34"/>
      <c r="AG983" s="34"/>
      <c r="AH983" s="33"/>
      <c r="AI983" s="33"/>
      <c r="AJ983" s="34"/>
      <c r="AK983" s="33"/>
      <c r="AL983" s="33"/>
      <c r="AM983" s="33"/>
      <c r="AN983" s="34"/>
      <c r="AO983" s="34"/>
      <c r="AP983" s="33"/>
      <c r="AQ983" s="34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4"/>
      <c r="BM983" s="33"/>
      <c r="BN983" s="33"/>
      <c r="BO983" s="33"/>
      <c r="BP983" s="33"/>
      <c r="BQ983" s="33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5"/>
      <c r="CC983" s="33"/>
      <c r="CD983" s="33"/>
      <c r="CE983" s="33"/>
      <c r="CF983" s="34"/>
      <c r="CG983" s="33"/>
      <c r="CH983" s="33"/>
      <c r="CI983" s="33"/>
      <c r="CJ983" s="33"/>
      <c r="CK983" s="33"/>
      <c r="CL983" s="33"/>
      <c r="CM983" s="33"/>
      <c r="CN983" s="33"/>
      <c r="CO983" s="33"/>
      <c r="CP983" s="33"/>
      <c r="CQ983" s="33"/>
      <c r="CR983" s="33"/>
      <c r="CS983" s="33"/>
      <c r="CT983" s="33"/>
      <c r="CU983" s="33"/>
      <c r="CV983" s="33"/>
      <c r="CW983" s="33"/>
      <c r="CX983" s="33"/>
      <c r="CY983" s="33"/>
      <c r="CZ983" s="34"/>
      <c r="DA983" s="33"/>
      <c r="DB983" s="33"/>
      <c r="DC983" s="33"/>
      <c r="DD983" s="33"/>
      <c r="DE983" s="33"/>
      <c r="DF983" s="33"/>
      <c r="DG983" s="33"/>
      <c r="DH983" s="33"/>
      <c r="DI983" s="33"/>
      <c r="DJ983" s="33"/>
      <c r="DK983" s="33"/>
      <c r="DL983" s="33"/>
      <c r="DM983" s="34"/>
      <c r="DN983" s="34"/>
      <c r="DO983" s="33"/>
      <c r="DP983" s="33"/>
      <c r="DQ983" s="33"/>
      <c r="DR983" s="33"/>
      <c r="DS983" s="33"/>
      <c r="DT983" s="33"/>
      <c r="DU983" s="33"/>
      <c r="DV983" s="33"/>
      <c r="DW983" s="33"/>
      <c r="DX983" s="33"/>
      <c r="DY983" s="33"/>
      <c r="DZ983" s="33"/>
      <c r="EA983" s="33"/>
      <c r="EB983" s="33"/>
      <c r="EC983" s="33"/>
      <c r="ED983" s="33"/>
      <c r="EE983" s="33"/>
      <c r="EF983" s="33"/>
      <c r="EG983" s="38"/>
    </row>
    <row r="984" spans="2:137" ht="13.2">
      <c r="B984" s="30" t="str">
        <f t="shared" si="28"/>
        <v/>
      </c>
      <c r="C984" s="31" t="str">
        <f t="shared" si="30"/>
        <v/>
      </c>
      <c r="D984" s="32"/>
      <c r="E984" s="33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3"/>
      <c r="R984" s="33"/>
      <c r="S984" s="33"/>
      <c r="T984" s="33"/>
      <c r="U984" s="35"/>
      <c r="V984" s="36"/>
      <c r="W984" s="37"/>
      <c r="X984" s="34"/>
      <c r="Y984" s="33"/>
      <c r="Z984" s="33"/>
      <c r="AA984" s="33"/>
      <c r="AB984" s="35"/>
      <c r="AC984" s="34"/>
      <c r="AD984" s="34"/>
      <c r="AE984" s="34"/>
      <c r="AF984" s="34"/>
      <c r="AG984" s="34"/>
      <c r="AH984" s="33"/>
      <c r="AI984" s="33"/>
      <c r="AJ984" s="34"/>
      <c r="AK984" s="33"/>
      <c r="AL984" s="33"/>
      <c r="AM984" s="33"/>
      <c r="AN984" s="34"/>
      <c r="AO984" s="34"/>
      <c r="AP984" s="33"/>
      <c r="AQ984" s="34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4"/>
      <c r="BM984" s="33"/>
      <c r="BN984" s="33"/>
      <c r="BO984" s="33"/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3"/>
      <c r="CA984" s="33"/>
      <c r="CB984" s="35"/>
      <c r="CC984" s="33"/>
      <c r="CD984" s="33"/>
      <c r="CE984" s="33"/>
      <c r="CF984" s="34"/>
      <c r="CG984" s="33"/>
      <c r="CH984" s="33"/>
      <c r="CI984" s="33"/>
      <c r="CJ984" s="33"/>
      <c r="CK984" s="33"/>
      <c r="CL984" s="33"/>
      <c r="CM984" s="33"/>
      <c r="CN984" s="33"/>
      <c r="CO984" s="33"/>
      <c r="CP984" s="33"/>
      <c r="CQ984" s="33"/>
      <c r="CR984" s="33"/>
      <c r="CS984" s="33"/>
      <c r="CT984" s="33"/>
      <c r="CU984" s="33"/>
      <c r="CV984" s="33"/>
      <c r="CW984" s="33"/>
      <c r="CX984" s="33"/>
      <c r="CY984" s="33"/>
      <c r="CZ984" s="34"/>
      <c r="DA984" s="33"/>
      <c r="DB984" s="33"/>
      <c r="DC984" s="33"/>
      <c r="DD984" s="33"/>
      <c r="DE984" s="33"/>
      <c r="DF984" s="33"/>
      <c r="DG984" s="33"/>
      <c r="DH984" s="33"/>
      <c r="DI984" s="33"/>
      <c r="DJ984" s="33"/>
      <c r="DK984" s="33"/>
      <c r="DL984" s="33"/>
      <c r="DM984" s="34"/>
      <c r="DN984" s="34"/>
      <c r="DO984" s="33"/>
      <c r="DP984" s="33"/>
      <c r="DQ984" s="33"/>
      <c r="DR984" s="33"/>
      <c r="DS984" s="33"/>
      <c r="DT984" s="33"/>
      <c r="DU984" s="33"/>
      <c r="DV984" s="33"/>
      <c r="DW984" s="33"/>
      <c r="DX984" s="33"/>
      <c r="DY984" s="33"/>
      <c r="DZ984" s="33"/>
      <c r="EA984" s="33"/>
      <c r="EB984" s="33"/>
      <c r="EC984" s="33"/>
      <c r="ED984" s="33"/>
      <c r="EE984" s="33"/>
      <c r="EF984" s="33"/>
      <c r="EG984" s="38"/>
    </row>
    <row r="985" spans="2:137" ht="13.2">
      <c r="B985" s="30" t="str">
        <f t="shared" si="28"/>
        <v/>
      </c>
      <c r="C985" s="31" t="str">
        <f t="shared" si="30"/>
        <v/>
      </c>
      <c r="D985" s="32"/>
      <c r="E985" s="33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3"/>
      <c r="R985" s="33"/>
      <c r="S985" s="33"/>
      <c r="T985" s="33"/>
      <c r="U985" s="35"/>
      <c r="V985" s="36"/>
      <c r="W985" s="37"/>
      <c r="X985" s="34"/>
      <c r="Y985" s="33"/>
      <c r="Z985" s="33"/>
      <c r="AA985" s="33"/>
      <c r="AB985" s="35"/>
      <c r="AC985" s="34"/>
      <c r="AD985" s="34"/>
      <c r="AE985" s="34"/>
      <c r="AF985" s="34"/>
      <c r="AG985" s="34"/>
      <c r="AH985" s="33"/>
      <c r="AI985" s="33"/>
      <c r="AJ985" s="34"/>
      <c r="AK985" s="33"/>
      <c r="AL985" s="33"/>
      <c r="AM985" s="33"/>
      <c r="AN985" s="34"/>
      <c r="AO985" s="34"/>
      <c r="AP985" s="33"/>
      <c r="AQ985" s="34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4"/>
      <c r="BM985" s="33"/>
      <c r="BN985" s="33"/>
      <c r="BO985" s="33"/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3"/>
      <c r="CA985" s="33"/>
      <c r="CB985" s="35"/>
      <c r="CC985" s="33"/>
      <c r="CD985" s="33"/>
      <c r="CE985" s="33"/>
      <c r="CF985" s="34"/>
      <c r="CG985" s="33"/>
      <c r="CH985" s="33"/>
      <c r="CI985" s="33"/>
      <c r="CJ985" s="33"/>
      <c r="CK985" s="33"/>
      <c r="CL985" s="33"/>
      <c r="CM985" s="33"/>
      <c r="CN985" s="33"/>
      <c r="CO985" s="33"/>
      <c r="CP985" s="33"/>
      <c r="CQ985" s="33"/>
      <c r="CR985" s="33"/>
      <c r="CS985" s="33"/>
      <c r="CT985" s="33"/>
      <c r="CU985" s="33"/>
      <c r="CV985" s="33"/>
      <c r="CW985" s="33"/>
      <c r="CX985" s="33"/>
      <c r="CY985" s="33"/>
      <c r="CZ985" s="34"/>
      <c r="DA985" s="33"/>
      <c r="DB985" s="33"/>
      <c r="DC985" s="33"/>
      <c r="DD985" s="33"/>
      <c r="DE985" s="33"/>
      <c r="DF985" s="33"/>
      <c r="DG985" s="33"/>
      <c r="DH985" s="33"/>
      <c r="DI985" s="33"/>
      <c r="DJ985" s="33"/>
      <c r="DK985" s="33"/>
      <c r="DL985" s="33"/>
      <c r="DM985" s="34"/>
      <c r="DN985" s="34"/>
      <c r="DO985" s="33"/>
      <c r="DP985" s="33"/>
      <c r="DQ985" s="33"/>
      <c r="DR985" s="33"/>
      <c r="DS985" s="33"/>
      <c r="DT985" s="33"/>
      <c r="DU985" s="33"/>
      <c r="DV985" s="33"/>
      <c r="DW985" s="33"/>
      <c r="DX985" s="33"/>
      <c r="DY985" s="33"/>
      <c r="DZ985" s="33"/>
      <c r="EA985" s="33"/>
      <c r="EB985" s="33"/>
      <c r="EC985" s="33"/>
      <c r="ED985" s="33"/>
      <c r="EE985" s="33"/>
      <c r="EF985" s="33"/>
      <c r="EG985" s="38"/>
    </row>
    <row r="986" spans="2:137" ht="13.2">
      <c r="B986" s="30" t="str">
        <f t="shared" si="28"/>
        <v/>
      </c>
      <c r="C986" s="31" t="str">
        <f t="shared" si="30"/>
        <v/>
      </c>
      <c r="D986" s="32"/>
      <c r="E986" s="33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3"/>
      <c r="R986" s="33"/>
      <c r="S986" s="33"/>
      <c r="T986" s="33"/>
      <c r="U986" s="35"/>
      <c r="V986" s="36"/>
      <c r="W986" s="37"/>
      <c r="X986" s="34"/>
      <c r="Y986" s="33"/>
      <c r="Z986" s="33"/>
      <c r="AA986" s="33"/>
      <c r="AB986" s="35"/>
      <c r="AC986" s="34"/>
      <c r="AD986" s="34"/>
      <c r="AE986" s="34"/>
      <c r="AF986" s="34"/>
      <c r="AG986" s="34"/>
      <c r="AH986" s="33"/>
      <c r="AI986" s="33"/>
      <c r="AJ986" s="34"/>
      <c r="AK986" s="33"/>
      <c r="AL986" s="33"/>
      <c r="AM986" s="33"/>
      <c r="AN986" s="34"/>
      <c r="AO986" s="34"/>
      <c r="AP986" s="33"/>
      <c r="AQ986" s="34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4"/>
      <c r="BM986" s="33"/>
      <c r="BN986" s="33"/>
      <c r="BO986" s="33"/>
      <c r="BP986" s="33"/>
      <c r="BQ986" s="33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5"/>
      <c r="CC986" s="33"/>
      <c r="CD986" s="33"/>
      <c r="CE986" s="33"/>
      <c r="CF986" s="34"/>
      <c r="CG986" s="33"/>
      <c r="CH986" s="33"/>
      <c r="CI986" s="33"/>
      <c r="CJ986" s="33"/>
      <c r="CK986" s="33"/>
      <c r="CL986" s="33"/>
      <c r="CM986" s="33"/>
      <c r="CN986" s="33"/>
      <c r="CO986" s="33"/>
      <c r="CP986" s="33"/>
      <c r="CQ986" s="33"/>
      <c r="CR986" s="33"/>
      <c r="CS986" s="33"/>
      <c r="CT986" s="33"/>
      <c r="CU986" s="33"/>
      <c r="CV986" s="33"/>
      <c r="CW986" s="33"/>
      <c r="CX986" s="33"/>
      <c r="CY986" s="33"/>
      <c r="CZ986" s="34"/>
      <c r="DA986" s="33"/>
      <c r="DB986" s="33"/>
      <c r="DC986" s="33"/>
      <c r="DD986" s="33"/>
      <c r="DE986" s="33"/>
      <c r="DF986" s="33"/>
      <c r="DG986" s="33"/>
      <c r="DH986" s="33"/>
      <c r="DI986" s="33"/>
      <c r="DJ986" s="33"/>
      <c r="DK986" s="33"/>
      <c r="DL986" s="33"/>
      <c r="DM986" s="34"/>
      <c r="DN986" s="34"/>
      <c r="DO986" s="33"/>
      <c r="DP986" s="33"/>
      <c r="DQ986" s="33"/>
      <c r="DR986" s="33"/>
      <c r="DS986" s="33"/>
      <c r="DT986" s="33"/>
      <c r="DU986" s="33"/>
      <c r="DV986" s="33"/>
      <c r="DW986" s="33"/>
      <c r="DX986" s="33"/>
      <c r="DY986" s="33"/>
      <c r="DZ986" s="33"/>
      <c r="EA986" s="33"/>
      <c r="EB986" s="33"/>
      <c r="EC986" s="33"/>
      <c r="ED986" s="33"/>
      <c r="EE986" s="33"/>
      <c r="EF986" s="33"/>
      <c r="EG986" s="38"/>
    </row>
    <row r="987" spans="2:137" ht="13.2">
      <c r="B987" s="30" t="str">
        <f t="shared" si="28"/>
        <v/>
      </c>
      <c r="C987" s="31" t="str">
        <f t="shared" si="30"/>
        <v/>
      </c>
      <c r="D987" s="32"/>
      <c r="E987" s="33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3"/>
      <c r="R987" s="33"/>
      <c r="S987" s="33"/>
      <c r="T987" s="33"/>
      <c r="U987" s="35"/>
      <c r="V987" s="36"/>
      <c r="W987" s="37"/>
      <c r="X987" s="34"/>
      <c r="Y987" s="33"/>
      <c r="Z987" s="33"/>
      <c r="AA987" s="33"/>
      <c r="AB987" s="35"/>
      <c r="AC987" s="34"/>
      <c r="AD987" s="34"/>
      <c r="AE987" s="34"/>
      <c r="AF987" s="34"/>
      <c r="AG987" s="34"/>
      <c r="AH987" s="33"/>
      <c r="AI987" s="33"/>
      <c r="AJ987" s="34"/>
      <c r="AK987" s="33"/>
      <c r="AL987" s="33"/>
      <c r="AM987" s="33"/>
      <c r="AN987" s="34"/>
      <c r="AO987" s="34"/>
      <c r="AP987" s="33"/>
      <c r="AQ987" s="34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4"/>
      <c r="BM987" s="33"/>
      <c r="BN987" s="33"/>
      <c r="BO987" s="33"/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5"/>
      <c r="CC987" s="33"/>
      <c r="CD987" s="33"/>
      <c r="CE987" s="33"/>
      <c r="CF987" s="34"/>
      <c r="CG987" s="33"/>
      <c r="CH987" s="33"/>
      <c r="CI987" s="33"/>
      <c r="CJ987" s="33"/>
      <c r="CK987" s="33"/>
      <c r="CL987" s="33"/>
      <c r="CM987" s="33"/>
      <c r="CN987" s="33"/>
      <c r="CO987" s="33"/>
      <c r="CP987" s="33"/>
      <c r="CQ987" s="33"/>
      <c r="CR987" s="33"/>
      <c r="CS987" s="33"/>
      <c r="CT987" s="33"/>
      <c r="CU987" s="33"/>
      <c r="CV987" s="33"/>
      <c r="CW987" s="33"/>
      <c r="CX987" s="33"/>
      <c r="CY987" s="33"/>
      <c r="CZ987" s="34"/>
      <c r="DA987" s="33"/>
      <c r="DB987" s="33"/>
      <c r="DC987" s="33"/>
      <c r="DD987" s="33"/>
      <c r="DE987" s="33"/>
      <c r="DF987" s="33"/>
      <c r="DG987" s="33"/>
      <c r="DH987" s="33"/>
      <c r="DI987" s="33"/>
      <c r="DJ987" s="33"/>
      <c r="DK987" s="33"/>
      <c r="DL987" s="33"/>
      <c r="DM987" s="34"/>
      <c r="DN987" s="34"/>
      <c r="DO987" s="33"/>
      <c r="DP987" s="33"/>
      <c r="DQ987" s="33"/>
      <c r="DR987" s="33"/>
      <c r="DS987" s="33"/>
      <c r="DT987" s="33"/>
      <c r="DU987" s="33"/>
      <c r="DV987" s="33"/>
      <c r="DW987" s="33"/>
      <c r="DX987" s="33"/>
      <c r="DY987" s="33"/>
      <c r="DZ987" s="33"/>
      <c r="EA987" s="33"/>
      <c r="EB987" s="33"/>
      <c r="EC987" s="33"/>
      <c r="ED987" s="33"/>
      <c r="EE987" s="33"/>
      <c r="EF987" s="33"/>
      <c r="EG987" s="38"/>
    </row>
    <row r="988" spans="2:137" ht="13.2">
      <c r="B988" s="30" t="str">
        <f t="shared" si="28"/>
        <v/>
      </c>
      <c r="C988" s="31" t="str">
        <f t="shared" si="30"/>
        <v/>
      </c>
      <c r="D988" s="32"/>
      <c r="E988" s="33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3"/>
      <c r="R988" s="33"/>
      <c r="S988" s="33"/>
      <c r="T988" s="33"/>
      <c r="U988" s="35"/>
      <c r="V988" s="36"/>
      <c r="W988" s="37"/>
      <c r="X988" s="34"/>
      <c r="Y988" s="33"/>
      <c r="Z988" s="33"/>
      <c r="AA988" s="33"/>
      <c r="AB988" s="35"/>
      <c r="AC988" s="34"/>
      <c r="AD988" s="34"/>
      <c r="AE988" s="34"/>
      <c r="AF988" s="34"/>
      <c r="AG988" s="34"/>
      <c r="AH988" s="33"/>
      <c r="AI988" s="33"/>
      <c r="AJ988" s="34"/>
      <c r="AK988" s="33"/>
      <c r="AL988" s="33"/>
      <c r="AM988" s="33"/>
      <c r="AN988" s="34"/>
      <c r="AO988" s="34"/>
      <c r="AP988" s="33"/>
      <c r="AQ988" s="34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4"/>
      <c r="BM988" s="33"/>
      <c r="BN988" s="33"/>
      <c r="BO988" s="33"/>
      <c r="BP988" s="33"/>
      <c r="BQ988" s="33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5"/>
      <c r="CC988" s="33"/>
      <c r="CD988" s="33"/>
      <c r="CE988" s="33"/>
      <c r="CF988" s="34"/>
      <c r="CG988" s="33"/>
      <c r="CH988" s="33"/>
      <c r="CI988" s="33"/>
      <c r="CJ988" s="33"/>
      <c r="CK988" s="33"/>
      <c r="CL988" s="33"/>
      <c r="CM988" s="33"/>
      <c r="CN988" s="33"/>
      <c r="CO988" s="33"/>
      <c r="CP988" s="33"/>
      <c r="CQ988" s="33"/>
      <c r="CR988" s="33"/>
      <c r="CS988" s="33"/>
      <c r="CT988" s="33"/>
      <c r="CU988" s="33"/>
      <c r="CV988" s="33"/>
      <c r="CW988" s="33"/>
      <c r="CX988" s="33"/>
      <c r="CY988" s="33"/>
      <c r="CZ988" s="34"/>
      <c r="DA988" s="33"/>
      <c r="DB988" s="33"/>
      <c r="DC988" s="33"/>
      <c r="DD988" s="33"/>
      <c r="DE988" s="33"/>
      <c r="DF988" s="33"/>
      <c r="DG988" s="33"/>
      <c r="DH988" s="33"/>
      <c r="DI988" s="33"/>
      <c r="DJ988" s="33"/>
      <c r="DK988" s="33"/>
      <c r="DL988" s="33"/>
      <c r="DM988" s="34"/>
      <c r="DN988" s="34"/>
      <c r="DO988" s="33"/>
      <c r="DP988" s="33"/>
      <c r="DQ988" s="33"/>
      <c r="DR988" s="33"/>
      <c r="DS988" s="33"/>
      <c r="DT988" s="33"/>
      <c r="DU988" s="33"/>
      <c r="DV988" s="33"/>
      <c r="DW988" s="33"/>
      <c r="DX988" s="33"/>
      <c r="DY988" s="33"/>
      <c r="DZ988" s="33"/>
      <c r="EA988" s="33"/>
      <c r="EB988" s="33"/>
      <c r="EC988" s="33"/>
      <c r="ED988" s="33"/>
      <c r="EE988" s="33"/>
      <c r="EF988" s="33"/>
      <c r="EG988" s="38"/>
    </row>
    <row r="989" spans="2:137" ht="13.2">
      <c r="B989" s="30" t="str">
        <f t="shared" si="28"/>
        <v/>
      </c>
      <c r="C989" s="31" t="str">
        <f t="shared" si="30"/>
        <v/>
      </c>
      <c r="D989" s="32"/>
      <c r="E989" s="33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3"/>
      <c r="R989" s="33"/>
      <c r="S989" s="33"/>
      <c r="T989" s="33"/>
      <c r="U989" s="35"/>
      <c r="V989" s="36"/>
      <c r="W989" s="37"/>
      <c r="X989" s="34"/>
      <c r="Y989" s="33"/>
      <c r="Z989" s="33"/>
      <c r="AA989" s="33"/>
      <c r="AB989" s="35"/>
      <c r="AC989" s="34"/>
      <c r="AD989" s="34"/>
      <c r="AE989" s="34"/>
      <c r="AF989" s="34"/>
      <c r="AG989" s="34"/>
      <c r="AH989" s="33"/>
      <c r="AI989" s="33"/>
      <c r="AJ989" s="34"/>
      <c r="AK989" s="33"/>
      <c r="AL989" s="33"/>
      <c r="AM989" s="33"/>
      <c r="AN989" s="34"/>
      <c r="AO989" s="34"/>
      <c r="AP989" s="33"/>
      <c r="AQ989" s="34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4"/>
      <c r="BM989" s="33"/>
      <c r="BN989" s="33"/>
      <c r="BO989" s="33"/>
      <c r="BP989" s="33"/>
      <c r="BQ989" s="33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5"/>
      <c r="CC989" s="33"/>
      <c r="CD989" s="33"/>
      <c r="CE989" s="33"/>
      <c r="CF989" s="34"/>
      <c r="CG989" s="33"/>
      <c r="CH989" s="33"/>
      <c r="CI989" s="33"/>
      <c r="CJ989" s="33"/>
      <c r="CK989" s="33"/>
      <c r="CL989" s="33"/>
      <c r="CM989" s="33"/>
      <c r="CN989" s="33"/>
      <c r="CO989" s="33"/>
      <c r="CP989" s="33"/>
      <c r="CQ989" s="33"/>
      <c r="CR989" s="33"/>
      <c r="CS989" s="33"/>
      <c r="CT989" s="33"/>
      <c r="CU989" s="33"/>
      <c r="CV989" s="33"/>
      <c r="CW989" s="33"/>
      <c r="CX989" s="33"/>
      <c r="CY989" s="33"/>
      <c r="CZ989" s="34"/>
      <c r="DA989" s="33"/>
      <c r="DB989" s="33"/>
      <c r="DC989" s="33"/>
      <c r="DD989" s="33"/>
      <c r="DE989" s="33"/>
      <c r="DF989" s="33"/>
      <c r="DG989" s="33"/>
      <c r="DH989" s="33"/>
      <c r="DI989" s="33"/>
      <c r="DJ989" s="33"/>
      <c r="DK989" s="33"/>
      <c r="DL989" s="33"/>
      <c r="DM989" s="34"/>
      <c r="DN989" s="34"/>
      <c r="DO989" s="33"/>
      <c r="DP989" s="33"/>
      <c r="DQ989" s="33"/>
      <c r="DR989" s="33"/>
      <c r="DS989" s="33"/>
      <c r="DT989" s="33"/>
      <c r="DU989" s="33"/>
      <c r="DV989" s="33"/>
      <c r="DW989" s="33"/>
      <c r="DX989" s="33"/>
      <c r="DY989" s="33"/>
      <c r="DZ989" s="33"/>
      <c r="EA989" s="33"/>
      <c r="EB989" s="33"/>
      <c r="EC989" s="33"/>
      <c r="ED989" s="33"/>
      <c r="EE989" s="33"/>
      <c r="EF989" s="33"/>
      <c r="EG989" s="38"/>
    </row>
    <row r="990" spans="2:137" ht="13.2">
      <c r="B990" s="30" t="str">
        <f t="shared" si="28"/>
        <v/>
      </c>
      <c r="C990" s="31" t="str">
        <f t="shared" si="30"/>
        <v/>
      </c>
      <c r="D990" s="32"/>
      <c r="E990" s="33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3"/>
      <c r="R990" s="33"/>
      <c r="S990" s="33"/>
      <c r="T990" s="33"/>
      <c r="U990" s="35"/>
      <c r="V990" s="36"/>
      <c r="W990" s="37"/>
      <c r="X990" s="34"/>
      <c r="Y990" s="33"/>
      <c r="Z990" s="33"/>
      <c r="AA990" s="33"/>
      <c r="AB990" s="35"/>
      <c r="AC990" s="34"/>
      <c r="AD990" s="34"/>
      <c r="AE990" s="34"/>
      <c r="AF990" s="34"/>
      <c r="AG990" s="34"/>
      <c r="AH990" s="33"/>
      <c r="AI990" s="33"/>
      <c r="AJ990" s="34"/>
      <c r="AK990" s="33"/>
      <c r="AL990" s="33"/>
      <c r="AM990" s="33"/>
      <c r="AN990" s="34"/>
      <c r="AO990" s="34"/>
      <c r="AP990" s="33"/>
      <c r="AQ990" s="34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4"/>
      <c r="BM990" s="33"/>
      <c r="BN990" s="33"/>
      <c r="BO990" s="33"/>
      <c r="BP990" s="33"/>
      <c r="BQ990" s="33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5"/>
      <c r="CC990" s="33"/>
      <c r="CD990" s="33"/>
      <c r="CE990" s="33"/>
      <c r="CF990" s="34"/>
      <c r="CG990" s="33"/>
      <c r="CH990" s="33"/>
      <c r="CI990" s="33"/>
      <c r="CJ990" s="33"/>
      <c r="CK990" s="33"/>
      <c r="CL990" s="33"/>
      <c r="CM990" s="33"/>
      <c r="CN990" s="33"/>
      <c r="CO990" s="33"/>
      <c r="CP990" s="33"/>
      <c r="CQ990" s="33"/>
      <c r="CR990" s="33"/>
      <c r="CS990" s="33"/>
      <c r="CT990" s="33"/>
      <c r="CU990" s="33"/>
      <c r="CV990" s="33"/>
      <c r="CW990" s="33"/>
      <c r="CX990" s="33"/>
      <c r="CY990" s="33"/>
      <c r="CZ990" s="34"/>
      <c r="DA990" s="33"/>
      <c r="DB990" s="33"/>
      <c r="DC990" s="33"/>
      <c r="DD990" s="33"/>
      <c r="DE990" s="33"/>
      <c r="DF990" s="33"/>
      <c r="DG990" s="33"/>
      <c r="DH990" s="33"/>
      <c r="DI990" s="33"/>
      <c r="DJ990" s="33"/>
      <c r="DK990" s="33"/>
      <c r="DL990" s="33"/>
      <c r="DM990" s="34"/>
      <c r="DN990" s="34"/>
      <c r="DO990" s="33"/>
      <c r="DP990" s="33"/>
      <c r="DQ990" s="33"/>
      <c r="DR990" s="33"/>
      <c r="DS990" s="33"/>
      <c r="DT990" s="33"/>
      <c r="DU990" s="33"/>
      <c r="DV990" s="33"/>
      <c r="DW990" s="33"/>
      <c r="DX990" s="33"/>
      <c r="DY990" s="33"/>
      <c r="DZ990" s="33"/>
      <c r="EA990" s="33"/>
      <c r="EB990" s="33"/>
      <c r="EC990" s="33"/>
      <c r="ED990" s="33"/>
      <c r="EE990" s="33"/>
      <c r="EF990" s="33"/>
      <c r="EG990" s="38"/>
    </row>
    <row r="991" spans="2:137" ht="13.2">
      <c r="B991" s="30" t="str">
        <f t="shared" si="28"/>
        <v/>
      </c>
      <c r="C991" s="31" t="str">
        <f t="shared" si="30"/>
        <v/>
      </c>
      <c r="D991" s="32"/>
      <c r="E991" s="33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3"/>
      <c r="R991" s="33"/>
      <c r="S991" s="33"/>
      <c r="T991" s="33"/>
      <c r="U991" s="35"/>
      <c r="V991" s="36"/>
      <c r="W991" s="37"/>
      <c r="X991" s="34"/>
      <c r="Y991" s="33"/>
      <c r="Z991" s="33"/>
      <c r="AA991" s="33"/>
      <c r="AB991" s="35"/>
      <c r="AC991" s="34"/>
      <c r="AD991" s="34"/>
      <c r="AE991" s="34"/>
      <c r="AF991" s="34"/>
      <c r="AG991" s="34"/>
      <c r="AH991" s="33"/>
      <c r="AI991" s="33"/>
      <c r="AJ991" s="34"/>
      <c r="AK991" s="33"/>
      <c r="AL991" s="33"/>
      <c r="AM991" s="33"/>
      <c r="AN991" s="34"/>
      <c r="AO991" s="34"/>
      <c r="AP991" s="33"/>
      <c r="AQ991" s="34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4"/>
      <c r="BM991" s="33"/>
      <c r="BN991" s="33"/>
      <c r="BO991" s="33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5"/>
      <c r="CC991" s="33"/>
      <c r="CD991" s="33"/>
      <c r="CE991" s="33"/>
      <c r="CF991" s="34"/>
      <c r="CG991" s="33"/>
      <c r="CH991" s="33"/>
      <c r="CI991" s="33"/>
      <c r="CJ991" s="33"/>
      <c r="CK991" s="33"/>
      <c r="CL991" s="33"/>
      <c r="CM991" s="33"/>
      <c r="CN991" s="33"/>
      <c r="CO991" s="33"/>
      <c r="CP991" s="33"/>
      <c r="CQ991" s="33"/>
      <c r="CR991" s="33"/>
      <c r="CS991" s="33"/>
      <c r="CT991" s="33"/>
      <c r="CU991" s="33"/>
      <c r="CV991" s="33"/>
      <c r="CW991" s="33"/>
      <c r="CX991" s="33"/>
      <c r="CY991" s="33"/>
      <c r="CZ991" s="34"/>
      <c r="DA991" s="33"/>
      <c r="DB991" s="33"/>
      <c r="DC991" s="33"/>
      <c r="DD991" s="33"/>
      <c r="DE991" s="33"/>
      <c r="DF991" s="33"/>
      <c r="DG991" s="33"/>
      <c r="DH991" s="33"/>
      <c r="DI991" s="33"/>
      <c r="DJ991" s="33"/>
      <c r="DK991" s="33"/>
      <c r="DL991" s="33"/>
      <c r="DM991" s="34"/>
      <c r="DN991" s="34"/>
      <c r="DO991" s="33"/>
      <c r="DP991" s="33"/>
      <c r="DQ991" s="33"/>
      <c r="DR991" s="33"/>
      <c r="DS991" s="33"/>
      <c r="DT991" s="33"/>
      <c r="DU991" s="33"/>
      <c r="DV991" s="33"/>
      <c r="DW991" s="33"/>
      <c r="DX991" s="33"/>
      <c r="DY991" s="33"/>
      <c r="DZ991" s="33"/>
      <c r="EA991" s="33"/>
      <c r="EB991" s="33"/>
      <c r="EC991" s="33"/>
      <c r="ED991" s="33"/>
      <c r="EE991" s="33"/>
      <c r="EF991" s="33"/>
      <c r="EG991" s="38"/>
    </row>
    <row r="992" spans="2:137" ht="13.2">
      <c r="B992" s="30" t="str">
        <f t="shared" si="28"/>
        <v/>
      </c>
      <c r="C992" s="31" t="str">
        <f t="shared" si="30"/>
        <v/>
      </c>
      <c r="D992" s="32"/>
      <c r="E992" s="33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3"/>
      <c r="R992" s="33"/>
      <c r="S992" s="33"/>
      <c r="T992" s="33"/>
      <c r="U992" s="35"/>
      <c r="V992" s="36"/>
      <c r="W992" s="37"/>
      <c r="X992" s="34"/>
      <c r="Y992" s="33"/>
      <c r="Z992" s="33"/>
      <c r="AA992" s="33"/>
      <c r="AB992" s="35"/>
      <c r="AC992" s="34"/>
      <c r="AD992" s="34"/>
      <c r="AE992" s="34"/>
      <c r="AF992" s="34"/>
      <c r="AG992" s="34"/>
      <c r="AH992" s="33"/>
      <c r="AI992" s="33"/>
      <c r="AJ992" s="34"/>
      <c r="AK992" s="33"/>
      <c r="AL992" s="33"/>
      <c r="AM992" s="33"/>
      <c r="AN992" s="34"/>
      <c r="AO992" s="34"/>
      <c r="AP992" s="33"/>
      <c r="AQ992" s="34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4"/>
      <c r="BM992" s="33"/>
      <c r="BN992" s="33"/>
      <c r="BO992" s="33"/>
      <c r="BP992" s="33"/>
      <c r="BQ992" s="33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5"/>
      <c r="CC992" s="33"/>
      <c r="CD992" s="33"/>
      <c r="CE992" s="33"/>
      <c r="CF992" s="34"/>
      <c r="CG992" s="33"/>
      <c r="CH992" s="33"/>
      <c r="CI992" s="33"/>
      <c r="CJ992" s="33"/>
      <c r="CK992" s="33"/>
      <c r="CL992" s="33"/>
      <c r="CM992" s="33"/>
      <c r="CN992" s="33"/>
      <c r="CO992" s="33"/>
      <c r="CP992" s="33"/>
      <c r="CQ992" s="33"/>
      <c r="CR992" s="33"/>
      <c r="CS992" s="33"/>
      <c r="CT992" s="33"/>
      <c r="CU992" s="33"/>
      <c r="CV992" s="33"/>
      <c r="CW992" s="33"/>
      <c r="CX992" s="33"/>
      <c r="CY992" s="33"/>
      <c r="CZ992" s="34"/>
      <c r="DA992" s="33"/>
      <c r="DB992" s="33"/>
      <c r="DC992" s="33"/>
      <c r="DD992" s="33"/>
      <c r="DE992" s="33"/>
      <c r="DF992" s="33"/>
      <c r="DG992" s="33"/>
      <c r="DH992" s="33"/>
      <c r="DI992" s="33"/>
      <c r="DJ992" s="33"/>
      <c r="DK992" s="33"/>
      <c r="DL992" s="33"/>
      <c r="DM992" s="34"/>
      <c r="DN992" s="34"/>
      <c r="DO992" s="33"/>
      <c r="DP992" s="33"/>
      <c r="DQ992" s="33"/>
      <c r="DR992" s="33"/>
      <c r="DS992" s="33"/>
      <c r="DT992" s="33"/>
      <c r="DU992" s="33"/>
      <c r="DV992" s="33"/>
      <c r="DW992" s="33"/>
      <c r="DX992" s="33"/>
      <c r="DY992" s="33"/>
      <c r="DZ992" s="33"/>
      <c r="EA992" s="33"/>
      <c r="EB992" s="33"/>
      <c r="EC992" s="33"/>
      <c r="ED992" s="33"/>
      <c r="EE992" s="33"/>
      <c r="EF992" s="33"/>
      <c r="EG992" s="38"/>
    </row>
    <row r="993" spans="2:137" ht="13.2">
      <c r="B993" s="30" t="str">
        <f t="shared" si="28"/>
        <v/>
      </c>
      <c r="C993" s="31" t="str">
        <f t="shared" si="30"/>
        <v/>
      </c>
      <c r="D993" s="32"/>
      <c r="E993" s="33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3"/>
      <c r="R993" s="33"/>
      <c r="S993" s="33"/>
      <c r="T993" s="33"/>
      <c r="U993" s="35"/>
      <c r="V993" s="36"/>
      <c r="W993" s="37"/>
      <c r="X993" s="34"/>
      <c r="Y993" s="33"/>
      <c r="Z993" s="33"/>
      <c r="AA993" s="33"/>
      <c r="AB993" s="35"/>
      <c r="AC993" s="34"/>
      <c r="AD993" s="34"/>
      <c r="AE993" s="34"/>
      <c r="AF993" s="34"/>
      <c r="AG993" s="34"/>
      <c r="AH993" s="33"/>
      <c r="AI993" s="33"/>
      <c r="AJ993" s="34"/>
      <c r="AK993" s="33"/>
      <c r="AL993" s="33"/>
      <c r="AM993" s="33"/>
      <c r="AN993" s="34"/>
      <c r="AO993" s="34"/>
      <c r="AP993" s="33"/>
      <c r="AQ993" s="34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4"/>
      <c r="BM993" s="33"/>
      <c r="BN993" s="33"/>
      <c r="BO993" s="33"/>
      <c r="BP993" s="33"/>
      <c r="BQ993" s="33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5"/>
      <c r="CC993" s="33"/>
      <c r="CD993" s="33"/>
      <c r="CE993" s="33"/>
      <c r="CF993" s="34"/>
      <c r="CG993" s="33"/>
      <c r="CH993" s="33"/>
      <c r="CI993" s="33"/>
      <c r="CJ993" s="33"/>
      <c r="CK993" s="33"/>
      <c r="CL993" s="33"/>
      <c r="CM993" s="33"/>
      <c r="CN993" s="33"/>
      <c r="CO993" s="33"/>
      <c r="CP993" s="33"/>
      <c r="CQ993" s="33"/>
      <c r="CR993" s="33"/>
      <c r="CS993" s="33"/>
      <c r="CT993" s="33"/>
      <c r="CU993" s="33"/>
      <c r="CV993" s="33"/>
      <c r="CW993" s="33"/>
      <c r="CX993" s="33"/>
      <c r="CY993" s="33"/>
      <c r="CZ993" s="34"/>
      <c r="DA993" s="33"/>
      <c r="DB993" s="33"/>
      <c r="DC993" s="33"/>
      <c r="DD993" s="33"/>
      <c r="DE993" s="33"/>
      <c r="DF993" s="33"/>
      <c r="DG993" s="33"/>
      <c r="DH993" s="33"/>
      <c r="DI993" s="33"/>
      <c r="DJ993" s="33"/>
      <c r="DK993" s="33"/>
      <c r="DL993" s="33"/>
      <c r="DM993" s="34"/>
      <c r="DN993" s="34"/>
      <c r="DO993" s="33"/>
      <c r="DP993" s="33"/>
      <c r="DQ993" s="33"/>
      <c r="DR993" s="33"/>
      <c r="DS993" s="33"/>
      <c r="DT993" s="33"/>
      <c r="DU993" s="33"/>
      <c r="DV993" s="33"/>
      <c r="DW993" s="33"/>
      <c r="DX993" s="33"/>
      <c r="DY993" s="33"/>
      <c r="DZ993" s="33"/>
      <c r="EA993" s="33"/>
      <c r="EB993" s="33"/>
      <c r="EC993" s="33"/>
      <c r="ED993" s="33"/>
      <c r="EE993" s="33"/>
      <c r="EF993" s="33"/>
      <c r="EG993" s="38"/>
    </row>
    <row r="994" spans="2:137" ht="13.2">
      <c r="B994" s="30" t="str">
        <f t="shared" si="28"/>
        <v/>
      </c>
      <c r="C994" s="31" t="str">
        <f t="shared" si="30"/>
        <v/>
      </c>
      <c r="D994" s="32"/>
      <c r="E994" s="33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3"/>
      <c r="R994" s="33"/>
      <c r="S994" s="33"/>
      <c r="T994" s="33"/>
      <c r="U994" s="35"/>
      <c r="V994" s="36"/>
      <c r="W994" s="37"/>
      <c r="X994" s="34"/>
      <c r="Y994" s="33"/>
      <c r="Z994" s="33"/>
      <c r="AA994" s="33"/>
      <c r="AB994" s="35"/>
      <c r="AC994" s="34"/>
      <c r="AD994" s="34"/>
      <c r="AE994" s="34"/>
      <c r="AF994" s="34"/>
      <c r="AG994" s="34"/>
      <c r="AH994" s="33"/>
      <c r="AI994" s="33"/>
      <c r="AJ994" s="34"/>
      <c r="AK994" s="33"/>
      <c r="AL994" s="33"/>
      <c r="AM994" s="33"/>
      <c r="AN994" s="34"/>
      <c r="AO994" s="34"/>
      <c r="AP994" s="33"/>
      <c r="AQ994" s="34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4"/>
      <c r="BM994" s="33"/>
      <c r="BN994" s="33"/>
      <c r="BO994" s="33"/>
      <c r="BP994" s="33"/>
      <c r="BQ994" s="33"/>
      <c r="BR994" s="33"/>
      <c r="BS994" s="33"/>
      <c r="BT994" s="33"/>
      <c r="BU994" s="33"/>
      <c r="BV994" s="33"/>
      <c r="BW994" s="33"/>
      <c r="BX994" s="33"/>
      <c r="BY994" s="33"/>
      <c r="BZ994" s="33"/>
      <c r="CA994" s="33"/>
      <c r="CB994" s="35"/>
      <c r="CC994" s="33"/>
      <c r="CD994" s="33"/>
      <c r="CE994" s="33"/>
      <c r="CF994" s="34"/>
      <c r="CG994" s="33"/>
      <c r="CH994" s="33"/>
      <c r="CI994" s="33"/>
      <c r="CJ994" s="33"/>
      <c r="CK994" s="33"/>
      <c r="CL994" s="33"/>
      <c r="CM994" s="33"/>
      <c r="CN994" s="33"/>
      <c r="CO994" s="33"/>
      <c r="CP994" s="33"/>
      <c r="CQ994" s="33"/>
      <c r="CR994" s="33"/>
      <c r="CS994" s="33"/>
      <c r="CT994" s="33"/>
      <c r="CU994" s="33"/>
      <c r="CV994" s="33"/>
      <c r="CW994" s="33"/>
      <c r="CX994" s="33"/>
      <c r="CY994" s="33"/>
      <c r="CZ994" s="34"/>
      <c r="DA994" s="33"/>
      <c r="DB994" s="33"/>
      <c r="DC994" s="33"/>
      <c r="DD994" s="33"/>
      <c r="DE994" s="33"/>
      <c r="DF994" s="33"/>
      <c r="DG994" s="33"/>
      <c r="DH994" s="33"/>
      <c r="DI994" s="33"/>
      <c r="DJ994" s="33"/>
      <c r="DK994" s="33"/>
      <c r="DL994" s="33"/>
      <c r="DM994" s="34"/>
      <c r="DN994" s="34"/>
      <c r="DO994" s="33"/>
      <c r="DP994" s="33"/>
      <c r="DQ994" s="33"/>
      <c r="DR994" s="33"/>
      <c r="DS994" s="33"/>
      <c r="DT994" s="33"/>
      <c r="DU994" s="33"/>
      <c r="DV994" s="33"/>
      <c r="DW994" s="33"/>
      <c r="DX994" s="33"/>
      <c r="DY994" s="33"/>
      <c r="DZ994" s="33"/>
      <c r="EA994" s="33"/>
      <c r="EB994" s="33"/>
      <c r="EC994" s="33"/>
      <c r="ED994" s="33"/>
      <c r="EE994" s="33"/>
      <c r="EF994" s="33"/>
      <c r="EG994" s="38"/>
    </row>
    <row r="995" spans="2:137" ht="13.2">
      <c r="B995" s="30" t="str">
        <f t="shared" si="28"/>
        <v/>
      </c>
      <c r="C995" s="31" t="str">
        <f t="shared" si="30"/>
        <v/>
      </c>
      <c r="D995" s="48"/>
      <c r="E995" s="49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49"/>
      <c r="R995" s="49"/>
      <c r="S995" s="49"/>
      <c r="T995" s="49"/>
      <c r="U995" s="51"/>
      <c r="V995" s="52"/>
      <c r="W995" s="53"/>
      <c r="X995" s="50"/>
      <c r="Y995" s="49"/>
      <c r="Z995" s="49"/>
      <c r="AA995" s="49"/>
      <c r="AB995" s="51"/>
      <c r="AC995" s="50"/>
      <c r="AD995" s="50"/>
      <c r="AE995" s="50"/>
      <c r="AF995" s="50"/>
      <c r="AG995" s="50"/>
      <c r="AH995" s="49"/>
      <c r="AI995" s="49"/>
      <c r="AJ995" s="50"/>
      <c r="AK995" s="49"/>
      <c r="AL995" s="49"/>
      <c r="AM995" s="49"/>
      <c r="AN995" s="50"/>
      <c r="AO995" s="50"/>
      <c r="AP995" s="49"/>
      <c r="AQ995" s="50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49"/>
      <c r="BJ995" s="49"/>
      <c r="BK995" s="49"/>
      <c r="BL995" s="50"/>
      <c r="BM995" s="49"/>
      <c r="BN995" s="49"/>
      <c r="BO995" s="49"/>
      <c r="BP995" s="49"/>
      <c r="BQ995" s="49"/>
      <c r="BR995" s="49"/>
      <c r="BS995" s="49"/>
      <c r="BT995" s="49"/>
      <c r="BU995" s="49"/>
      <c r="BV995" s="49"/>
      <c r="BW995" s="49"/>
      <c r="BX995" s="49"/>
      <c r="BY995" s="49"/>
      <c r="BZ995" s="49"/>
      <c r="CA995" s="49"/>
      <c r="CB995" s="51"/>
      <c r="CC995" s="49"/>
      <c r="CD995" s="49"/>
      <c r="CE995" s="49"/>
      <c r="CF995" s="50"/>
      <c r="CG995" s="49"/>
      <c r="CH995" s="49"/>
      <c r="CI995" s="49"/>
      <c r="CJ995" s="49"/>
      <c r="CK995" s="49"/>
      <c r="CL995" s="49"/>
      <c r="CM995" s="49"/>
      <c r="CN995" s="49"/>
      <c r="CO995" s="49"/>
      <c r="CP995" s="49"/>
      <c r="CQ995" s="49"/>
      <c r="CR995" s="49"/>
      <c r="CS995" s="49"/>
      <c r="CT995" s="49"/>
      <c r="CU995" s="49"/>
      <c r="CV995" s="49"/>
      <c r="CW995" s="49"/>
      <c r="CX995" s="49"/>
      <c r="CY995" s="49"/>
      <c r="CZ995" s="50"/>
      <c r="DA995" s="49"/>
      <c r="DB995" s="49"/>
      <c r="DC995" s="49"/>
      <c r="DD995" s="49"/>
      <c r="DE995" s="49"/>
      <c r="DF995" s="49"/>
      <c r="DG995" s="49"/>
      <c r="DH995" s="49"/>
      <c r="DI995" s="49"/>
      <c r="DJ995" s="49"/>
      <c r="DK995" s="49"/>
      <c r="DL995" s="49"/>
      <c r="DM995" s="50"/>
      <c r="DN995" s="50"/>
      <c r="DO995" s="49"/>
      <c r="DP995" s="49"/>
      <c r="DQ995" s="49"/>
      <c r="DR995" s="49"/>
      <c r="DS995" s="49"/>
      <c r="DT995" s="49"/>
      <c r="DU995" s="49"/>
      <c r="DV995" s="49"/>
      <c r="DW995" s="49"/>
      <c r="DX995" s="49"/>
      <c r="DY995" s="49"/>
      <c r="DZ995" s="49"/>
      <c r="EA995" s="49"/>
      <c r="EB995" s="49"/>
      <c r="EC995" s="49"/>
      <c r="ED995" s="49"/>
      <c r="EE995" s="49"/>
      <c r="EF995" s="49"/>
      <c r="EG995" s="54"/>
    </row>
  </sheetData>
  <autoFilter ref="B2:EF995" xr:uid="{00000000-0001-0000-0100-000000000000}"/>
  <conditionalFormatting sqref="E317:EG995 E316:BE316 BG316:EG316 E3:EG315 C3:C995">
    <cfRule type="containsText" dxfId="4" priority="1" operator="containsText" text="Não">
      <formula>NOT(ISERROR(SEARCH(("Não"),(C3))))</formula>
    </cfRule>
    <cfRule type="cellIs" dxfId="3" priority="2" operator="greaterThan">
      <formula>50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224"/>
  <sheetViews>
    <sheetView workbookViewId="0">
      <pane ySplit="2" topLeftCell="A841" activePane="bottomLeft" state="frozen"/>
      <selection pane="bottomLeft" activeCell="K844" sqref="K844:K854"/>
    </sheetView>
  </sheetViews>
  <sheetFormatPr defaultColWidth="12.6640625" defaultRowHeight="15.75" customHeight="1" outlineLevelCol="1"/>
  <cols>
    <col min="1" max="1" width="3.33203125" customWidth="1"/>
    <col min="2" max="2" width="6.33203125" customWidth="1" outlineLevel="1"/>
    <col min="4" max="4" width="10.109375" bestFit="1" customWidth="1"/>
    <col min="5" max="5" width="16.77734375" customWidth="1"/>
    <col min="6" max="6" width="30" customWidth="1"/>
    <col min="7" max="7" width="3.77734375" customWidth="1"/>
    <col min="11" max="11" width="13.33203125" customWidth="1"/>
    <col min="12" max="12" width="17.21875" customWidth="1"/>
  </cols>
  <sheetData>
    <row r="1" spans="1:12" ht="13.2">
      <c r="A1" s="55"/>
      <c r="B1" s="56"/>
      <c r="C1" s="56"/>
      <c r="D1" s="56"/>
      <c r="E1" s="56"/>
      <c r="F1" s="57"/>
      <c r="J1" s="58"/>
      <c r="K1" s="55"/>
      <c r="L1" s="55"/>
    </row>
    <row r="2" spans="1:12" ht="13.2">
      <c r="A2" s="55"/>
      <c r="B2" s="59" t="s">
        <v>318</v>
      </c>
      <c r="C2" s="59" t="s">
        <v>319</v>
      </c>
      <c r="D2" s="59" t="s">
        <v>74</v>
      </c>
      <c r="E2" s="59" t="s">
        <v>320</v>
      </c>
      <c r="F2" s="60" t="s">
        <v>321</v>
      </c>
      <c r="J2" s="58"/>
      <c r="K2" s="55"/>
      <c r="L2" s="55"/>
    </row>
    <row r="3" spans="1:12" ht="13.2">
      <c r="A3" s="61"/>
      <c r="B3" s="55" t="str">
        <f t="shared" ref="B3:B257" si="0">IF(D3&gt;0, CONCATENATE(YEAR(D3),"/",MONTH(D3)),"")</f>
        <v>2022/1</v>
      </c>
      <c r="C3" s="31">
        <v>48.3</v>
      </c>
      <c r="D3" s="62">
        <v>44567</v>
      </c>
      <c r="E3" s="55" t="s">
        <v>5</v>
      </c>
      <c r="K3" s="55"/>
      <c r="L3" s="55"/>
    </row>
    <row r="4" spans="1:12" ht="13.2">
      <c r="A4" s="61"/>
      <c r="B4" s="55" t="str">
        <f t="shared" si="0"/>
        <v>2022/1</v>
      </c>
      <c r="C4" s="31">
        <v>30</v>
      </c>
      <c r="D4" s="62">
        <v>44567</v>
      </c>
      <c r="E4" s="55" t="s">
        <v>3</v>
      </c>
      <c r="K4" s="55"/>
      <c r="L4" s="55"/>
    </row>
    <row r="5" spans="1:12" ht="13.2">
      <c r="A5" s="61"/>
      <c r="B5" s="55" t="str">
        <f t="shared" si="0"/>
        <v>2022/1</v>
      </c>
      <c r="C5" s="31">
        <v>529.72</v>
      </c>
      <c r="D5" s="62">
        <v>44571</v>
      </c>
      <c r="E5" s="55" t="s">
        <v>4</v>
      </c>
      <c r="K5" s="55"/>
      <c r="L5" s="55"/>
    </row>
    <row r="6" spans="1:12" ht="13.2">
      <c r="A6" s="61"/>
      <c r="B6" s="55" t="str">
        <f t="shared" si="0"/>
        <v>2022/1</v>
      </c>
      <c r="C6" s="31">
        <v>11</v>
      </c>
      <c r="D6" s="62">
        <v>44578</v>
      </c>
      <c r="E6" s="55" t="s">
        <v>2</v>
      </c>
      <c r="K6" s="55"/>
      <c r="L6" s="55"/>
    </row>
    <row r="7" spans="1:12" ht="13.2">
      <c r="A7" s="61"/>
      <c r="B7" s="55" t="str">
        <f t="shared" si="0"/>
        <v>2022/1</v>
      </c>
      <c r="C7" s="31">
        <v>6</v>
      </c>
      <c r="D7" s="62">
        <v>44578</v>
      </c>
      <c r="E7" s="55" t="s">
        <v>2</v>
      </c>
      <c r="K7" s="55"/>
      <c r="L7" s="55"/>
    </row>
    <row r="8" spans="1:12" ht="13.2">
      <c r="A8" s="61"/>
      <c r="B8" s="55" t="str">
        <f t="shared" si="0"/>
        <v>2022/1</v>
      </c>
      <c r="C8" s="31">
        <v>86.3</v>
      </c>
      <c r="D8" s="62">
        <v>44581</v>
      </c>
      <c r="E8" s="55" t="s">
        <v>3</v>
      </c>
      <c r="K8" s="55"/>
      <c r="L8" s="55"/>
    </row>
    <row r="9" spans="1:12" ht="13.2">
      <c r="A9" s="61"/>
      <c r="B9" s="55" t="str">
        <f t="shared" si="0"/>
        <v>2022/1</v>
      </c>
      <c r="C9" s="31">
        <v>30.11</v>
      </c>
      <c r="D9" s="62">
        <v>44582</v>
      </c>
      <c r="E9" s="55" t="s">
        <v>3</v>
      </c>
      <c r="K9" s="55"/>
      <c r="L9" s="55"/>
    </row>
    <row r="10" spans="1:12" ht="13.2">
      <c r="A10" s="61"/>
      <c r="B10" s="55" t="str">
        <f t="shared" si="0"/>
        <v>2022/1</v>
      </c>
      <c r="C10" s="31">
        <v>50</v>
      </c>
      <c r="D10" s="62">
        <v>44582</v>
      </c>
      <c r="E10" s="55" t="s">
        <v>5</v>
      </c>
      <c r="K10" s="55"/>
      <c r="L10" s="55"/>
    </row>
    <row r="11" spans="1:12" ht="13.2">
      <c r="A11" s="61"/>
      <c r="B11" s="55" t="str">
        <f t="shared" si="0"/>
        <v>2022/1</v>
      </c>
      <c r="C11" s="31">
        <v>50</v>
      </c>
      <c r="D11" s="62">
        <v>44585</v>
      </c>
      <c r="E11" s="55" t="s">
        <v>0</v>
      </c>
      <c r="F11" s="63" t="s">
        <v>322</v>
      </c>
    </row>
    <row r="12" spans="1:12" ht="13.2">
      <c r="A12" s="55"/>
      <c r="B12" s="55" t="str">
        <f t="shared" si="0"/>
        <v>2022/1</v>
      </c>
      <c r="C12" s="31">
        <v>33.729999999999997</v>
      </c>
      <c r="D12" s="62">
        <v>44585</v>
      </c>
      <c r="E12" s="55" t="s">
        <v>2</v>
      </c>
      <c r="K12" s="55"/>
      <c r="L12" s="55"/>
    </row>
    <row r="13" spans="1:12" ht="13.2">
      <c r="A13" s="55"/>
      <c r="B13" s="55" t="str">
        <f t="shared" si="0"/>
        <v>2022/1</v>
      </c>
      <c r="C13" s="31">
        <v>666.16</v>
      </c>
      <c r="D13" s="62">
        <v>44585</v>
      </c>
      <c r="E13" s="55" t="s">
        <v>6</v>
      </c>
      <c r="K13" s="55"/>
      <c r="L13" s="55"/>
    </row>
    <row r="14" spans="1:12" ht="13.2">
      <c r="A14" s="55"/>
      <c r="B14" s="55" t="str">
        <f t="shared" si="0"/>
        <v>2022/1</v>
      </c>
      <c r="C14" s="31">
        <v>33.1</v>
      </c>
      <c r="D14" s="62">
        <v>44592</v>
      </c>
      <c r="E14" s="55" t="s">
        <v>2</v>
      </c>
      <c r="K14" s="55"/>
      <c r="L14" s="55"/>
    </row>
    <row r="15" spans="1:12" ht="13.2">
      <c r="A15" s="55"/>
      <c r="B15" s="55" t="str">
        <f t="shared" si="0"/>
        <v>2022/1</v>
      </c>
      <c r="C15" s="31">
        <v>400</v>
      </c>
      <c r="D15" s="62">
        <v>44592</v>
      </c>
      <c r="E15" s="55" t="s">
        <v>7</v>
      </c>
      <c r="K15" s="55"/>
      <c r="L15" s="55"/>
    </row>
    <row r="16" spans="1:12" ht="13.2">
      <c r="A16" s="55"/>
      <c r="B16" s="55" t="str">
        <f t="shared" si="0"/>
        <v>2022/2</v>
      </c>
      <c r="C16" s="31">
        <v>51.09</v>
      </c>
      <c r="D16" s="62">
        <v>44594</v>
      </c>
      <c r="E16" s="55" t="s">
        <v>3</v>
      </c>
      <c r="K16" s="55"/>
      <c r="L16" s="55"/>
    </row>
    <row r="17" spans="1:12" ht="13.2">
      <c r="A17" s="55"/>
      <c r="B17" s="55" t="str">
        <f t="shared" si="0"/>
        <v>2022/2</v>
      </c>
      <c r="C17" s="31">
        <v>24.15</v>
      </c>
      <c r="D17" s="62">
        <v>44598</v>
      </c>
      <c r="E17" s="55" t="s">
        <v>5</v>
      </c>
      <c r="F17" s="63" t="s">
        <v>323</v>
      </c>
      <c r="K17" s="55"/>
      <c r="L17" s="55"/>
    </row>
    <row r="18" spans="1:12" ht="13.2">
      <c r="A18" s="55"/>
      <c r="B18" s="55" t="str">
        <f t="shared" si="0"/>
        <v>2022/2</v>
      </c>
      <c r="C18" s="31">
        <v>16</v>
      </c>
      <c r="D18" s="62">
        <v>44599</v>
      </c>
      <c r="E18" s="55" t="s">
        <v>2</v>
      </c>
      <c r="K18" s="55"/>
      <c r="L18" s="55"/>
    </row>
    <row r="19" spans="1:12" ht="13.2">
      <c r="A19" s="55"/>
      <c r="B19" s="55" t="str">
        <f t="shared" si="0"/>
        <v>2022/2</v>
      </c>
      <c r="C19" s="31">
        <v>150</v>
      </c>
      <c r="D19" s="62">
        <v>44599</v>
      </c>
      <c r="E19" s="55" t="s">
        <v>0</v>
      </c>
      <c r="F19" s="63" t="s">
        <v>324</v>
      </c>
    </row>
    <row r="20" spans="1:12" ht="13.2">
      <c r="A20" s="55"/>
      <c r="B20" s="55" t="str">
        <f t="shared" si="0"/>
        <v>2022/2</v>
      </c>
      <c r="C20" s="31">
        <v>529.72</v>
      </c>
      <c r="D20" s="62">
        <v>44602</v>
      </c>
      <c r="E20" s="55" t="s">
        <v>4</v>
      </c>
      <c r="K20" s="55"/>
      <c r="L20" s="55"/>
    </row>
    <row r="21" spans="1:12" ht="13.2">
      <c r="A21" s="55"/>
      <c r="B21" s="55" t="str">
        <f t="shared" si="0"/>
        <v>2022/2</v>
      </c>
      <c r="C21" s="31">
        <v>289</v>
      </c>
      <c r="D21" s="62">
        <v>44610</v>
      </c>
      <c r="E21" s="55" t="s">
        <v>5</v>
      </c>
      <c r="F21" s="63" t="s">
        <v>325</v>
      </c>
      <c r="K21" s="55"/>
      <c r="L21" s="55"/>
    </row>
    <row r="22" spans="1:12" ht="13.2">
      <c r="A22" s="55"/>
      <c r="B22" s="55" t="str">
        <f t="shared" si="0"/>
        <v>2022/2</v>
      </c>
      <c r="C22" s="31">
        <v>20.96</v>
      </c>
      <c r="D22" s="62">
        <v>44616</v>
      </c>
      <c r="E22" s="55" t="s">
        <v>3</v>
      </c>
      <c r="K22" s="55"/>
      <c r="L22" s="55"/>
    </row>
    <row r="23" spans="1:12" ht="13.2">
      <c r="A23" s="55"/>
      <c r="B23" s="55" t="str">
        <f t="shared" si="0"/>
        <v>2022/2</v>
      </c>
      <c r="C23" s="31">
        <v>20.96</v>
      </c>
      <c r="D23" s="62">
        <v>44616</v>
      </c>
      <c r="E23" s="55" t="s">
        <v>3</v>
      </c>
      <c r="K23" s="55"/>
      <c r="L23" s="55"/>
    </row>
    <row r="24" spans="1:12" ht="13.2">
      <c r="A24" s="55"/>
      <c r="B24" s="55" t="str">
        <f t="shared" si="0"/>
        <v>2022/2</v>
      </c>
      <c r="C24" s="31">
        <v>6</v>
      </c>
      <c r="D24" s="62">
        <v>44620</v>
      </c>
      <c r="E24" s="55" t="s">
        <v>2</v>
      </c>
      <c r="K24" s="55"/>
      <c r="L24" s="55"/>
    </row>
    <row r="25" spans="1:12" ht="13.2">
      <c r="A25" s="55"/>
      <c r="B25" s="55" t="str">
        <f t="shared" si="0"/>
        <v>2022/2</v>
      </c>
      <c r="C25" s="31">
        <v>400</v>
      </c>
      <c r="D25" s="62">
        <v>44620</v>
      </c>
      <c r="E25" s="55" t="s">
        <v>7</v>
      </c>
      <c r="K25" s="55"/>
      <c r="L25" s="55"/>
    </row>
    <row r="26" spans="1:12" ht="13.2">
      <c r="A26" s="55"/>
      <c r="B26" s="55" t="str">
        <f t="shared" si="0"/>
        <v>2022/2</v>
      </c>
      <c r="C26" s="31">
        <v>150</v>
      </c>
      <c r="D26" s="62">
        <v>44620</v>
      </c>
      <c r="E26" s="55" t="s">
        <v>0</v>
      </c>
      <c r="F26" s="64" t="s">
        <v>326</v>
      </c>
    </row>
    <row r="27" spans="1:12" ht="13.2">
      <c r="A27" s="55"/>
      <c r="B27" s="55" t="str">
        <f t="shared" si="0"/>
        <v>2022/2</v>
      </c>
      <c r="C27" s="31">
        <v>50</v>
      </c>
      <c r="D27" s="62">
        <v>44620</v>
      </c>
      <c r="E27" s="55" t="s">
        <v>0</v>
      </c>
      <c r="F27" s="64" t="s">
        <v>322</v>
      </c>
    </row>
    <row r="28" spans="1:12" ht="13.2">
      <c r="A28" s="55"/>
      <c r="B28" s="55" t="str">
        <f t="shared" si="0"/>
        <v>2022/2</v>
      </c>
      <c r="C28" s="31">
        <v>200</v>
      </c>
      <c r="D28" s="62">
        <v>44620</v>
      </c>
      <c r="E28" s="55" t="s">
        <v>6</v>
      </c>
      <c r="F28" s="64" t="s">
        <v>327</v>
      </c>
      <c r="K28" s="55"/>
      <c r="L28" s="55"/>
    </row>
    <row r="29" spans="1:12" ht="13.2">
      <c r="A29" s="55"/>
      <c r="B29" s="55" t="str">
        <f t="shared" si="0"/>
        <v>2022/3</v>
      </c>
      <c r="C29" s="31">
        <v>49.07</v>
      </c>
      <c r="D29" s="62">
        <v>44623</v>
      </c>
      <c r="E29" s="55" t="s">
        <v>3</v>
      </c>
      <c r="K29" s="55"/>
      <c r="L29" s="55"/>
    </row>
    <row r="30" spans="1:12" ht="13.2">
      <c r="A30" s="55"/>
      <c r="B30" s="55" t="str">
        <f t="shared" si="0"/>
        <v>2022/3</v>
      </c>
      <c r="C30" s="31">
        <v>240</v>
      </c>
      <c r="D30" s="62">
        <v>44624</v>
      </c>
      <c r="E30" s="55" t="s">
        <v>7</v>
      </c>
      <c r="K30" s="55"/>
      <c r="L30" s="55"/>
    </row>
    <row r="31" spans="1:12" ht="13.2">
      <c r="A31" s="55"/>
      <c r="B31" s="55" t="str">
        <f t="shared" si="0"/>
        <v>2022/3</v>
      </c>
      <c r="C31" s="31">
        <v>20</v>
      </c>
      <c r="D31" s="62">
        <v>44627</v>
      </c>
      <c r="E31" s="55" t="s">
        <v>2</v>
      </c>
      <c r="K31" s="55"/>
      <c r="L31" s="55"/>
    </row>
    <row r="32" spans="1:12" ht="13.2">
      <c r="A32" s="55"/>
      <c r="B32" s="55" t="str">
        <f t="shared" si="0"/>
        <v>2022/3</v>
      </c>
      <c r="C32" s="31">
        <v>16</v>
      </c>
      <c r="D32" s="62">
        <v>44628</v>
      </c>
      <c r="E32" s="55" t="s">
        <v>2</v>
      </c>
      <c r="K32" s="55"/>
      <c r="L32" s="55"/>
    </row>
    <row r="33" spans="1:12" ht="13.2">
      <c r="A33" s="55"/>
      <c r="B33" s="55" t="str">
        <f t="shared" si="0"/>
        <v>2022/3</v>
      </c>
      <c r="C33" s="31">
        <v>150</v>
      </c>
      <c r="D33" s="62">
        <v>44628</v>
      </c>
      <c r="E33" s="55" t="s">
        <v>0</v>
      </c>
      <c r="F33" s="64" t="s">
        <v>328</v>
      </c>
    </row>
    <row r="34" spans="1:12" ht="13.2">
      <c r="A34" s="55"/>
      <c r="B34" s="55" t="str">
        <f t="shared" si="0"/>
        <v>2022/3</v>
      </c>
      <c r="C34" s="31">
        <v>150</v>
      </c>
      <c r="D34" s="62">
        <v>44630</v>
      </c>
      <c r="E34" s="55" t="s">
        <v>0</v>
      </c>
      <c r="F34" s="63" t="s">
        <v>328</v>
      </c>
    </row>
    <row r="35" spans="1:12" ht="13.2">
      <c r="A35" s="55"/>
      <c r="B35" s="55" t="str">
        <f t="shared" si="0"/>
        <v>2022/3</v>
      </c>
      <c r="C35" s="31">
        <v>20</v>
      </c>
      <c r="D35" s="62">
        <v>44630</v>
      </c>
      <c r="E35" s="55" t="s">
        <v>2</v>
      </c>
      <c r="K35" s="55"/>
      <c r="L35" s="55"/>
    </row>
    <row r="36" spans="1:12" ht="13.2">
      <c r="A36" s="55"/>
      <c r="B36" s="55" t="str">
        <f t="shared" si="0"/>
        <v>2022/3</v>
      </c>
      <c r="C36" s="31">
        <v>529.72</v>
      </c>
      <c r="D36" s="62">
        <v>44630</v>
      </c>
      <c r="E36" s="55" t="s">
        <v>4</v>
      </c>
      <c r="K36" s="55"/>
      <c r="L36" s="55"/>
    </row>
    <row r="37" spans="1:12" ht="13.2">
      <c r="A37" s="55"/>
      <c r="B37" s="55" t="str">
        <f t="shared" si="0"/>
        <v>2022/3</v>
      </c>
      <c r="C37" s="31">
        <v>200</v>
      </c>
      <c r="D37" s="62">
        <v>44630</v>
      </c>
      <c r="E37" s="55" t="s">
        <v>6</v>
      </c>
      <c r="K37" s="55"/>
      <c r="L37" s="55"/>
    </row>
    <row r="38" spans="1:12" ht="13.2">
      <c r="A38" s="55"/>
      <c r="B38" s="55" t="str">
        <f t="shared" si="0"/>
        <v>2022/3</v>
      </c>
      <c r="C38" s="31">
        <v>150</v>
      </c>
      <c r="D38" s="62">
        <v>44631</v>
      </c>
      <c r="E38" s="55" t="s">
        <v>0</v>
      </c>
      <c r="F38" s="63" t="s">
        <v>329</v>
      </c>
    </row>
    <row r="39" spans="1:12" ht="13.2">
      <c r="A39" s="55"/>
      <c r="B39" s="55" t="str">
        <f t="shared" si="0"/>
        <v>2022/3</v>
      </c>
      <c r="C39" s="31">
        <v>16</v>
      </c>
      <c r="D39" s="62">
        <v>44634</v>
      </c>
      <c r="E39" s="55" t="s">
        <v>2</v>
      </c>
      <c r="K39" s="55"/>
      <c r="L39" s="55"/>
    </row>
    <row r="40" spans="1:12" ht="13.2">
      <c r="A40" s="55"/>
      <c r="B40" s="55" t="str">
        <f t="shared" si="0"/>
        <v>2022/3</v>
      </c>
      <c r="C40" s="31">
        <v>50</v>
      </c>
      <c r="D40" s="62">
        <v>44634</v>
      </c>
      <c r="E40" s="55" t="s">
        <v>0</v>
      </c>
      <c r="F40" s="63" t="s">
        <v>322</v>
      </c>
    </row>
    <row r="41" spans="1:12" ht="13.2">
      <c r="A41" s="55"/>
      <c r="B41" s="55" t="str">
        <f t="shared" si="0"/>
        <v>2022/3</v>
      </c>
      <c r="C41" s="31">
        <v>300</v>
      </c>
      <c r="D41" s="62">
        <v>44634</v>
      </c>
      <c r="E41" s="55" t="s">
        <v>0</v>
      </c>
      <c r="F41" s="63" t="s">
        <v>330</v>
      </c>
    </row>
    <row r="42" spans="1:12" ht="13.2">
      <c r="A42" s="55"/>
      <c r="B42" s="55" t="str">
        <f t="shared" si="0"/>
        <v>2022/3</v>
      </c>
      <c r="C42" s="31">
        <v>63.9</v>
      </c>
      <c r="D42" s="62">
        <v>44635</v>
      </c>
      <c r="E42" s="55" t="s">
        <v>3</v>
      </c>
      <c r="K42" s="55"/>
      <c r="L42" s="55"/>
    </row>
    <row r="43" spans="1:12" ht="13.2">
      <c r="A43" s="55"/>
      <c r="B43" s="55" t="str">
        <f t="shared" si="0"/>
        <v>2022/3</v>
      </c>
      <c r="C43" s="31">
        <v>16</v>
      </c>
      <c r="D43" s="62">
        <v>44637</v>
      </c>
      <c r="E43" s="55" t="s">
        <v>2</v>
      </c>
      <c r="K43" s="55"/>
      <c r="L43" s="55"/>
    </row>
    <row r="44" spans="1:12" ht="13.2">
      <c r="A44" s="55"/>
      <c r="B44" s="55" t="str">
        <f t="shared" si="0"/>
        <v>2022/3</v>
      </c>
      <c r="C44" s="31">
        <v>150</v>
      </c>
      <c r="D44" s="62">
        <v>44637</v>
      </c>
      <c r="E44" s="55" t="s">
        <v>0</v>
      </c>
      <c r="F44" s="63" t="s">
        <v>331</v>
      </c>
    </row>
    <row r="45" spans="1:12" ht="13.2">
      <c r="A45" s="55"/>
      <c r="B45" s="55" t="str">
        <f t="shared" si="0"/>
        <v>2022/3</v>
      </c>
      <c r="C45" s="31">
        <v>40.78</v>
      </c>
      <c r="D45" s="62">
        <v>44637</v>
      </c>
      <c r="E45" s="55" t="s">
        <v>9</v>
      </c>
      <c r="K45" s="55"/>
      <c r="L45" s="55"/>
    </row>
    <row r="46" spans="1:12" ht="13.2">
      <c r="A46" s="55"/>
      <c r="B46" s="55" t="str">
        <f t="shared" si="0"/>
        <v>2022/3</v>
      </c>
      <c r="C46" s="31">
        <v>289</v>
      </c>
      <c r="D46" s="62">
        <v>44638</v>
      </c>
      <c r="E46" s="55" t="s">
        <v>5</v>
      </c>
      <c r="F46" s="63" t="s">
        <v>332</v>
      </c>
      <c r="K46" s="55"/>
      <c r="L46" s="55"/>
    </row>
    <row r="47" spans="1:12" ht="13.2">
      <c r="A47" s="55"/>
      <c r="B47" s="55" t="str">
        <f t="shared" si="0"/>
        <v>2022/3</v>
      </c>
      <c r="C47" s="31">
        <v>20</v>
      </c>
      <c r="D47" s="62">
        <v>44641</v>
      </c>
      <c r="E47" s="55" t="s">
        <v>2</v>
      </c>
      <c r="K47" s="55"/>
      <c r="L47" s="55"/>
    </row>
    <row r="48" spans="1:12" ht="13.2">
      <c r="A48" s="55"/>
      <c r="B48" s="55" t="str">
        <f t="shared" si="0"/>
        <v>2022/3</v>
      </c>
      <c r="C48" s="31">
        <v>160</v>
      </c>
      <c r="D48" s="62">
        <v>44643</v>
      </c>
      <c r="E48" s="55" t="s">
        <v>7</v>
      </c>
      <c r="K48" s="55"/>
      <c r="L48" s="55"/>
    </row>
    <row r="49" spans="1:12" ht="13.2">
      <c r="A49" s="55"/>
      <c r="B49" s="55" t="str">
        <f t="shared" si="0"/>
        <v>2022/3</v>
      </c>
      <c r="C49" s="31">
        <v>60</v>
      </c>
      <c r="D49" s="62">
        <v>44643</v>
      </c>
      <c r="E49" s="55" t="s">
        <v>5</v>
      </c>
      <c r="K49" s="55"/>
      <c r="L49" s="55"/>
    </row>
    <row r="50" spans="1:12" ht="13.2">
      <c r="A50" s="55"/>
      <c r="B50" s="55" t="str">
        <f t="shared" si="0"/>
        <v>2022/3</v>
      </c>
      <c r="C50" s="31">
        <v>20</v>
      </c>
      <c r="D50" s="62">
        <v>44644</v>
      </c>
      <c r="E50" s="55" t="s">
        <v>2</v>
      </c>
      <c r="K50" s="55"/>
      <c r="L50" s="55"/>
    </row>
    <row r="51" spans="1:12" ht="13.2">
      <c r="A51" s="55"/>
      <c r="B51" s="55" t="str">
        <f t="shared" si="0"/>
        <v>2022/3</v>
      </c>
      <c r="C51" s="31">
        <v>150</v>
      </c>
      <c r="D51" s="62">
        <v>44644</v>
      </c>
      <c r="E51" s="55" t="s">
        <v>0</v>
      </c>
      <c r="F51" s="63" t="s">
        <v>333</v>
      </c>
    </row>
    <row r="52" spans="1:12" ht="13.2">
      <c r="A52" s="55"/>
      <c r="B52" s="55" t="str">
        <f t="shared" si="0"/>
        <v>2022/3</v>
      </c>
      <c r="C52" s="31">
        <v>300</v>
      </c>
      <c r="D52" s="62">
        <v>44644</v>
      </c>
      <c r="E52" s="55" t="s">
        <v>0</v>
      </c>
      <c r="F52" s="63" t="s">
        <v>334</v>
      </c>
    </row>
    <row r="53" spans="1:12" ht="13.2">
      <c r="A53" s="55"/>
      <c r="B53" s="55" t="str">
        <f t="shared" si="0"/>
        <v>2022/3</v>
      </c>
      <c r="C53" s="31">
        <v>115</v>
      </c>
      <c r="D53" s="62">
        <v>44645</v>
      </c>
      <c r="E53" s="55" t="s">
        <v>3</v>
      </c>
      <c r="F53" s="63" t="s">
        <v>335</v>
      </c>
      <c r="K53" s="55"/>
      <c r="L53" s="55"/>
    </row>
    <row r="54" spans="1:12" ht="13.2">
      <c r="A54" s="55"/>
      <c r="B54" s="55" t="str">
        <f t="shared" si="0"/>
        <v>2022/3</v>
      </c>
      <c r="C54" s="31">
        <v>20</v>
      </c>
      <c r="D54" s="62">
        <v>44648</v>
      </c>
      <c r="E54" s="55" t="s">
        <v>2</v>
      </c>
      <c r="K54" s="55"/>
      <c r="L54" s="55"/>
    </row>
    <row r="55" spans="1:12" ht="13.2">
      <c r="A55" s="55"/>
      <c r="B55" s="55" t="str">
        <f t="shared" si="0"/>
        <v>2022/3</v>
      </c>
      <c r="C55" s="31">
        <v>195</v>
      </c>
      <c r="D55" s="62">
        <v>44649</v>
      </c>
      <c r="E55" s="55" t="s">
        <v>0</v>
      </c>
      <c r="F55" s="63" t="s">
        <v>336</v>
      </c>
    </row>
    <row r="56" spans="1:12" ht="13.2">
      <c r="A56" s="55"/>
      <c r="B56" s="55" t="str">
        <f t="shared" si="0"/>
        <v>2022/3</v>
      </c>
      <c r="C56" s="31">
        <v>17</v>
      </c>
      <c r="D56" s="62">
        <v>44649</v>
      </c>
      <c r="E56" s="55" t="s">
        <v>2</v>
      </c>
      <c r="K56" s="55"/>
      <c r="L56" s="55"/>
    </row>
    <row r="57" spans="1:12" ht="13.2">
      <c r="A57" s="55"/>
      <c r="B57" s="55" t="str">
        <f t="shared" si="0"/>
        <v>2022/3</v>
      </c>
      <c r="C57" s="31">
        <v>26</v>
      </c>
      <c r="D57" s="62">
        <v>44651</v>
      </c>
      <c r="E57" s="55" t="s">
        <v>3</v>
      </c>
      <c r="F57" s="63" t="s">
        <v>337</v>
      </c>
      <c r="K57" s="55"/>
      <c r="L57" s="55"/>
    </row>
    <row r="58" spans="1:12" ht="13.2">
      <c r="A58" s="55"/>
      <c r="B58" s="55" t="str">
        <f t="shared" si="0"/>
        <v>2022/3</v>
      </c>
      <c r="C58" s="31">
        <v>150</v>
      </c>
      <c r="D58" s="62">
        <v>44651</v>
      </c>
      <c r="E58" s="55" t="s">
        <v>0</v>
      </c>
      <c r="F58" s="63" t="s">
        <v>338</v>
      </c>
    </row>
    <row r="59" spans="1:12" ht="13.2">
      <c r="A59" s="55"/>
      <c r="B59" s="55" t="str">
        <f t="shared" si="0"/>
        <v>2022/3</v>
      </c>
      <c r="C59" s="31">
        <v>14</v>
      </c>
      <c r="D59" s="62">
        <v>44651</v>
      </c>
      <c r="E59" s="55" t="s">
        <v>2</v>
      </c>
      <c r="F59" s="63"/>
      <c r="K59" s="55"/>
      <c r="L59" s="55"/>
    </row>
    <row r="60" spans="1:12" ht="13.2">
      <c r="A60" s="55"/>
      <c r="B60" s="55" t="str">
        <f t="shared" si="0"/>
        <v>2022/4</v>
      </c>
      <c r="C60" s="31">
        <v>27</v>
      </c>
      <c r="D60" s="62">
        <v>44655</v>
      </c>
      <c r="E60" s="55" t="s">
        <v>2</v>
      </c>
      <c r="K60" s="55"/>
      <c r="L60" s="55"/>
    </row>
    <row r="61" spans="1:12" ht="13.2">
      <c r="A61" s="55"/>
      <c r="B61" s="55" t="str">
        <f t="shared" si="0"/>
        <v>2022/4</v>
      </c>
      <c r="C61" s="31">
        <v>150</v>
      </c>
      <c r="D61" s="62">
        <v>44655</v>
      </c>
      <c r="E61" s="55" t="s">
        <v>0</v>
      </c>
      <c r="F61" s="63" t="s">
        <v>339</v>
      </c>
    </row>
    <row r="62" spans="1:12" ht="13.2">
      <c r="A62" s="55"/>
      <c r="B62" s="55" t="str">
        <f t="shared" si="0"/>
        <v>2022/4</v>
      </c>
      <c r="C62" s="31">
        <v>150</v>
      </c>
      <c r="D62" s="62">
        <v>44657</v>
      </c>
      <c r="E62" s="55" t="s">
        <v>8</v>
      </c>
      <c r="F62" s="63" t="s">
        <v>340</v>
      </c>
      <c r="K62" s="55"/>
      <c r="L62" s="55"/>
    </row>
    <row r="63" spans="1:12" ht="13.2">
      <c r="A63" s="55"/>
      <c r="B63" s="55" t="str">
        <f t="shared" si="0"/>
        <v>2022/4</v>
      </c>
      <c r="C63" s="31">
        <v>16</v>
      </c>
      <c r="D63" s="62">
        <v>44658</v>
      </c>
      <c r="E63" s="55" t="s">
        <v>2</v>
      </c>
      <c r="K63" s="55"/>
      <c r="L63" s="55"/>
    </row>
    <row r="64" spans="1:12" ht="13.2">
      <c r="A64" s="55"/>
      <c r="B64" s="55" t="str">
        <f t="shared" si="0"/>
        <v>2022/4</v>
      </c>
      <c r="C64" s="31">
        <v>300</v>
      </c>
      <c r="D64" s="62">
        <v>44658</v>
      </c>
      <c r="E64" s="55" t="s">
        <v>0</v>
      </c>
      <c r="F64" s="63" t="s">
        <v>341</v>
      </c>
    </row>
    <row r="65" spans="1:12" ht="13.2">
      <c r="A65" s="55"/>
      <c r="B65" s="55" t="str">
        <f t="shared" si="0"/>
        <v>2022/4</v>
      </c>
      <c r="C65" s="31">
        <v>150</v>
      </c>
      <c r="D65" s="62">
        <v>44658</v>
      </c>
      <c r="E65" s="55" t="s">
        <v>0</v>
      </c>
      <c r="F65" s="63" t="s">
        <v>174</v>
      </c>
    </row>
    <row r="66" spans="1:12" ht="13.2">
      <c r="A66" s="55"/>
      <c r="B66" s="55" t="str">
        <f t="shared" si="0"/>
        <v>2022/4</v>
      </c>
      <c r="C66" s="31">
        <v>1300</v>
      </c>
      <c r="D66" s="62">
        <v>44658</v>
      </c>
      <c r="E66" s="55" t="s">
        <v>5</v>
      </c>
      <c r="F66" s="63" t="s">
        <v>342</v>
      </c>
      <c r="K66" s="55"/>
      <c r="L66" s="55"/>
    </row>
    <row r="67" spans="1:12" ht="13.2">
      <c r="A67" s="55"/>
      <c r="B67" s="55" t="str">
        <f t="shared" si="0"/>
        <v>2022/4</v>
      </c>
      <c r="C67" s="31">
        <v>300</v>
      </c>
      <c r="D67" s="62">
        <v>44662</v>
      </c>
      <c r="E67" s="55" t="s">
        <v>0</v>
      </c>
      <c r="F67" s="63" t="s">
        <v>343</v>
      </c>
    </row>
    <row r="68" spans="1:12" ht="13.2">
      <c r="A68" s="55"/>
      <c r="B68" s="55" t="str">
        <f t="shared" si="0"/>
        <v>2022/4</v>
      </c>
      <c r="C68" s="31">
        <v>26</v>
      </c>
      <c r="D68" s="62">
        <v>44662</v>
      </c>
      <c r="E68" s="55" t="s">
        <v>2</v>
      </c>
      <c r="K68" s="55"/>
      <c r="L68" s="55"/>
    </row>
    <row r="69" spans="1:12" ht="13.2">
      <c r="A69" s="55"/>
      <c r="B69" s="55" t="str">
        <f t="shared" si="0"/>
        <v>2022/4</v>
      </c>
      <c r="C69" s="31">
        <v>150</v>
      </c>
      <c r="D69" s="62">
        <v>44662</v>
      </c>
      <c r="E69" s="55" t="s">
        <v>0</v>
      </c>
      <c r="F69" s="63" t="s">
        <v>84</v>
      </c>
    </row>
    <row r="70" spans="1:12" ht="13.2">
      <c r="A70" s="55"/>
      <c r="B70" s="55" t="str">
        <f t="shared" si="0"/>
        <v>2022/4</v>
      </c>
      <c r="C70" s="31">
        <v>529.72</v>
      </c>
      <c r="D70" s="62">
        <v>44662</v>
      </c>
      <c r="E70" s="55" t="s">
        <v>4</v>
      </c>
      <c r="K70" s="55"/>
      <c r="L70" s="55"/>
    </row>
    <row r="71" spans="1:12" ht="13.2">
      <c r="A71" s="55"/>
      <c r="B71" s="55" t="str">
        <f t="shared" si="0"/>
        <v>2022/4</v>
      </c>
      <c r="C71" s="31">
        <v>578.5</v>
      </c>
      <c r="D71" s="62">
        <v>44663</v>
      </c>
      <c r="E71" s="55" t="s">
        <v>7</v>
      </c>
      <c r="K71" s="55"/>
      <c r="L71" s="55"/>
    </row>
    <row r="72" spans="1:12" ht="13.2">
      <c r="A72" s="55"/>
      <c r="B72" s="55" t="str">
        <f t="shared" si="0"/>
        <v>2022/4</v>
      </c>
      <c r="C72" s="31">
        <v>150</v>
      </c>
      <c r="D72" s="62">
        <v>44664</v>
      </c>
      <c r="E72" s="55" t="s">
        <v>0</v>
      </c>
      <c r="F72" s="63" t="s">
        <v>344</v>
      </c>
    </row>
    <row r="73" spans="1:12" ht="13.2">
      <c r="A73" s="55"/>
      <c r="B73" s="55" t="str">
        <f t="shared" si="0"/>
        <v>2022/4</v>
      </c>
      <c r="C73" s="31">
        <v>150</v>
      </c>
      <c r="D73" s="62">
        <v>44665</v>
      </c>
      <c r="E73" s="55" t="s">
        <v>0</v>
      </c>
      <c r="F73" s="63" t="s">
        <v>174</v>
      </c>
    </row>
    <row r="74" spans="1:12" ht="13.2">
      <c r="A74" s="55"/>
      <c r="B74" s="55" t="str">
        <f t="shared" si="0"/>
        <v>2022/4</v>
      </c>
      <c r="C74" s="31">
        <v>50</v>
      </c>
      <c r="D74" s="62">
        <v>44669</v>
      </c>
      <c r="E74" s="55" t="s">
        <v>0</v>
      </c>
      <c r="F74" s="63" t="s">
        <v>345</v>
      </c>
    </row>
    <row r="75" spans="1:12" ht="13.2">
      <c r="A75" s="55"/>
      <c r="B75" s="55" t="str">
        <f t="shared" si="0"/>
        <v>2022/4</v>
      </c>
      <c r="C75" s="31">
        <v>24</v>
      </c>
      <c r="D75" s="62">
        <v>44669</v>
      </c>
      <c r="E75" s="55" t="s">
        <v>2</v>
      </c>
      <c r="K75" s="55"/>
      <c r="L75" s="55"/>
    </row>
    <row r="76" spans="1:12" ht="13.2">
      <c r="A76" s="55"/>
      <c r="B76" s="55" t="str">
        <f t="shared" si="0"/>
        <v>2022/4</v>
      </c>
      <c r="C76" s="31">
        <v>150</v>
      </c>
      <c r="D76" s="62">
        <v>44669</v>
      </c>
      <c r="E76" s="55" t="s">
        <v>0</v>
      </c>
      <c r="F76" s="63" t="s">
        <v>346</v>
      </c>
    </row>
    <row r="77" spans="1:12" ht="13.2">
      <c r="A77" s="55"/>
      <c r="B77" s="55" t="str">
        <f t="shared" si="0"/>
        <v>2022/4</v>
      </c>
      <c r="C77" s="31">
        <v>289</v>
      </c>
      <c r="D77" s="62">
        <v>44669</v>
      </c>
      <c r="E77" s="55" t="s">
        <v>5</v>
      </c>
      <c r="F77" s="63" t="s">
        <v>347</v>
      </c>
      <c r="K77" s="55"/>
      <c r="L77" s="55"/>
    </row>
    <row r="78" spans="1:12" ht="13.2">
      <c r="A78" s="55"/>
      <c r="B78" s="55" t="str">
        <f t="shared" si="0"/>
        <v>2022/4</v>
      </c>
      <c r="C78" s="31">
        <v>300</v>
      </c>
      <c r="D78" s="62">
        <v>44670</v>
      </c>
      <c r="E78" s="55" t="s">
        <v>0</v>
      </c>
      <c r="F78" s="63" t="s">
        <v>348</v>
      </c>
    </row>
    <row r="79" spans="1:12" ht="13.2">
      <c r="A79" s="55"/>
      <c r="B79" s="55" t="str">
        <f t="shared" si="0"/>
        <v>2022/4</v>
      </c>
      <c r="C79" s="31">
        <v>300</v>
      </c>
      <c r="D79" s="62">
        <v>44670</v>
      </c>
      <c r="E79" s="55" t="s">
        <v>0</v>
      </c>
      <c r="F79" s="63" t="s">
        <v>349</v>
      </c>
    </row>
    <row r="80" spans="1:12" ht="13.2">
      <c r="A80" s="55"/>
      <c r="B80" s="55" t="str">
        <f t="shared" si="0"/>
        <v>2022/4</v>
      </c>
      <c r="C80" s="31">
        <v>150</v>
      </c>
      <c r="D80" s="62">
        <v>44671</v>
      </c>
      <c r="E80" s="55" t="s">
        <v>8</v>
      </c>
      <c r="F80" s="63" t="s">
        <v>350</v>
      </c>
      <c r="K80" s="55"/>
      <c r="L80" s="55"/>
    </row>
    <row r="81" spans="1:12" ht="13.2">
      <c r="A81" s="55"/>
      <c r="B81" s="55" t="str">
        <f t="shared" si="0"/>
        <v>2022/4</v>
      </c>
      <c r="C81" s="31">
        <v>22</v>
      </c>
      <c r="D81" s="62">
        <v>44671</v>
      </c>
      <c r="E81" s="55" t="s">
        <v>3</v>
      </c>
      <c r="F81" s="63" t="s">
        <v>351</v>
      </c>
      <c r="K81" s="55"/>
      <c r="L81" s="55"/>
    </row>
    <row r="82" spans="1:12" ht="13.2">
      <c r="A82" s="55"/>
      <c r="B82" s="55" t="str">
        <f t="shared" si="0"/>
        <v>2022/4</v>
      </c>
      <c r="C82" s="31">
        <v>26</v>
      </c>
      <c r="D82" s="62">
        <v>44676</v>
      </c>
      <c r="E82" s="55" t="s">
        <v>2</v>
      </c>
      <c r="K82" s="55"/>
      <c r="L82" s="55"/>
    </row>
    <row r="83" spans="1:12" ht="13.2">
      <c r="A83" s="55"/>
      <c r="B83" s="55" t="str">
        <f t="shared" si="0"/>
        <v>2022/4</v>
      </c>
      <c r="C83" s="31">
        <v>150</v>
      </c>
      <c r="D83" s="62">
        <v>44677</v>
      </c>
      <c r="E83" s="55" t="s">
        <v>0</v>
      </c>
      <c r="F83" s="63" t="s">
        <v>174</v>
      </c>
    </row>
    <row r="84" spans="1:12" ht="13.2">
      <c r="A84" s="55"/>
      <c r="B84" s="55" t="str">
        <f t="shared" si="0"/>
        <v>2022/4</v>
      </c>
      <c r="C84" s="31">
        <v>150</v>
      </c>
      <c r="D84" s="62">
        <v>44678</v>
      </c>
      <c r="E84" s="55" t="s">
        <v>8</v>
      </c>
      <c r="K84" s="55"/>
      <c r="L84" s="55"/>
    </row>
    <row r="85" spans="1:12" ht="13.2">
      <c r="A85" s="55"/>
      <c r="B85" s="55" t="str">
        <f t="shared" si="0"/>
        <v>2022/4</v>
      </c>
      <c r="C85" s="31">
        <v>100</v>
      </c>
      <c r="D85" s="62">
        <v>44679</v>
      </c>
      <c r="E85" s="55" t="s">
        <v>5</v>
      </c>
      <c r="F85" s="63" t="s">
        <v>352</v>
      </c>
      <c r="K85" s="55"/>
      <c r="L85" s="55"/>
    </row>
    <row r="86" spans="1:12" ht="13.2">
      <c r="A86" s="55"/>
      <c r="B86" s="55" t="str">
        <f t="shared" si="0"/>
        <v>2022/4</v>
      </c>
      <c r="C86" s="31">
        <v>200</v>
      </c>
      <c r="D86" s="62">
        <v>44681</v>
      </c>
      <c r="E86" s="55" t="s">
        <v>6</v>
      </c>
      <c r="K86" s="55"/>
      <c r="L86" s="55"/>
    </row>
    <row r="87" spans="1:12" ht="13.2">
      <c r="A87" s="55"/>
      <c r="B87" s="55" t="str">
        <f t="shared" si="0"/>
        <v>2022/5</v>
      </c>
      <c r="C87" s="31">
        <v>20</v>
      </c>
      <c r="D87" s="62">
        <v>44683</v>
      </c>
      <c r="E87" s="55" t="s">
        <v>2</v>
      </c>
      <c r="K87" s="55"/>
      <c r="L87" s="55"/>
    </row>
    <row r="88" spans="1:12" ht="13.2">
      <c r="A88" s="55"/>
      <c r="B88" s="55" t="str">
        <f t="shared" si="0"/>
        <v>2022/5</v>
      </c>
      <c r="C88" s="31">
        <v>40</v>
      </c>
      <c r="D88" s="62">
        <v>44684</v>
      </c>
      <c r="E88" s="55" t="s">
        <v>5</v>
      </c>
      <c r="F88" s="63" t="s">
        <v>353</v>
      </c>
      <c r="K88" s="55"/>
      <c r="L88" s="55"/>
    </row>
    <row r="89" spans="1:12" ht="13.2">
      <c r="A89" s="55"/>
      <c r="B89" s="55" t="str">
        <f t="shared" si="0"/>
        <v>2022/5</v>
      </c>
      <c r="C89" s="31">
        <v>700</v>
      </c>
      <c r="D89" s="62">
        <v>44688</v>
      </c>
      <c r="E89" s="55" t="s">
        <v>5</v>
      </c>
      <c r="F89" s="63" t="s">
        <v>342</v>
      </c>
      <c r="K89" s="55"/>
      <c r="L89" s="55"/>
    </row>
    <row r="90" spans="1:12" ht="13.2">
      <c r="A90" s="55"/>
      <c r="B90" s="55" t="str">
        <f t="shared" si="0"/>
        <v>2022/5</v>
      </c>
      <c r="C90" s="31">
        <v>23</v>
      </c>
      <c r="D90" s="62">
        <v>44690</v>
      </c>
      <c r="E90" s="55" t="s">
        <v>2</v>
      </c>
      <c r="K90" s="55"/>
      <c r="L90" s="55"/>
    </row>
    <row r="91" spans="1:12" ht="13.2">
      <c r="A91" s="55"/>
      <c r="B91" s="55" t="str">
        <f t="shared" si="0"/>
        <v>2022/5</v>
      </c>
      <c r="C91" s="31">
        <v>44.99</v>
      </c>
      <c r="D91" s="62">
        <v>44690</v>
      </c>
      <c r="E91" s="55" t="s">
        <v>9</v>
      </c>
      <c r="F91" s="63" t="s">
        <v>354</v>
      </c>
      <c r="K91" s="55"/>
      <c r="L91" s="55"/>
    </row>
    <row r="92" spans="1:12" ht="13.2">
      <c r="A92" s="55"/>
      <c r="B92" s="55" t="str">
        <f t="shared" si="0"/>
        <v>2022/5</v>
      </c>
      <c r="C92" s="31">
        <v>400</v>
      </c>
      <c r="D92" s="62">
        <v>44691</v>
      </c>
      <c r="E92" s="55" t="s">
        <v>7</v>
      </c>
      <c r="K92" s="55"/>
      <c r="L92" s="55"/>
    </row>
    <row r="93" spans="1:12" ht="13.2">
      <c r="A93" s="55"/>
      <c r="B93" s="55" t="str">
        <f t="shared" si="0"/>
        <v>2022/5</v>
      </c>
      <c r="C93" s="31">
        <v>529.72</v>
      </c>
      <c r="D93" s="62">
        <v>44691</v>
      </c>
      <c r="E93" s="55" t="s">
        <v>4</v>
      </c>
      <c r="K93" s="55"/>
      <c r="L93" s="55"/>
    </row>
    <row r="94" spans="1:12" ht="13.2">
      <c r="A94" s="55"/>
      <c r="B94" s="55" t="str">
        <f t="shared" si="0"/>
        <v>2022/5</v>
      </c>
      <c r="C94" s="31">
        <v>300</v>
      </c>
      <c r="D94" s="62">
        <v>44692</v>
      </c>
      <c r="E94" s="55" t="s">
        <v>8</v>
      </c>
      <c r="K94" s="55"/>
      <c r="L94" s="55"/>
    </row>
    <row r="95" spans="1:12" ht="13.2">
      <c r="A95" s="55"/>
      <c r="B95" s="55" t="str">
        <f t="shared" si="0"/>
        <v>2022/5</v>
      </c>
      <c r="C95" s="31">
        <v>65</v>
      </c>
      <c r="D95" s="62">
        <v>44692</v>
      </c>
      <c r="E95" s="55" t="s">
        <v>3</v>
      </c>
      <c r="F95" s="63" t="s">
        <v>355</v>
      </c>
      <c r="K95" s="55"/>
      <c r="L95" s="55"/>
    </row>
    <row r="96" spans="1:12" ht="13.2">
      <c r="A96" s="55"/>
      <c r="B96" s="55" t="str">
        <f t="shared" si="0"/>
        <v>2022/5</v>
      </c>
      <c r="C96" s="31">
        <v>44.99</v>
      </c>
      <c r="D96" s="62">
        <v>44699</v>
      </c>
      <c r="E96" s="55" t="s">
        <v>9</v>
      </c>
      <c r="K96" s="55"/>
      <c r="L96" s="55"/>
    </row>
    <row r="97" spans="1:12" ht="13.2">
      <c r="A97" s="55"/>
      <c r="B97" s="55" t="str">
        <f t="shared" si="0"/>
        <v>2022/5</v>
      </c>
      <c r="C97" s="31">
        <v>289</v>
      </c>
      <c r="D97" s="62">
        <v>44699</v>
      </c>
      <c r="E97" s="55" t="s">
        <v>5</v>
      </c>
      <c r="F97" s="63" t="s">
        <v>347</v>
      </c>
      <c r="K97" s="55"/>
      <c r="L97" s="55"/>
    </row>
    <row r="98" spans="1:12" ht="13.2">
      <c r="A98" s="55"/>
      <c r="B98" s="55" t="str">
        <f t="shared" si="0"/>
        <v>2022/5</v>
      </c>
      <c r="C98" s="31">
        <v>48.3</v>
      </c>
      <c r="D98" s="62">
        <v>44699</v>
      </c>
      <c r="E98" s="55" t="s">
        <v>5</v>
      </c>
      <c r="F98" s="63" t="s">
        <v>356</v>
      </c>
      <c r="K98" s="55"/>
      <c r="L98" s="55"/>
    </row>
    <row r="99" spans="1:12" ht="13.2">
      <c r="A99" s="55"/>
      <c r="B99" s="55" t="str">
        <f t="shared" si="0"/>
        <v>2022/5</v>
      </c>
      <c r="C99" s="31">
        <v>26</v>
      </c>
      <c r="D99" s="62">
        <v>44707</v>
      </c>
      <c r="E99" s="55" t="s">
        <v>2</v>
      </c>
      <c r="K99" s="55"/>
      <c r="L99" s="55"/>
    </row>
    <row r="100" spans="1:12" ht="13.2">
      <c r="A100" s="55"/>
      <c r="B100" s="55" t="str">
        <f t="shared" si="0"/>
        <v>2022/5</v>
      </c>
      <c r="C100" s="31">
        <v>150</v>
      </c>
      <c r="D100" s="62">
        <v>44711</v>
      </c>
      <c r="E100" s="55" t="s">
        <v>5</v>
      </c>
      <c r="F100" s="63" t="s">
        <v>357</v>
      </c>
      <c r="K100" s="55"/>
      <c r="L100" s="55"/>
    </row>
    <row r="101" spans="1:12" ht="13.2">
      <c r="A101" s="55"/>
      <c r="B101" s="55" t="str">
        <f t="shared" si="0"/>
        <v>2022/5</v>
      </c>
      <c r="C101" s="31">
        <v>200</v>
      </c>
      <c r="D101" s="62">
        <v>44711</v>
      </c>
      <c r="E101" s="55" t="s">
        <v>6</v>
      </c>
      <c r="F101" s="63" t="s">
        <v>327</v>
      </c>
      <c r="K101" s="55"/>
      <c r="L101" s="55"/>
    </row>
    <row r="102" spans="1:12" ht="13.2">
      <c r="A102" s="55"/>
      <c r="B102" s="55" t="str">
        <f t="shared" si="0"/>
        <v>2022/6</v>
      </c>
      <c r="C102" s="31">
        <v>17</v>
      </c>
      <c r="D102" s="62">
        <v>44713</v>
      </c>
      <c r="E102" s="55" t="s">
        <v>2</v>
      </c>
      <c r="K102" s="55"/>
      <c r="L102" s="55"/>
    </row>
    <row r="103" spans="1:12" ht="13.2">
      <c r="A103" s="55"/>
      <c r="B103" s="55" t="str">
        <f t="shared" si="0"/>
        <v>2022/6</v>
      </c>
      <c r="C103" s="31">
        <v>213.88</v>
      </c>
      <c r="D103" s="62">
        <v>44714</v>
      </c>
      <c r="E103" s="55" t="s">
        <v>5</v>
      </c>
      <c r="F103" s="63" t="s">
        <v>358</v>
      </c>
      <c r="K103" s="55"/>
      <c r="L103" s="55"/>
    </row>
    <row r="104" spans="1:12" ht="13.2">
      <c r="A104" s="55"/>
      <c r="B104" s="55" t="str">
        <f t="shared" si="0"/>
        <v>2022/6</v>
      </c>
      <c r="C104" s="31">
        <v>150</v>
      </c>
      <c r="D104" s="62">
        <v>44715</v>
      </c>
      <c r="E104" s="55" t="s">
        <v>8</v>
      </c>
      <c r="K104" s="55"/>
      <c r="L104" s="55"/>
    </row>
    <row r="105" spans="1:12" ht="13.2">
      <c r="A105" s="55"/>
      <c r="B105" s="55" t="str">
        <f t="shared" si="0"/>
        <v>2022/6</v>
      </c>
      <c r="C105" s="31">
        <v>23</v>
      </c>
      <c r="D105" s="62">
        <v>44718</v>
      </c>
      <c r="E105" s="55" t="s">
        <v>2</v>
      </c>
      <c r="K105" s="55"/>
      <c r="L105" s="55"/>
    </row>
    <row r="106" spans="1:12" ht="13.2">
      <c r="A106" s="55"/>
      <c r="B106" s="55" t="str">
        <f t="shared" si="0"/>
        <v>2022/6</v>
      </c>
      <c r="C106" s="31">
        <v>17</v>
      </c>
      <c r="D106" s="62">
        <v>44721</v>
      </c>
      <c r="E106" s="55" t="s">
        <v>2</v>
      </c>
      <c r="K106" s="55"/>
      <c r="L106" s="55"/>
    </row>
    <row r="107" spans="1:12" ht="13.2">
      <c r="A107" s="55"/>
      <c r="B107" s="55" t="str">
        <f t="shared" si="0"/>
        <v>2022/6</v>
      </c>
      <c r="C107" s="31">
        <v>150</v>
      </c>
      <c r="D107" s="62">
        <v>44722</v>
      </c>
      <c r="E107" s="55" t="s">
        <v>8</v>
      </c>
      <c r="K107" s="55"/>
      <c r="L107" s="55"/>
    </row>
    <row r="108" spans="1:12" ht="13.2">
      <c r="A108" s="55"/>
      <c r="B108" s="55" t="str">
        <f t="shared" si="0"/>
        <v>2022/6</v>
      </c>
      <c r="C108" s="31">
        <v>529.72</v>
      </c>
      <c r="D108" s="62">
        <v>44722</v>
      </c>
      <c r="E108" s="55" t="s">
        <v>4</v>
      </c>
      <c r="K108" s="55"/>
      <c r="L108" s="55"/>
    </row>
    <row r="109" spans="1:12" ht="13.2">
      <c r="A109" s="55"/>
      <c r="B109" s="55" t="str">
        <f t="shared" si="0"/>
        <v>2022/6</v>
      </c>
      <c r="C109" s="31">
        <v>289</v>
      </c>
      <c r="D109" s="62">
        <v>44724</v>
      </c>
      <c r="E109" s="55" t="s">
        <v>5</v>
      </c>
      <c r="F109" s="63" t="s">
        <v>347</v>
      </c>
      <c r="K109" s="55"/>
      <c r="L109" s="55"/>
    </row>
    <row r="110" spans="1:12" ht="13.2">
      <c r="A110" s="55"/>
      <c r="B110" s="55" t="str">
        <f t="shared" si="0"/>
        <v>2022/6</v>
      </c>
      <c r="C110" s="31">
        <v>24.15</v>
      </c>
      <c r="D110" s="62">
        <v>44724</v>
      </c>
      <c r="E110" s="55" t="s">
        <v>5</v>
      </c>
      <c r="F110" s="63" t="s">
        <v>323</v>
      </c>
      <c r="K110" s="55"/>
      <c r="L110" s="55"/>
    </row>
    <row r="111" spans="1:12" ht="13.2">
      <c r="A111" s="55"/>
      <c r="B111" s="55" t="str">
        <f t="shared" si="0"/>
        <v>2022/6</v>
      </c>
      <c r="C111" s="31">
        <v>437</v>
      </c>
      <c r="D111" s="62">
        <v>44724</v>
      </c>
      <c r="E111" s="55" t="s">
        <v>7</v>
      </c>
      <c r="K111" s="55"/>
      <c r="L111" s="55"/>
    </row>
    <row r="112" spans="1:12" ht="13.2">
      <c r="A112" s="55"/>
      <c r="B112" s="55" t="str">
        <f t="shared" si="0"/>
        <v>2022/6</v>
      </c>
      <c r="C112" s="31">
        <v>200</v>
      </c>
      <c r="D112" s="62">
        <v>44724</v>
      </c>
      <c r="E112" s="55" t="s">
        <v>6</v>
      </c>
      <c r="F112" s="63" t="s">
        <v>327</v>
      </c>
      <c r="K112" s="55"/>
      <c r="L112" s="55"/>
    </row>
    <row r="113" spans="1:12" ht="13.2">
      <c r="A113" s="55"/>
      <c r="B113" s="55" t="str">
        <f t="shared" si="0"/>
        <v>2022/6</v>
      </c>
      <c r="C113" s="31">
        <v>20</v>
      </c>
      <c r="D113" s="62">
        <v>44725</v>
      </c>
      <c r="E113" s="55" t="s">
        <v>2</v>
      </c>
      <c r="K113" s="55"/>
      <c r="L113" s="55"/>
    </row>
    <row r="114" spans="1:12" ht="13.2">
      <c r="A114" s="55"/>
      <c r="B114" s="55" t="str">
        <f t="shared" si="0"/>
        <v>2022/6</v>
      </c>
      <c r="C114" s="31">
        <v>17</v>
      </c>
      <c r="D114" s="62">
        <v>44727</v>
      </c>
      <c r="E114" s="55" t="s">
        <v>2</v>
      </c>
      <c r="K114" s="55"/>
      <c r="L114" s="55"/>
    </row>
    <row r="115" spans="1:12" ht="13.2">
      <c r="A115" s="55"/>
      <c r="B115" s="55" t="str">
        <f t="shared" si="0"/>
        <v>2022/6</v>
      </c>
      <c r="C115" s="31">
        <v>150</v>
      </c>
      <c r="D115" s="62">
        <v>44729</v>
      </c>
      <c r="E115" s="55" t="s">
        <v>8</v>
      </c>
      <c r="K115" s="55"/>
      <c r="L115" s="55"/>
    </row>
    <row r="116" spans="1:12" ht="13.2">
      <c r="A116" s="55"/>
      <c r="B116" s="55" t="str">
        <f t="shared" si="0"/>
        <v>2022/6</v>
      </c>
      <c r="C116" s="31">
        <v>42.1</v>
      </c>
      <c r="D116" s="62">
        <v>44730</v>
      </c>
      <c r="E116" s="55" t="s">
        <v>9</v>
      </c>
      <c r="K116" s="55"/>
      <c r="L116" s="55"/>
    </row>
    <row r="117" spans="1:12" ht="13.2">
      <c r="A117" s="55"/>
      <c r="B117" s="55" t="str">
        <f t="shared" si="0"/>
        <v>2022/6</v>
      </c>
      <c r="C117" s="31">
        <v>17</v>
      </c>
      <c r="D117" s="62">
        <v>44732</v>
      </c>
      <c r="E117" s="55" t="s">
        <v>2</v>
      </c>
      <c r="K117" s="55"/>
      <c r="L117" s="55"/>
    </row>
    <row r="118" spans="1:12" ht="13.2">
      <c r="A118" s="55"/>
      <c r="B118" s="55" t="str">
        <f t="shared" si="0"/>
        <v>2022/6</v>
      </c>
      <c r="C118" s="31">
        <v>20</v>
      </c>
      <c r="D118" s="62">
        <v>44734</v>
      </c>
      <c r="E118" s="55" t="s">
        <v>2</v>
      </c>
      <c r="K118" s="55"/>
      <c r="L118" s="55"/>
    </row>
    <row r="119" spans="1:12" ht="13.2">
      <c r="A119" s="55"/>
      <c r="B119" s="55" t="str">
        <f t="shared" si="0"/>
        <v>2022/6</v>
      </c>
      <c r="C119" s="31">
        <v>150</v>
      </c>
      <c r="D119" s="62">
        <v>44734</v>
      </c>
      <c r="E119" s="55" t="s">
        <v>8</v>
      </c>
      <c r="K119" s="55"/>
      <c r="L119" s="55"/>
    </row>
    <row r="120" spans="1:12" ht="13.2">
      <c r="A120" s="55"/>
      <c r="B120" s="55" t="str">
        <f t="shared" si="0"/>
        <v>2022/6</v>
      </c>
      <c r="C120" s="31">
        <v>150</v>
      </c>
      <c r="D120" s="62">
        <v>44736</v>
      </c>
      <c r="E120" s="55" t="s">
        <v>5</v>
      </c>
      <c r="F120" s="63" t="s">
        <v>359</v>
      </c>
      <c r="K120" s="55"/>
      <c r="L120" s="55"/>
    </row>
    <row r="121" spans="1:12" ht="13.2">
      <c r="A121" s="55"/>
      <c r="B121" s="55" t="str">
        <f t="shared" si="0"/>
        <v>2022/6</v>
      </c>
      <c r="C121" s="31">
        <v>18</v>
      </c>
      <c r="D121" s="62">
        <v>44739</v>
      </c>
      <c r="E121" s="55" t="s">
        <v>2</v>
      </c>
      <c r="K121" s="55"/>
      <c r="L121" s="55"/>
    </row>
    <row r="122" spans="1:12" ht="13.2">
      <c r="A122" s="55"/>
      <c r="B122" s="55" t="str">
        <f t="shared" si="0"/>
        <v>2022/7</v>
      </c>
      <c r="C122" s="31">
        <v>289</v>
      </c>
      <c r="D122" s="62">
        <v>44746</v>
      </c>
      <c r="E122" s="55" t="s">
        <v>5</v>
      </c>
      <c r="F122" s="63" t="s">
        <v>347</v>
      </c>
      <c r="K122" s="55"/>
      <c r="L122" s="55"/>
    </row>
    <row r="123" spans="1:12" ht="13.2">
      <c r="A123" s="55"/>
      <c r="B123" s="55" t="str">
        <f t="shared" si="0"/>
        <v>2022/7</v>
      </c>
      <c r="C123" s="31">
        <v>24.15</v>
      </c>
      <c r="D123" s="62">
        <v>44746</v>
      </c>
      <c r="E123" s="55" t="s">
        <v>5</v>
      </c>
      <c r="F123" s="63" t="s">
        <v>323</v>
      </c>
      <c r="K123" s="55"/>
      <c r="L123" s="55"/>
    </row>
    <row r="124" spans="1:12" ht="13.2">
      <c r="A124" s="55"/>
      <c r="B124" s="55" t="str">
        <f t="shared" si="0"/>
        <v>2022/7</v>
      </c>
      <c r="C124" s="31">
        <v>200</v>
      </c>
      <c r="D124" s="62">
        <v>44746</v>
      </c>
      <c r="E124" s="55" t="s">
        <v>6</v>
      </c>
      <c r="F124" s="63" t="s">
        <v>327</v>
      </c>
      <c r="K124" s="55"/>
      <c r="L124" s="55"/>
    </row>
    <row r="125" spans="1:12" ht="13.2">
      <c r="A125" s="55"/>
      <c r="B125" s="55" t="str">
        <f t="shared" si="0"/>
        <v>2022/7</v>
      </c>
      <c r="C125" s="31">
        <v>425</v>
      </c>
      <c r="D125" s="62">
        <v>44746</v>
      </c>
      <c r="E125" s="55" t="s">
        <v>5</v>
      </c>
      <c r="F125" s="63" t="s">
        <v>360</v>
      </c>
      <c r="K125" s="55"/>
      <c r="L125" s="55"/>
    </row>
    <row r="126" spans="1:12" ht="13.2">
      <c r="A126" s="55"/>
      <c r="B126" s="55" t="str">
        <f t="shared" si="0"/>
        <v>2022/7</v>
      </c>
      <c r="C126" s="31">
        <f>15.94+10.6</f>
        <v>26.54</v>
      </c>
      <c r="D126" s="62">
        <v>44748</v>
      </c>
      <c r="E126" s="55" t="s">
        <v>2</v>
      </c>
      <c r="K126" s="55"/>
      <c r="L126" s="55"/>
    </row>
    <row r="127" spans="1:12" ht="13.2">
      <c r="A127" s="55"/>
      <c r="B127" s="55" t="str">
        <f t="shared" si="0"/>
        <v>2022/7</v>
      </c>
      <c r="C127" s="31">
        <v>150</v>
      </c>
      <c r="D127" s="62">
        <v>44749</v>
      </c>
      <c r="E127" s="55" t="s">
        <v>8</v>
      </c>
      <c r="F127" s="63"/>
      <c r="K127" s="55"/>
      <c r="L127" s="55"/>
    </row>
    <row r="128" spans="1:12" ht="13.8">
      <c r="A128" s="55"/>
      <c r="B128" s="55" t="str">
        <f t="shared" si="0"/>
        <v>2022/7</v>
      </c>
      <c r="C128" s="31">
        <v>529.72</v>
      </c>
      <c r="D128" s="62">
        <v>44752</v>
      </c>
      <c r="E128" s="55" t="s">
        <v>4</v>
      </c>
      <c r="F128" s="65" t="s">
        <v>361</v>
      </c>
      <c r="K128" s="55"/>
      <c r="L128" s="55"/>
    </row>
    <row r="129" spans="1:12" ht="13.2">
      <c r="A129" s="55"/>
      <c r="B129" s="55" t="str">
        <f t="shared" si="0"/>
        <v>2022/7</v>
      </c>
      <c r="C129" s="31">
        <v>375.29</v>
      </c>
      <c r="D129" s="62">
        <v>44752</v>
      </c>
      <c r="E129" s="55" t="s">
        <v>5</v>
      </c>
      <c r="F129" s="63" t="s">
        <v>362</v>
      </c>
      <c r="K129" s="55"/>
      <c r="L129" s="55"/>
    </row>
    <row r="130" spans="1:12" ht="13.2">
      <c r="A130" s="55"/>
      <c r="B130" s="55" t="str">
        <f t="shared" si="0"/>
        <v>2022/7</v>
      </c>
      <c r="C130" s="31">
        <v>8</v>
      </c>
      <c r="D130" s="62">
        <v>44753</v>
      </c>
      <c r="E130" s="55" t="s">
        <v>2</v>
      </c>
      <c r="K130" s="55"/>
      <c r="L130" s="55"/>
    </row>
    <row r="131" spans="1:12" ht="13.2">
      <c r="A131" s="55"/>
      <c r="B131" s="55" t="str">
        <f t="shared" si="0"/>
        <v>2022/7</v>
      </c>
      <c r="C131" s="31">
        <v>27</v>
      </c>
      <c r="D131" s="62">
        <v>44755</v>
      </c>
      <c r="E131" s="55" t="s">
        <v>2</v>
      </c>
      <c r="K131" s="55"/>
      <c r="L131" s="55"/>
    </row>
    <row r="132" spans="1:12" ht="13.2">
      <c r="A132" s="55"/>
      <c r="B132" s="55" t="str">
        <f t="shared" si="0"/>
        <v>2022/7</v>
      </c>
      <c r="C132" s="31">
        <v>400</v>
      </c>
      <c r="D132" s="62">
        <v>44755</v>
      </c>
      <c r="E132" s="55" t="s">
        <v>7</v>
      </c>
      <c r="K132" s="55"/>
      <c r="L132" s="55"/>
    </row>
    <row r="133" spans="1:12" ht="13.2">
      <c r="A133" s="55"/>
      <c r="B133" s="55" t="str">
        <f t="shared" si="0"/>
        <v>2022/7</v>
      </c>
      <c r="C133" s="31">
        <v>150</v>
      </c>
      <c r="D133" s="62">
        <v>44756</v>
      </c>
      <c r="E133" s="55" t="s">
        <v>8</v>
      </c>
      <c r="K133" s="55"/>
      <c r="L133" s="55"/>
    </row>
    <row r="134" spans="1:12" ht="13.2">
      <c r="A134" s="55"/>
      <c r="B134" s="55" t="str">
        <f t="shared" si="0"/>
        <v>2022/7</v>
      </c>
      <c r="C134" s="31">
        <v>18</v>
      </c>
      <c r="D134" s="62">
        <v>44757</v>
      </c>
      <c r="E134" s="55" t="s">
        <v>2</v>
      </c>
      <c r="K134" s="55"/>
      <c r="L134" s="55"/>
    </row>
    <row r="135" spans="1:12" ht="13.2">
      <c r="A135" s="55"/>
      <c r="B135" s="55" t="str">
        <f t="shared" si="0"/>
        <v>2022/7</v>
      </c>
      <c r="C135" s="31">
        <v>425</v>
      </c>
      <c r="D135" s="62">
        <v>44757</v>
      </c>
      <c r="E135" s="55" t="s">
        <v>5</v>
      </c>
      <c r="F135" s="63" t="s">
        <v>363</v>
      </c>
      <c r="K135" s="55"/>
      <c r="L135" s="55"/>
    </row>
    <row r="136" spans="1:12" ht="13.2">
      <c r="A136" s="55"/>
      <c r="B136" s="55" t="str">
        <f t="shared" si="0"/>
        <v>2022/7</v>
      </c>
      <c r="C136" s="31">
        <v>21</v>
      </c>
      <c r="D136" s="62">
        <v>44760</v>
      </c>
      <c r="E136" s="55" t="s">
        <v>2</v>
      </c>
      <c r="K136" s="55"/>
      <c r="L136" s="55"/>
    </row>
    <row r="137" spans="1:12" ht="13.2">
      <c r="A137" s="55"/>
      <c r="B137" s="55" t="str">
        <f t="shared" si="0"/>
        <v>2022/7</v>
      </c>
      <c r="C137" s="31">
        <v>40.81</v>
      </c>
      <c r="D137" s="62">
        <v>44761</v>
      </c>
      <c r="E137" s="55" t="s">
        <v>9</v>
      </c>
      <c r="K137" s="55"/>
      <c r="L137" s="55"/>
    </row>
    <row r="138" spans="1:12" ht="13.2">
      <c r="A138" s="55"/>
      <c r="B138" s="55" t="str">
        <f t="shared" si="0"/>
        <v>2022/7</v>
      </c>
      <c r="C138" s="31">
        <v>150</v>
      </c>
      <c r="D138" s="62">
        <v>44762</v>
      </c>
      <c r="E138" s="55" t="s">
        <v>8</v>
      </c>
      <c r="K138" s="55"/>
      <c r="L138" s="55"/>
    </row>
    <row r="139" spans="1:12" ht="13.2">
      <c r="A139" s="55"/>
      <c r="B139" s="55" t="str">
        <f t="shared" si="0"/>
        <v>2022/7</v>
      </c>
      <c r="C139" s="31">
        <v>18</v>
      </c>
      <c r="D139" s="62">
        <v>44763</v>
      </c>
      <c r="E139" s="55" t="s">
        <v>2</v>
      </c>
      <c r="K139" s="55"/>
      <c r="L139" s="55"/>
    </row>
    <row r="140" spans="1:12" ht="13.2">
      <c r="A140" s="55"/>
      <c r="B140" s="55" t="str">
        <f t="shared" si="0"/>
        <v>2022/7</v>
      </c>
      <c r="C140" s="31">
        <v>24</v>
      </c>
      <c r="D140" s="62">
        <v>44764</v>
      </c>
      <c r="E140" s="55" t="s">
        <v>2</v>
      </c>
      <c r="K140" s="55"/>
      <c r="L140" s="55"/>
    </row>
    <row r="141" spans="1:12" ht="13.2">
      <c r="A141" s="55"/>
      <c r="B141" s="55" t="str">
        <f t="shared" si="0"/>
        <v>2022/7</v>
      </c>
      <c r="C141" s="31">
        <v>8</v>
      </c>
      <c r="D141" s="62">
        <v>44767</v>
      </c>
      <c r="E141" s="55" t="s">
        <v>2</v>
      </c>
      <c r="K141" s="55"/>
      <c r="L141" s="55"/>
    </row>
    <row r="142" spans="1:12" ht="13.2">
      <c r="A142" s="55"/>
      <c r="B142" s="55" t="str">
        <f t="shared" si="0"/>
        <v>2022/7</v>
      </c>
      <c r="C142" s="31">
        <v>15</v>
      </c>
      <c r="D142" s="62">
        <v>44769</v>
      </c>
      <c r="E142" s="55" t="s">
        <v>2</v>
      </c>
      <c r="K142" s="55"/>
      <c r="L142" s="55"/>
    </row>
    <row r="143" spans="1:12" ht="13.2">
      <c r="A143" s="55"/>
      <c r="B143" s="55" t="str">
        <f t="shared" si="0"/>
        <v>2022/8</v>
      </c>
      <c r="C143" s="31">
        <v>289</v>
      </c>
      <c r="D143" s="62">
        <v>44777</v>
      </c>
      <c r="E143" s="55" t="s">
        <v>5</v>
      </c>
      <c r="F143" s="63" t="s">
        <v>347</v>
      </c>
      <c r="K143" s="55"/>
      <c r="L143" s="55"/>
    </row>
    <row r="144" spans="1:12" ht="13.2">
      <c r="A144" s="55"/>
      <c r="B144" s="55" t="str">
        <f t="shared" si="0"/>
        <v>2022/8</v>
      </c>
      <c r="C144" s="31">
        <v>24.15</v>
      </c>
      <c r="D144" s="62">
        <v>44777</v>
      </c>
      <c r="E144" s="55" t="s">
        <v>5</v>
      </c>
      <c r="F144" s="63" t="s">
        <v>323</v>
      </c>
      <c r="K144" s="55"/>
      <c r="L144" s="55"/>
    </row>
    <row r="145" spans="1:12" ht="13.2">
      <c r="A145" s="55"/>
      <c r="B145" s="55" t="str">
        <f t="shared" si="0"/>
        <v>2022/8</v>
      </c>
      <c r="C145" s="31">
        <v>200</v>
      </c>
      <c r="D145" s="62">
        <v>44777</v>
      </c>
      <c r="E145" s="55" t="s">
        <v>6</v>
      </c>
      <c r="F145" s="64" t="s">
        <v>364</v>
      </c>
      <c r="K145" s="31"/>
      <c r="L145" s="55"/>
    </row>
    <row r="146" spans="1:12" ht="13.2">
      <c r="A146" s="55"/>
      <c r="B146" s="55" t="str">
        <f t="shared" si="0"/>
        <v>2022/8</v>
      </c>
      <c r="C146" s="31">
        <v>29</v>
      </c>
      <c r="D146" s="62">
        <v>44778</v>
      </c>
      <c r="E146" s="55" t="s">
        <v>2</v>
      </c>
      <c r="F146" s="64"/>
      <c r="K146" s="31"/>
      <c r="L146" s="55"/>
    </row>
    <row r="147" spans="1:12" ht="13.2">
      <c r="A147" s="55"/>
      <c r="B147" s="55" t="str">
        <f t="shared" si="0"/>
        <v>2022/8</v>
      </c>
      <c r="C147" s="31">
        <v>425</v>
      </c>
      <c r="D147" s="62">
        <v>44778</v>
      </c>
      <c r="E147" s="55" t="s">
        <v>5</v>
      </c>
      <c r="F147" s="64" t="s">
        <v>363</v>
      </c>
      <c r="K147" s="31"/>
      <c r="L147" s="55"/>
    </row>
    <row r="148" spans="1:12" ht="13.2">
      <c r="A148" s="55"/>
      <c r="B148" s="55" t="str">
        <f t="shared" si="0"/>
        <v>2022/8</v>
      </c>
      <c r="C148" s="31">
        <v>150</v>
      </c>
      <c r="D148" s="62">
        <v>44781</v>
      </c>
      <c r="E148" s="55" t="s">
        <v>8</v>
      </c>
      <c r="K148" s="31"/>
      <c r="L148" s="55"/>
    </row>
    <row r="149" spans="1:12" ht="13.2">
      <c r="A149" s="55"/>
      <c r="B149" s="55" t="str">
        <f t="shared" si="0"/>
        <v>2022/8</v>
      </c>
      <c r="C149" s="31">
        <v>508.43</v>
      </c>
      <c r="D149" s="62">
        <v>44781</v>
      </c>
      <c r="E149" s="55" t="s">
        <v>3</v>
      </c>
      <c r="F149" s="63" t="s">
        <v>365</v>
      </c>
      <c r="K149" s="66"/>
      <c r="L149" s="55"/>
    </row>
    <row r="150" spans="1:12" ht="13.2">
      <c r="A150" s="55"/>
      <c r="B150" s="55" t="str">
        <f t="shared" si="0"/>
        <v>2022/8</v>
      </c>
      <c r="C150" s="31">
        <v>458</v>
      </c>
      <c r="D150" s="62">
        <v>44781</v>
      </c>
      <c r="E150" s="55" t="s">
        <v>7</v>
      </c>
      <c r="K150" s="31"/>
      <c r="L150" s="55"/>
    </row>
    <row r="151" spans="1:12" ht="13.2">
      <c r="A151" s="55"/>
      <c r="B151" s="55" t="str">
        <f t="shared" si="0"/>
        <v>2022/8</v>
      </c>
      <c r="C151" s="31">
        <v>529.72</v>
      </c>
      <c r="D151" s="62">
        <v>44783</v>
      </c>
      <c r="E151" s="55" t="s">
        <v>4</v>
      </c>
      <c r="F151" s="63" t="s">
        <v>361</v>
      </c>
      <c r="K151" s="31"/>
      <c r="L151" s="55"/>
    </row>
    <row r="152" spans="1:12" ht="13.2">
      <c r="A152" s="55"/>
      <c r="B152" s="55" t="str">
        <f t="shared" si="0"/>
        <v>2022/8</v>
      </c>
      <c r="C152" s="31">
        <v>23</v>
      </c>
      <c r="D152" s="62">
        <v>44785</v>
      </c>
      <c r="E152" s="55" t="s">
        <v>2</v>
      </c>
      <c r="F152" s="63"/>
      <c r="K152" s="66"/>
      <c r="L152" s="55"/>
    </row>
    <row r="153" spans="1:12" ht="13.2">
      <c r="A153" s="55"/>
      <c r="B153" s="55" t="str">
        <f t="shared" si="0"/>
        <v>2022/8</v>
      </c>
      <c r="C153" s="31">
        <v>150</v>
      </c>
      <c r="D153" s="62">
        <v>44788</v>
      </c>
      <c r="E153" s="55" t="s">
        <v>8</v>
      </c>
      <c r="K153" s="55"/>
      <c r="L153" s="55"/>
    </row>
    <row r="154" spans="1:12" ht="13.2">
      <c r="A154" s="55"/>
      <c r="B154" s="55" t="str">
        <f t="shared" si="0"/>
        <v>2022/8</v>
      </c>
      <c r="C154" s="31">
        <v>200</v>
      </c>
      <c r="D154" s="62">
        <v>44789</v>
      </c>
      <c r="E154" s="55" t="s">
        <v>5</v>
      </c>
      <c r="F154" s="63" t="s">
        <v>366</v>
      </c>
      <c r="K154" s="55"/>
      <c r="L154" s="55"/>
    </row>
    <row r="155" spans="1:12" ht="13.2">
      <c r="A155" s="55"/>
      <c r="B155" s="55" t="str">
        <f t="shared" si="0"/>
        <v>2022/8</v>
      </c>
      <c r="C155" s="31">
        <v>32</v>
      </c>
      <c r="D155" s="62">
        <v>44790</v>
      </c>
      <c r="E155" s="55" t="s">
        <v>2</v>
      </c>
      <c r="K155" s="55"/>
      <c r="L155" s="55"/>
    </row>
    <row r="156" spans="1:12" ht="13.2">
      <c r="A156" s="55"/>
      <c r="B156" s="55" t="str">
        <f t="shared" si="0"/>
        <v>2022/8</v>
      </c>
      <c r="C156" s="31">
        <v>40</v>
      </c>
      <c r="D156" s="62">
        <v>44791</v>
      </c>
      <c r="E156" s="55" t="s">
        <v>9</v>
      </c>
      <c r="F156" s="63" t="s">
        <v>354</v>
      </c>
      <c r="K156" s="55"/>
      <c r="L156" s="55"/>
    </row>
    <row r="157" spans="1:12" ht="13.2">
      <c r="A157" s="55"/>
      <c r="B157" s="55" t="str">
        <f t="shared" si="0"/>
        <v>2022/8</v>
      </c>
      <c r="C157" s="31">
        <v>30</v>
      </c>
      <c r="D157" s="62">
        <v>44791</v>
      </c>
      <c r="E157" s="55" t="s">
        <v>3</v>
      </c>
      <c r="F157" s="63" t="s">
        <v>367</v>
      </c>
      <c r="K157" s="55"/>
      <c r="L157" s="55"/>
    </row>
    <row r="158" spans="1:12" ht="13.2">
      <c r="A158" s="55"/>
      <c r="B158" s="55" t="str">
        <f t="shared" si="0"/>
        <v>2022/8</v>
      </c>
      <c r="C158" s="31">
        <v>375.54</v>
      </c>
      <c r="D158" s="62">
        <v>44791</v>
      </c>
      <c r="E158" s="55" t="s">
        <v>5</v>
      </c>
      <c r="F158" s="63" t="s">
        <v>362</v>
      </c>
      <c r="K158" s="55"/>
      <c r="L158" s="55"/>
    </row>
    <row r="159" spans="1:12" ht="13.2">
      <c r="A159" s="55"/>
      <c r="B159" s="55" t="str">
        <f t="shared" si="0"/>
        <v>2022/8</v>
      </c>
      <c r="C159" s="31">
        <v>150</v>
      </c>
      <c r="D159" s="62">
        <v>44796</v>
      </c>
      <c r="E159" s="55" t="s">
        <v>8</v>
      </c>
      <c r="F159" s="63"/>
      <c r="K159" s="55"/>
      <c r="L159" s="55"/>
    </row>
    <row r="160" spans="1:12" ht="13.2">
      <c r="A160" s="55"/>
      <c r="B160" s="55" t="str">
        <f t="shared" si="0"/>
        <v>2022/8</v>
      </c>
      <c r="C160" s="31">
        <v>18</v>
      </c>
      <c r="D160" s="62">
        <v>44797</v>
      </c>
      <c r="E160" s="55" t="s">
        <v>2</v>
      </c>
      <c r="K160" s="55"/>
      <c r="L160" s="55"/>
    </row>
    <row r="161" spans="1:12" ht="13.2">
      <c r="A161" s="55"/>
      <c r="B161" s="55" t="str">
        <f t="shared" si="0"/>
        <v>2022/8</v>
      </c>
      <c r="C161" s="31">
        <v>99.9</v>
      </c>
      <c r="D161" s="62">
        <v>44798</v>
      </c>
      <c r="E161" s="55" t="s">
        <v>5</v>
      </c>
      <c r="F161" s="63" t="s">
        <v>368</v>
      </c>
      <c r="K161" s="55"/>
      <c r="L161" s="55"/>
    </row>
    <row r="162" spans="1:12" ht="13.2">
      <c r="A162" s="55"/>
      <c r="B162" s="55" t="str">
        <f t="shared" si="0"/>
        <v>2022/8</v>
      </c>
      <c r="C162" s="31">
        <v>21</v>
      </c>
      <c r="D162" s="62">
        <v>44799</v>
      </c>
      <c r="E162" s="55" t="s">
        <v>2</v>
      </c>
      <c r="K162" s="55"/>
      <c r="L162" s="55"/>
    </row>
    <row r="163" spans="1:12" ht="13.2">
      <c r="A163" s="55"/>
      <c r="B163" s="55" t="str">
        <f t="shared" si="0"/>
        <v>2022/8</v>
      </c>
      <c r="C163" s="31">
        <v>90</v>
      </c>
      <c r="D163" s="62">
        <v>44800</v>
      </c>
      <c r="E163" s="55" t="s">
        <v>5</v>
      </c>
      <c r="F163" s="63" t="s">
        <v>369</v>
      </c>
      <c r="K163" s="55"/>
      <c r="L163" s="55"/>
    </row>
    <row r="164" spans="1:12" ht="13.2">
      <c r="A164" s="55"/>
      <c r="B164" s="55" t="str">
        <f t="shared" si="0"/>
        <v>2022/8</v>
      </c>
      <c r="C164" s="31">
        <v>150</v>
      </c>
      <c r="D164" s="62">
        <v>44803</v>
      </c>
      <c r="E164" s="55" t="s">
        <v>8</v>
      </c>
      <c r="K164" s="55"/>
      <c r="L164" s="55"/>
    </row>
    <row r="165" spans="1:12" ht="13.2">
      <c r="A165" s="55"/>
      <c r="B165" s="55" t="str">
        <f t="shared" si="0"/>
        <v>2022/8</v>
      </c>
      <c r="C165" s="31">
        <v>32</v>
      </c>
      <c r="D165" s="62">
        <v>44804</v>
      </c>
      <c r="E165" s="55" t="s">
        <v>2</v>
      </c>
      <c r="K165" s="55"/>
      <c r="L165" s="55"/>
    </row>
    <row r="166" spans="1:12" ht="13.2">
      <c r="A166" s="55"/>
      <c r="B166" s="55" t="str">
        <f t="shared" si="0"/>
        <v>2022/9</v>
      </c>
      <c r="C166" s="31">
        <v>355.92</v>
      </c>
      <c r="D166" s="62">
        <v>44805</v>
      </c>
      <c r="E166" s="55" t="s">
        <v>5</v>
      </c>
      <c r="F166" s="64" t="s">
        <v>362</v>
      </c>
      <c r="K166" s="55"/>
      <c r="L166" s="55"/>
    </row>
    <row r="167" spans="1:12" ht="13.2">
      <c r="A167" s="55"/>
      <c r="B167" s="55" t="str">
        <f t="shared" si="0"/>
        <v>2022/9</v>
      </c>
      <c r="C167" s="31">
        <v>289</v>
      </c>
      <c r="D167" s="62">
        <v>44806</v>
      </c>
      <c r="E167" s="55" t="s">
        <v>5</v>
      </c>
      <c r="F167" s="63" t="s">
        <v>325</v>
      </c>
      <c r="K167" s="55"/>
      <c r="L167" s="55"/>
    </row>
    <row r="168" spans="1:12" ht="13.2">
      <c r="A168" s="55"/>
      <c r="B168" s="55" t="str">
        <f t="shared" si="0"/>
        <v>2022/9</v>
      </c>
      <c r="C168" s="31">
        <v>24.15</v>
      </c>
      <c r="D168" s="62">
        <v>44807</v>
      </c>
      <c r="E168" s="55" t="s">
        <v>5</v>
      </c>
      <c r="F168" s="63" t="s">
        <v>323</v>
      </c>
      <c r="K168" s="55"/>
      <c r="L168" s="55"/>
    </row>
    <row r="169" spans="1:12" ht="13.2">
      <c r="A169" s="55"/>
      <c r="B169" s="55" t="str">
        <f t="shared" si="0"/>
        <v>2022/9</v>
      </c>
      <c r="C169" s="31">
        <v>200</v>
      </c>
      <c r="D169" s="62">
        <v>44808</v>
      </c>
      <c r="E169" s="55" t="s">
        <v>6</v>
      </c>
      <c r="F169" s="64" t="s">
        <v>364</v>
      </c>
      <c r="K169" s="55"/>
      <c r="L169" s="55"/>
    </row>
    <row r="170" spans="1:12" ht="13.2">
      <c r="A170" s="55"/>
      <c r="B170" s="55" t="str">
        <f t="shared" si="0"/>
        <v>2022/9</v>
      </c>
      <c r="C170" s="31">
        <v>150</v>
      </c>
      <c r="D170" s="62">
        <v>44809</v>
      </c>
      <c r="E170" s="55" t="s">
        <v>8</v>
      </c>
      <c r="K170" s="55"/>
      <c r="L170" s="55"/>
    </row>
    <row r="171" spans="1:12" ht="13.2">
      <c r="A171" s="55"/>
      <c r="B171" s="55" t="str">
        <f t="shared" si="0"/>
        <v>2022/9</v>
      </c>
      <c r="C171" s="31">
        <v>20</v>
      </c>
      <c r="D171" s="62">
        <v>44810</v>
      </c>
      <c r="E171" s="55" t="s">
        <v>2</v>
      </c>
      <c r="K171" s="55"/>
      <c r="L171" s="55"/>
    </row>
    <row r="172" spans="1:12" ht="13.2">
      <c r="A172" s="55"/>
      <c r="B172" s="55" t="str">
        <f t="shared" si="0"/>
        <v>2022/9</v>
      </c>
      <c r="C172" s="31">
        <v>508.43</v>
      </c>
      <c r="D172" s="62">
        <v>44812</v>
      </c>
      <c r="E172" s="55" t="s">
        <v>3</v>
      </c>
      <c r="F172" s="64" t="s">
        <v>370</v>
      </c>
      <c r="K172" s="55"/>
      <c r="L172" s="55"/>
    </row>
    <row r="173" spans="1:12" ht="13.2">
      <c r="A173" s="55"/>
      <c r="B173" s="55" t="str">
        <f t="shared" si="0"/>
        <v>2022/9</v>
      </c>
      <c r="C173" s="31">
        <v>23</v>
      </c>
      <c r="D173" s="62">
        <v>44812</v>
      </c>
      <c r="E173" s="55" t="s">
        <v>2</v>
      </c>
      <c r="K173" s="55"/>
      <c r="L173" s="55"/>
    </row>
    <row r="174" spans="1:12" ht="13.2">
      <c r="A174" s="55"/>
      <c r="B174" s="55" t="str">
        <f t="shared" si="0"/>
        <v>2022/9</v>
      </c>
      <c r="C174" s="31">
        <v>529.72</v>
      </c>
      <c r="D174" s="62">
        <v>44812</v>
      </c>
      <c r="E174" s="55" t="s">
        <v>4</v>
      </c>
      <c r="F174" s="63" t="s">
        <v>361</v>
      </c>
      <c r="K174" s="55"/>
      <c r="L174" s="55"/>
    </row>
    <row r="175" spans="1:12" ht="13.2">
      <c r="A175" s="55"/>
      <c r="B175" s="55" t="str">
        <f t="shared" si="0"/>
        <v>2022/9</v>
      </c>
      <c r="C175" s="31">
        <v>612</v>
      </c>
      <c r="D175" s="62">
        <v>44812</v>
      </c>
      <c r="E175" s="55" t="s">
        <v>7</v>
      </c>
      <c r="K175" s="55"/>
      <c r="L175" s="55"/>
    </row>
    <row r="176" spans="1:12" ht="13.2">
      <c r="A176" s="55"/>
      <c r="B176" s="55" t="str">
        <f t="shared" si="0"/>
        <v>2022/9</v>
      </c>
      <c r="C176" s="31">
        <v>295.26</v>
      </c>
      <c r="D176" s="62">
        <v>44815</v>
      </c>
      <c r="E176" s="55" t="s">
        <v>9</v>
      </c>
      <c r="F176" s="63" t="s">
        <v>371</v>
      </c>
      <c r="K176" s="55"/>
      <c r="L176" s="55"/>
    </row>
    <row r="177" spans="1:12" ht="13.2">
      <c r="A177" s="55"/>
      <c r="B177" s="55" t="str">
        <f t="shared" si="0"/>
        <v>2022/9</v>
      </c>
      <c r="C177" s="31">
        <v>150</v>
      </c>
      <c r="D177" s="62">
        <v>44817</v>
      </c>
      <c r="E177" s="55" t="s">
        <v>8</v>
      </c>
      <c r="K177" s="55"/>
      <c r="L177" s="55"/>
    </row>
    <row r="178" spans="1:12" ht="13.2">
      <c r="A178" s="55"/>
      <c r="B178" s="55" t="str">
        <f t="shared" si="0"/>
        <v>2022/9</v>
      </c>
      <c r="C178" s="31">
        <v>26</v>
      </c>
      <c r="D178" s="62">
        <v>44818</v>
      </c>
      <c r="E178" s="55" t="s">
        <v>2</v>
      </c>
      <c r="K178" s="55"/>
      <c r="L178" s="55"/>
    </row>
    <row r="179" spans="1:12" ht="13.2">
      <c r="A179" s="55"/>
      <c r="B179" s="55" t="str">
        <f t="shared" si="0"/>
        <v>2022/9</v>
      </c>
      <c r="C179" s="31">
        <v>771</v>
      </c>
      <c r="D179" s="62">
        <v>44818</v>
      </c>
      <c r="E179" s="55" t="s">
        <v>3</v>
      </c>
      <c r="F179" s="63" t="s">
        <v>337</v>
      </c>
      <c r="K179" s="55"/>
      <c r="L179" s="55"/>
    </row>
    <row r="180" spans="1:12" ht="13.2">
      <c r="A180" s="55"/>
      <c r="B180" s="55" t="str">
        <f t="shared" si="0"/>
        <v>2022/9</v>
      </c>
      <c r="C180" s="31">
        <v>23</v>
      </c>
      <c r="D180" s="62">
        <v>44820</v>
      </c>
      <c r="E180" s="55" t="s">
        <v>2</v>
      </c>
      <c r="K180" s="55"/>
      <c r="L180" s="55"/>
    </row>
    <row r="181" spans="1:12" ht="13.2">
      <c r="A181" s="55"/>
      <c r="B181" s="55" t="str">
        <f t="shared" si="0"/>
        <v>2022/9</v>
      </c>
      <c r="C181" s="31">
        <v>40.78</v>
      </c>
      <c r="D181" s="62">
        <v>44833</v>
      </c>
      <c r="E181" s="55" t="s">
        <v>9</v>
      </c>
      <c r="F181" s="63" t="s">
        <v>372</v>
      </c>
      <c r="K181" s="55"/>
      <c r="L181" s="55"/>
    </row>
    <row r="182" spans="1:12" ht="13.2">
      <c r="A182" s="55"/>
      <c r="B182" s="55" t="str">
        <f t="shared" si="0"/>
        <v>2022/9</v>
      </c>
      <c r="C182" s="31">
        <v>150</v>
      </c>
      <c r="D182" s="62">
        <v>44824</v>
      </c>
      <c r="E182" s="55" t="s">
        <v>8</v>
      </c>
      <c r="K182" s="55"/>
      <c r="L182" s="55"/>
    </row>
    <row r="183" spans="1:12" ht="13.2">
      <c r="A183" s="55"/>
      <c r="B183" s="55" t="str">
        <f t="shared" si="0"/>
        <v>2022/9</v>
      </c>
      <c r="C183" s="31">
        <v>18</v>
      </c>
      <c r="D183" s="62">
        <v>44825</v>
      </c>
      <c r="E183" s="55" t="s">
        <v>2</v>
      </c>
      <c r="K183" s="55"/>
      <c r="L183" s="55"/>
    </row>
    <row r="184" spans="1:12" ht="13.2">
      <c r="A184" s="55"/>
      <c r="B184" s="55" t="str">
        <f t="shared" si="0"/>
        <v>2022/9</v>
      </c>
      <c r="C184" s="31">
        <v>400</v>
      </c>
      <c r="D184" s="62">
        <v>44825</v>
      </c>
      <c r="E184" s="55" t="s">
        <v>5</v>
      </c>
      <c r="K184" s="55"/>
      <c r="L184" s="55"/>
    </row>
    <row r="185" spans="1:12" ht="13.2">
      <c r="A185" s="55"/>
      <c r="B185" s="55" t="str">
        <f t="shared" si="0"/>
        <v>2022/9</v>
      </c>
      <c r="C185" s="31">
        <v>18</v>
      </c>
      <c r="D185" s="62">
        <v>44827</v>
      </c>
      <c r="E185" s="55" t="s">
        <v>2</v>
      </c>
      <c r="K185" s="55"/>
      <c r="L185" s="55"/>
    </row>
    <row r="186" spans="1:12" ht="13.2">
      <c r="A186" s="55"/>
      <c r="B186" s="55" t="str">
        <f t="shared" si="0"/>
        <v>2022/9</v>
      </c>
      <c r="C186" s="31">
        <v>130</v>
      </c>
      <c r="D186" s="62">
        <v>44831</v>
      </c>
      <c r="E186" s="55" t="s">
        <v>5</v>
      </c>
      <c r="F186" s="63" t="s">
        <v>373</v>
      </c>
      <c r="K186" s="55"/>
      <c r="L186" s="55"/>
    </row>
    <row r="187" spans="1:12" ht="13.2">
      <c r="A187" s="55"/>
      <c r="B187" s="55" t="str">
        <f t="shared" si="0"/>
        <v>2022/9</v>
      </c>
      <c r="C187" s="31">
        <v>27</v>
      </c>
      <c r="D187" s="62">
        <v>44832</v>
      </c>
      <c r="E187" s="55" t="s">
        <v>2</v>
      </c>
      <c r="K187" s="55"/>
      <c r="L187" s="55"/>
    </row>
    <row r="188" spans="1:12" ht="13.2">
      <c r="A188" s="55"/>
      <c r="B188" s="55" t="str">
        <f t="shared" si="0"/>
        <v>2022/9</v>
      </c>
      <c r="C188" s="31">
        <v>150</v>
      </c>
      <c r="D188" s="62">
        <v>44832</v>
      </c>
      <c r="E188" s="55" t="s">
        <v>8</v>
      </c>
      <c r="K188" s="55"/>
      <c r="L188" s="55"/>
    </row>
    <row r="189" spans="1:12" ht="13.2">
      <c r="A189" s="55"/>
      <c r="B189" s="55" t="str">
        <f t="shared" si="0"/>
        <v>2022/9</v>
      </c>
      <c r="C189" s="31">
        <v>18</v>
      </c>
      <c r="D189" s="62">
        <v>44834</v>
      </c>
      <c r="E189" s="55" t="s">
        <v>2</v>
      </c>
      <c r="K189" s="55"/>
      <c r="L189" s="55"/>
    </row>
    <row r="190" spans="1:12" ht="13.2">
      <c r="A190" s="55"/>
      <c r="B190" s="55" t="str">
        <f t="shared" si="0"/>
        <v>2022/10</v>
      </c>
      <c r="C190" s="31">
        <v>289</v>
      </c>
      <c r="D190" s="62">
        <v>44835</v>
      </c>
      <c r="E190" s="55" t="s">
        <v>5</v>
      </c>
      <c r="F190" s="63" t="s">
        <v>347</v>
      </c>
      <c r="K190" s="55"/>
      <c r="L190" s="55"/>
    </row>
    <row r="191" spans="1:12" ht="13.2">
      <c r="A191" s="55"/>
      <c r="B191" s="55" t="str">
        <f t="shared" si="0"/>
        <v>2022/10</v>
      </c>
      <c r="C191" s="31">
        <v>24.15</v>
      </c>
      <c r="D191" s="62">
        <v>44835</v>
      </c>
      <c r="E191" s="55" t="s">
        <v>5</v>
      </c>
      <c r="F191" s="63" t="s">
        <v>323</v>
      </c>
      <c r="K191" s="55"/>
      <c r="L191" s="55"/>
    </row>
    <row r="192" spans="1:12" ht="13.2">
      <c r="A192" s="55"/>
      <c r="B192" s="55" t="str">
        <f t="shared" si="0"/>
        <v>2022/10</v>
      </c>
      <c r="C192" s="31">
        <v>200</v>
      </c>
      <c r="D192" s="62">
        <v>44835</v>
      </c>
      <c r="E192" s="55" t="s">
        <v>6</v>
      </c>
      <c r="F192" s="63" t="s">
        <v>364</v>
      </c>
      <c r="K192" s="55"/>
      <c r="L192" s="55"/>
    </row>
    <row r="193" spans="1:12" ht="13.2">
      <c r="A193" s="55"/>
      <c r="B193" s="55" t="str">
        <f t="shared" si="0"/>
        <v>2022/10</v>
      </c>
      <c r="C193" s="31">
        <v>200.58</v>
      </c>
      <c r="D193" s="62">
        <v>44835</v>
      </c>
      <c r="E193" s="55" t="s">
        <v>5</v>
      </c>
      <c r="F193" s="63" t="s">
        <v>362</v>
      </c>
      <c r="K193" s="55"/>
      <c r="L193" s="55"/>
    </row>
    <row r="194" spans="1:12" ht="13.2">
      <c r="A194" s="55"/>
      <c r="B194" s="55" t="str">
        <f t="shared" si="0"/>
        <v>2022/10</v>
      </c>
      <c r="C194" s="31">
        <v>200</v>
      </c>
      <c r="D194" s="62">
        <v>44836</v>
      </c>
      <c r="E194" s="55" t="s">
        <v>5</v>
      </c>
      <c r="F194" s="63" t="s">
        <v>374</v>
      </c>
      <c r="K194" s="55"/>
      <c r="L194" s="55"/>
    </row>
    <row r="195" spans="1:12" ht="13.2">
      <c r="A195" s="55"/>
      <c r="B195" s="55" t="str">
        <f t="shared" si="0"/>
        <v>2022/10</v>
      </c>
      <c r="C195" s="31">
        <v>150</v>
      </c>
      <c r="D195" s="62">
        <v>44837</v>
      </c>
      <c r="E195" s="55" t="s">
        <v>8</v>
      </c>
      <c r="K195" s="55"/>
      <c r="L195" s="55"/>
    </row>
    <row r="196" spans="1:12" ht="13.2">
      <c r="A196" s="55"/>
      <c r="B196" s="55" t="str">
        <f t="shared" si="0"/>
        <v>2022/10</v>
      </c>
      <c r="C196" s="31">
        <v>99.9</v>
      </c>
      <c r="D196" s="62">
        <v>44838</v>
      </c>
      <c r="E196" s="55" t="s">
        <v>5</v>
      </c>
      <c r="F196" s="63" t="s">
        <v>375</v>
      </c>
      <c r="K196" s="55"/>
      <c r="L196" s="55"/>
    </row>
    <row r="197" spans="1:12" ht="13.2">
      <c r="A197" s="55"/>
      <c r="B197" s="55" t="str">
        <f t="shared" si="0"/>
        <v>2022/10</v>
      </c>
      <c r="C197" s="31">
        <v>20</v>
      </c>
      <c r="D197" s="62">
        <v>44840</v>
      </c>
      <c r="E197" s="55" t="s">
        <v>2</v>
      </c>
      <c r="F197" s="63"/>
      <c r="K197" s="55"/>
      <c r="L197" s="55"/>
    </row>
    <row r="198" spans="1:12" ht="13.2">
      <c r="A198" s="55"/>
      <c r="B198" s="55" t="str">
        <f t="shared" si="0"/>
        <v>2022/10</v>
      </c>
      <c r="C198" s="31">
        <v>18</v>
      </c>
      <c r="D198" s="62">
        <v>44841</v>
      </c>
      <c r="E198" s="55" t="s">
        <v>2</v>
      </c>
      <c r="F198" s="63"/>
      <c r="K198" s="55"/>
      <c r="L198" s="55"/>
    </row>
    <row r="199" spans="1:12" ht="13.2">
      <c r="A199" s="55"/>
      <c r="B199" s="55" t="str">
        <f t="shared" si="0"/>
        <v>2022/10</v>
      </c>
      <c r="C199" s="31">
        <v>508.43</v>
      </c>
      <c r="D199" s="62">
        <v>44842</v>
      </c>
      <c r="E199" s="55" t="s">
        <v>3</v>
      </c>
      <c r="F199" s="63" t="s">
        <v>376</v>
      </c>
      <c r="K199" s="55"/>
      <c r="L199" s="55"/>
    </row>
    <row r="200" spans="1:12" ht="13.2">
      <c r="A200" s="55"/>
      <c r="B200" s="55" t="str">
        <f t="shared" si="0"/>
        <v>2022/10</v>
      </c>
      <c r="C200" s="31">
        <v>529.72</v>
      </c>
      <c r="D200" s="62">
        <v>44843</v>
      </c>
      <c r="E200" s="55" t="s">
        <v>4</v>
      </c>
      <c r="F200" s="63"/>
      <c r="K200" s="55"/>
      <c r="L200" s="55"/>
    </row>
    <row r="201" spans="1:12" ht="13.2">
      <c r="A201" s="55"/>
      <c r="B201" s="55" t="str">
        <f t="shared" si="0"/>
        <v>2022/10</v>
      </c>
      <c r="C201" s="31">
        <v>920</v>
      </c>
      <c r="D201" s="62">
        <v>44845</v>
      </c>
      <c r="E201" s="55" t="s">
        <v>7</v>
      </c>
      <c r="K201" s="55"/>
      <c r="L201" s="55"/>
    </row>
    <row r="202" spans="1:12" ht="13.2">
      <c r="A202" s="55"/>
      <c r="B202" s="55" t="str">
        <f t="shared" si="0"/>
        <v>2022/10</v>
      </c>
      <c r="C202" s="31">
        <f>8.73+11.1+12.94+9.6+11.68+11.3+15.5+9.31+12.51+9.46+7.8+14.98+10.2+11.3+8.4+7.7+11.9+11.82</f>
        <v>196.23</v>
      </c>
      <c r="D202" s="62">
        <v>44847</v>
      </c>
      <c r="E202" s="55" t="s">
        <v>2</v>
      </c>
      <c r="F202" s="63" t="s">
        <v>377</v>
      </c>
      <c r="K202" s="55"/>
      <c r="L202" s="55"/>
    </row>
    <row r="203" spans="1:12" ht="13.2">
      <c r="A203" s="55"/>
      <c r="B203" s="55" t="str">
        <f t="shared" si="0"/>
        <v>2022/10</v>
      </c>
      <c r="C203" s="31">
        <v>29.94</v>
      </c>
      <c r="D203" s="62">
        <v>44847</v>
      </c>
      <c r="E203" s="55" t="s">
        <v>5</v>
      </c>
      <c r="F203" s="63" t="s">
        <v>378</v>
      </c>
      <c r="K203" s="55"/>
      <c r="L203" s="55"/>
    </row>
    <row r="204" spans="1:12" ht="13.2">
      <c r="A204" s="55"/>
      <c r="B204" s="55" t="str">
        <f t="shared" si="0"/>
        <v>2022/10</v>
      </c>
      <c r="C204" s="31">
        <v>27.8</v>
      </c>
      <c r="D204" s="62">
        <v>44849</v>
      </c>
      <c r="E204" s="55" t="s">
        <v>3</v>
      </c>
      <c r="F204" s="63" t="s">
        <v>379</v>
      </c>
      <c r="K204" s="55"/>
      <c r="L204" s="55"/>
    </row>
    <row r="205" spans="1:12" ht="13.2">
      <c r="A205" s="55"/>
      <c r="B205" s="55" t="str">
        <f t="shared" si="0"/>
        <v>2022/10</v>
      </c>
      <c r="C205" s="31">
        <v>150</v>
      </c>
      <c r="D205" s="62">
        <v>44848</v>
      </c>
      <c r="E205" s="55" t="s">
        <v>8</v>
      </c>
      <c r="K205" s="55"/>
      <c r="L205" s="55"/>
    </row>
    <row r="206" spans="1:12" ht="13.2">
      <c r="A206" s="55"/>
      <c r="B206" s="55" t="str">
        <f t="shared" si="0"/>
        <v>2022/10</v>
      </c>
      <c r="C206" s="31">
        <v>150</v>
      </c>
      <c r="D206" s="62">
        <v>44851</v>
      </c>
      <c r="E206" s="55" t="s">
        <v>8</v>
      </c>
      <c r="K206" s="55"/>
      <c r="L206" s="55"/>
    </row>
    <row r="207" spans="1:12" ht="13.2">
      <c r="A207" s="55"/>
      <c r="B207" s="55" t="str">
        <f t="shared" si="0"/>
        <v>2022/10</v>
      </c>
      <c r="C207" s="31">
        <v>36.04</v>
      </c>
      <c r="D207" s="62">
        <v>44851</v>
      </c>
      <c r="E207" s="55" t="s">
        <v>9</v>
      </c>
      <c r="F207" s="63" t="s">
        <v>372</v>
      </c>
      <c r="K207" s="55"/>
      <c r="L207" s="55"/>
    </row>
    <row r="208" spans="1:12" ht="13.2">
      <c r="A208" s="55"/>
      <c r="B208" s="55" t="str">
        <f t="shared" si="0"/>
        <v>2022/10</v>
      </c>
      <c r="C208" s="31">
        <v>400</v>
      </c>
      <c r="D208" s="62">
        <v>44855</v>
      </c>
      <c r="E208" s="55" t="s">
        <v>5</v>
      </c>
      <c r="F208" s="63" t="s">
        <v>342</v>
      </c>
      <c r="K208" s="55"/>
      <c r="L208" s="55"/>
    </row>
    <row r="209" spans="1:12" ht="13.2">
      <c r="A209" s="55"/>
      <c r="B209" s="55" t="str">
        <f t="shared" si="0"/>
        <v>2022/10</v>
      </c>
      <c r="C209" s="31">
        <v>800.83</v>
      </c>
      <c r="D209" s="62">
        <v>44859</v>
      </c>
      <c r="E209" s="55" t="s">
        <v>3</v>
      </c>
      <c r="F209" s="63" t="s">
        <v>380</v>
      </c>
      <c r="K209" s="55"/>
      <c r="L209" s="55"/>
    </row>
    <row r="210" spans="1:12" ht="13.2">
      <c r="A210" s="55"/>
      <c r="B210" s="55" t="str">
        <f t="shared" si="0"/>
        <v>2022/10</v>
      </c>
      <c r="C210" s="31">
        <v>150</v>
      </c>
      <c r="D210" s="62">
        <v>44860</v>
      </c>
      <c r="E210" s="55" t="s">
        <v>8</v>
      </c>
      <c r="K210" s="55"/>
      <c r="L210" s="55"/>
    </row>
    <row r="211" spans="1:12" ht="13.2">
      <c r="A211" s="55"/>
      <c r="B211" s="55" t="str">
        <f t="shared" si="0"/>
        <v>2022/10</v>
      </c>
      <c r="C211" s="31">
        <v>36.99</v>
      </c>
      <c r="D211" s="62">
        <v>44860</v>
      </c>
      <c r="E211" s="55" t="s">
        <v>5</v>
      </c>
      <c r="F211" s="63" t="s">
        <v>381</v>
      </c>
      <c r="K211" s="55"/>
      <c r="L211" s="55"/>
    </row>
    <row r="212" spans="1:12" ht="13.2">
      <c r="A212" s="55"/>
      <c r="B212" s="55" t="str">
        <f t="shared" si="0"/>
        <v>2022/10</v>
      </c>
      <c r="C212" s="31">
        <v>347</v>
      </c>
      <c r="D212" s="62">
        <v>44862</v>
      </c>
      <c r="E212" s="55" t="s">
        <v>5</v>
      </c>
      <c r="F212" s="63" t="s">
        <v>382</v>
      </c>
      <c r="K212" s="55"/>
      <c r="L212" s="55"/>
    </row>
    <row r="213" spans="1:12" ht="13.2">
      <c r="A213" s="55"/>
      <c r="B213" s="55" t="str">
        <f t="shared" si="0"/>
        <v>2022/10</v>
      </c>
      <c r="C213" s="31">
        <v>150</v>
      </c>
      <c r="D213" s="62">
        <v>44865</v>
      </c>
      <c r="E213" s="55" t="s">
        <v>8</v>
      </c>
      <c r="K213" s="55"/>
      <c r="L213" s="55"/>
    </row>
    <row r="214" spans="1:12" ht="13.2">
      <c r="A214" s="55"/>
      <c r="B214" s="55" t="str">
        <f t="shared" si="0"/>
        <v>2022/11</v>
      </c>
      <c r="C214" s="31">
        <v>289.89999999999998</v>
      </c>
      <c r="D214" s="62">
        <v>44866</v>
      </c>
      <c r="E214" s="55" t="s">
        <v>5</v>
      </c>
      <c r="F214" s="63" t="s">
        <v>347</v>
      </c>
      <c r="K214" s="55"/>
      <c r="L214" s="55"/>
    </row>
    <row r="215" spans="1:12" ht="13.2">
      <c r="A215" s="55"/>
      <c r="B215" s="55" t="str">
        <f t="shared" si="0"/>
        <v>2022/11</v>
      </c>
      <c r="C215" s="31">
        <v>24.15</v>
      </c>
      <c r="D215" s="62">
        <v>44866</v>
      </c>
      <c r="E215" s="55" t="s">
        <v>5</v>
      </c>
      <c r="F215" s="63" t="s">
        <v>323</v>
      </c>
      <c r="K215" s="55"/>
      <c r="L215" s="55"/>
    </row>
    <row r="216" spans="1:12" ht="13.2">
      <c r="A216" s="55"/>
      <c r="B216" s="55" t="str">
        <f t="shared" si="0"/>
        <v>2022/11</v>
      </c>
      <c r="C216" s="31">
        <v>200</v>
      </c>
      <c r="D216" s="62">
        <v>44866</v>
      </c>
      <c r="E216" s="55" t="s">
        <v>6</v>
      </c>
      <c r="F216" s="63" t="s">
        <v>327</v>
      </c>
      <c r="K216" s="55"/>
      <c r="L216" s="55"/>
    </row>
    <row r="217" spans="1:12" ht="13.2">
      <c r="A217" s="55"/>
      <c r="B217" s="55" t="str">
        <f t="shared" si="0"/>
        <v>2022/11</v>
      </c>
      <c r="C217" s="31">
        <v>200</v>
      </c>
      <c r="D217" s="62">
        <v>44868</v>
      </c>
      <c r="E217" s="55" t="s">
        <v>5</v>
      </c>
      <c r="F217" s="63" t="s">
        <v>383</v>
      </c>
      <c r="K217" s="55"/>
      <c r="L217" s="55"/>
    </row>
    <row r="218" spans="1:12" ht="13.2">
      <c r="A218" s="55"/>
      <c r="B218" s="55" t="str">
        <f t="shared" si="0"/>
        <v>2022/11</v>
      </c>
      <c r="C218" s="31">
        <v>21.25</v>
      </c>
      <c r="D218" s="62">
        <v>44868</v>
      </c>
      <c r="E218" s="55" t="s">
        <v>3</v>
      </c>
      <c r="F218" s="63" t="s">
        <v>384</v>
      </c>
      <c r="K218" s="55"/>
      <c r="L218" s="55"/>
    </row>
    <row r="219" spans="1:12" ht="13.2">
      <c r="A219" s="55"/>
      <c r="B219" s="55" t="str">
        <f t="shared" si="0"/>
        <v>2022/11</v>
      </c>
      <c r="C219" s="31">
        <v>150</v>
      </c>
      <c r="D219" s="62">
        <v>44872</v>
      </c>
      <c r="E219" s="55" t="s">
        <v>8</v>
      </c>
      <c r="K219" s="55"/>
      <c r="L219" s="55"/>
    </row>
    <row r="220" spans="1:12" ht="13.2">
      <c r="A220" s="55"/>
      <c r="B220" s="55" t="str">
        <f t="shared" si="0"/>
        <v>2022/11</v>
      </c>
      <c r="C220" s="31">
        <v>98</v>
      </c>
      <c r="D220" s="62">
        <v>44873</v>
      </c>
      <c r="E220" s="55" t="s">
        <v>3</v>
      </c>
      <c r="F220" s="63" t="s">
        <v>337</v>
      </c>
      <c r="K220" s="55"/>
      <c r="L220" s="55"/>
    </row>
    <row r="221" spans="1:12" ht="13.2">
      <c r="A221" s="55"/>
      <c r="B221" s="55" t="str">
        <f t="shared" si="0"/>
        <v>2022/11</v>
      </c>
      <c r="C221" s="31">
        <v>889</v>
      </c>
      <c r="D221" s="62">
        <v>44873</v>
      </c>
      <c r="E221" s="55" t="s">
        <v>7</v>
      </c>
      <c r="K221" s="55"/>
      <c r="L221" s="55"/>
    </row>
    <row r="222" spans="1:12" ht="13.2">
      <c r="A222" s="55"/>
      <c r="B222" s="55" t="str">
        <f t="shared" si="0"/>
        <v>2022/11</v>
      </c>
      <c r="C222" s="31">
        <v>529.72</v>
      </c>
      <c r="D222" s="62">
        <v>44873</v>
      </c>
      <c r="E222" s="55" t="s">
        <v>4</v>
      </c>
      <c r="K222" s="55"/>
      <c r="L222" s="55"/>
    </row>
    <row r="223" spans="1:12" ht="13.2">
      <c r="A223" s="55"/>
      <c r="B223" s="55" t="str">
        <f t="shared" si="0"/>
        <v>2022/11</v>
      </c>
      <c r="C223" s="31">
        <f>10.2+11.1+10.5+10.93+10.95+11.8+20+10.6+14.92+12.1+12.1+12.9+12.92+12.6+12.2+20+35</f>
        <v>240.81999999999996</v>
      </c>
      <c r="D223" s="62">
        <v>44878</v>
      </c>
      <c r="E223" s="55" t="s">
        <v>2</v>
      </c>
      <c r="K223" s="55"/>
      <c r="L223" s="55"/>
    </row>
    <row r="224" spans="1:12" ht="13.2">
      <c r="A224" s="55"/>
      <c r="B224" s="55" t="str">
        <f t="shared" si="0"/>
        <v>2022/11</v>
      </c>
      <c r="C224" s="31">
        <v>26.44</v>
      </c>
      <c r="D224" s="62">
        <v>44878</v>
      </c>
      <c r="E224" s="55" t="s">
        <v>5</v>
      </c>
      <c r="F224" s="63" t="s">
        <v>385</v>
      </c>
      <c r="K224" s="55"/>
      <c r="L224" s="55"/>
    </row>
    <row r="225" spans="1:12" ht="13.2">
      <c r="A225" s="55"/>
      <c r="B225" s="55" t="str">
        <f t="shared" si="0"/>
        <v>2022/11</v>
      </c>
      <c r="C225" s="31">
        <v>270</v>
      </c>
      <c r="D225" s="62">
        <v>44880</v>
      </c>
      <c r="E225" s="55" t="s">
        <v>3</v>
      </c>
      <c r="F225" s="63" t="s">
        <v>386</v>
      </c>
      <c r="K225" s="55"/>
      <c r="L225" s="55"/>
    </row>
    <row r="226" spans="1:12" ht="13.2">
      <c r="A226" s="55"/>
      <c r="B226" s="55" t="str">
        <f t="shared" si="0"/>
        <v>2022/11</v>
      </c>
      <c r="C226" s="31">
        <v>150</v>
      </c>
      <c r="D226" s="62">
        <v>44881</v>
      </c>
      <c r="E226" s="55" t="s">
        <v>8</v>
      </c>
      <c r="K226" s="55"/>
      <c r="L226" s="55"/>
    </row>
    <row r="227" spans="1:12" ht="13.2">
      <c r="A227" s="55"/>
      <c r="B227" s="55" t="str">
        <f t="shared" si="0"/>
        <v>2022/11</v>
      </c>
      <c r="C227" s="31">
        <v>150</v>
      </c>
      <c r="D227" s="62">
        <v>44887</v>
      </c>
      <c r="E227" s="55" t="s">
        <v>8</v>
      </c>
      <c r="K227" s="55"/>
      <c r="L227" s="55"/>
    </row>
    <row r="228" spans="1:12" ht="13.2">
      <c r="A228" s="55"/>
      <c r="B228" s="55" t="str">
        <f t="shared" si="0"/>
        <v>2022/11</v>
      </c>
      <c r="C228" s="31">
        <v>36.99</v>
      </c>
      <c r="D228" s="62">
        <v>44887</v>
      </c>
      <c r="E228" s="55" t="s">
        <v>5</v>
      </c>
      <c r="F228" s="63" t="s">
        <v>387</v>
      </c>
      <c r="K228" s="55"/>
      <c r="L228" s="55"/>
    </row>
    <row r="229" spans="1:12" ht="13.2">
      <c r="A229" s="55"/>
      <c r="B229" s="55" t="str">
        <f t="shared" si="0"/>
        <v>2022/11</v>
      </c>
      <c r="C229" s="31">
        <v>35.25</v>
      </c>
      <c r="D229" s="62">
        <v>44890</v>
      </c>
      <c r="E229" s="55" t="s">
        <v>9</v>
      </c>
      <c r="F229" s="63" t="s">
        <v>372</v>
      </c>
      <c r="K229" s="55"/>
      <c r="L229" s="55"/>
    </row>
    <row r="230" spans="1:12" ht="13.2">
      <c r="A230" s="55"/>
      <c r="B230" s="55" t="str">
        <f t="shared" si="0"/>
        <v>2022/11</v>
      </c>
      <c r="C230" s="31">
        <v>800.83</v>
      </c>
      <c r="D230" s="62">
        <v>44890</v>
      </c>
      <c r="E230" s="55" t="s">
        <v>3</v>
      </c>
      <c r="F230" s="63" t="s">
        <v>388</v>
      </c>
      <c r="K230" s="55"/>
      <c r="L230" s="55"/>
    </row>
    <row r="231" spans="1:12" ht="13.2">
      <c r="A231" s="55"/>
      <c r="B231" s="55" t="str">
        <f t="shared" si="0"/>
        <v>2022/11</v>
      </c>
      <c r="C231" s="31">
        <v>150</v>
      </c>
      <c r="D231" s="62">
        <v>44893</v>
      </c>
      <c r="E231" s="55" t="s">
        <v>8</v>
      </c>
      <c r="K231" s="55"/>
      <c r="L231" s="55"/>
    </row>
    <row r="232" spans="1:12" ht="13.2">
      <c r="A232" s="55"/>
      <c r="B232" s="55" t="str">
        <f t="shared" si="0"/>
        <v>2022/11</v>
      </c>
      <c r="C232" s="31">
        <v>88</v>
      </c>
      <c r="D232" s="62">
        <v>44893</v>
      </c>
      <c r="E232" s="55" t="s">
        <v>3</v>
      </c>
      <c r="F232" s="63" t="s">
        <v>389</v>
      </c>
      <c r="K232" s="55"/>
      <c r="L232" s="55"/>
    </row>
    <row r="233" spans="1:12" ht="13.2">
      <c r="A233" s="55"/>
      <c r="B233" s="55" t="str">
        <f t="shared" si="0"/>
        <v>2022/12</v>
      </c>
      <c r="C233" s="31">
        <v>289.89999999999998</v>
      </c>
      <c r="D233" s="62">
        <v>44896</v>
      </c>
      <c r="E233" s="55" t="s">
        <v>5</v>
      </c>
      <c r="F233" s="63" t="s">
        <v>347</v>
      </c>
      <c r="K233" s="55"/>
      <c r="L233" s="55"/>
    </row>
    <row r="234" spans="1:12" ht="13.2">
      <c r="A234" s="55"/>
      <c r="B234" s="55" t="str">
        <f t="shared" si="0"/>
        <v>2022/12</v>
      </c>
      <c r="C234" s="31">
        <v>378.92</v>
      </c>
      <c r="D234" s="62">
        <v>44896</v>
      </c>
      <c r="E234" s="55" t="s">
        <v>5</v>
      </c>
      <c r="F234" s="63" t="s">
        <v>362</v>
      </c>
      <c r="K234" s="55"/>
      <c r="L234" s="55"/>
    </row>
    <row r="235" spans="1:12" ht="13.2">
      <c r="A235" s="55"/>
      <c r="B235" s="55" t="str">
        <f t="shared" si="0"/>
        <v>2022/12</v>
      </c>
      <c r="C235" s="31">
        <v>400</v>
      </c>
      <c r="D235" s="62">
        <v>44896</v>
      </c>
      <c r="E235" s="55" t="s">
        <v>6</v>
      </c>
      <c r="F235" s="63" t="s">
        <v>364</v>
      </c>
      <c r="K235" s="55"/>
      <c r="L235" s="55"/>
    </row>
    <row r="236" spans="1:12" ht="13.2">
      <c r="A236" s="55"/>
      <c r="B236" s="55" t="str">
        <f t="shared" si="0"/>
        <v>2022/12</v>
      </c>
      <c r="C236" s="31">
        <v>23</v>
      </c>
      <c r="D236" s="62">
        <v>44896</v>
      </c>
      <c r="E236" s="55" t="s">
        <v>3</v>
      </c>
      <c r="F236" s="63" t="s">
        <v>390</v>
      </c>
      <c r="K236" s="55"/>
      <c r="L236" s="55"/>
    </row>
    <row r="237" spans="1:12" ht="13.2">
      <c r="A237" s="55"/>
      <c r="B237" s="55" t="str">
        <f t="shared" si="0"/>
        <v>2022/12</v>
      </c>
      <c r="C237" s="31">
        <v>8</v>
      </c>
      <c r="D237" s="62">
        <v>44897</v>
      </c>
      <c r="E237" s="55" t="s">
        <v>2</v>
      </c>
      <c r="F237" s="63"/>
      <c r="K237" s="55"/>
      <c r="L237" s="55"/>
    </row>
    <row r="238" spans="1:12" ht="13.2">
      <c r="A238" s="55"/>
      <c r="B238" s="55" t="str">
        <f t="shared" si="0"/>
        <v>2022/12</v>
      </c>
      <c r="C238" s="31">
        <v>150</v>
      </c>
      <c r="D238" s="62">
        <v>44901</v>
      </c>
      <c r="E238" s="55" t="s">
        <v>8</v>
      </c>
      <c r="F238" s="63"/>
      <c r="K238" s="55"/>
      <c r="L238" s="55"/>
    </row>
    <row r="239" spans="1:12" ht="13.2">
      <c r="A239" s="55"/>
      <c r="B239" s="55" t="str">
        <f t="shared" si="0"/>
        <v>2022/12</v>
      </c>
      <c r="C239" s="31">
        <v>8</v>
      </c>
      <c r="D239" s="62">
        <v>44902</v>
      </c>
      <c r="E239" s="55" t="s">
        <v>2</v>
      </c>
      <c r="F239" s="63"/>
      <c r="K239" s="55"/>
      <c r="L239" s="55"/>
    </row>
    <row r="240" spans="1:12" ht="13.2">
      <c r="A240" s="55"/>
      <c r="B240" s="55" t="str">
        <f t="shared" si="0"/>
        <v>2022/12</v>
      </c>
      <c r="C240" s="31">
        <v>958</v>
      </c>
      <c r="D240" s="62">
        <v>44902</v>
      </c>
      <c r="E240" s="55" t="s">
        <v>9</v>
      </c>
      <c r="F240" s="63" t="s">
        <v>391</v>
      </c>
      <c r="K240" s="55"/>
      <c r="L240" s="55"/>
    </row>
    <row r="241" spans="1:12" ht="13.2">
      <c r="A241" s="55"/>
      <c r="B241" s="55" t="str">
        <f t="shared" si="0"/>
        <v>2022/12</v>
      </c>
      <c r="C241" s="31">
        <v>8</v>
      </c>
      <c r="D241" s="62">
        <v>44903</v>
      </c>
      <c r="E241" s="55" t="s">
        <v>2</v>
      </c>
      <c r="F241" s="63"/>
      <c r="K241" s="55"/>
      <c r="L241" s="55"/>
    </row>
    <row r="242" spans="1:12" ht="13.2">
      <c r="A242" s="55"/>
      <c r="B242" s="55" t="str">
        <f t="shared" si="0"/>
        <v>2022/12</v>
      </c>
      <c r="C242" s="31">
        <v>529</v>
      </c>
      <c r="D242" s="62">
        <v>44903</v>
      </c>
      <c r="E242" s="55" t="s">
        <v>4</v>
      </c>
      <c r="K242" s="55"/>
      <c r="L242" s="55"/>
    </row>
    <row r="243" spans="1:12" ht="13.2">
      <c r="A243" s="55"/>
      <c r="B243" s="55" t="str">
        <f t="shared" si="0"/>
        <v>2022/12</v>
      </c>
      <c r="C243" s="31">
        <v>1210</v>
      </c>
      <c r="D243" s="62">
        <v>44903</v>
      </c>
      <c r="E243" s="55" t="s">
        <v>7</v>
      </c>
      <c r="K243" s="55"/>
      <c r="L243" s="55"/>
    </row>
    <row r="244" spans="1:12" ht="13.2">
      <c r="A244" s="55"/>
      <c r="B244" s="55" t="str">
        <f t="shared" si="0"/>
        <v>2022/12</v>
      </c>
      <c r="C244" s="31">
        <v>20</v>
      </c>
      <c r="D244" s="62">
        <v>44904</v>
      </c>
      <c r="E244" s="55" t="s">
        <v>2</v>
      </c>
      <c r="K244" s="55"/>
      <c r="L244" s="55"/>
    </row>
    <row r="245" spans="1:12" ht="13.2">
      <c r="A245" s="55"/>
      <c r="B245" s="55" t="str">
        <f t="shared" si="0"/>
        <v>2022/12</v>
      </c>
      <c r="C245" s="31">
        <v>100</v>
      </c>
      <c r="D245" s="62">
        <v>44904</v>
      </c>
      <c r="E245" s="55" t="s">
        <v>5</v>
      </c>
      <c r="F245" s="63" t="s">
        <v>392</v>
      </c>
      <c r="K245" s="55"/>
      <c r="L245" s="55"/>
    </row>
    <row r="246" spans="1:12" ht="13.2">
      <c r="A246" s="55"/>
      <c r="B246" s="55" t="str">
        <f t="shared" si="0"/>
        <v>2022/12</v>
      </c>
      <c r="C246" s="31">
        <v>150</v>
      </c>
      <c r="D246" s="62">
        <v>44907</v>
      </c>
      <c r="E246" s="55" t="s">
        <v>8</v>
      </c>
      <c r="F246" s="63"/>
      <c r="K246" s="55"/>
      <c r="L246" s="55"/>
    </row>
    <row r="247" spans="1:12" ht="13.2">
      <c r="A247" s="55"/>
      <c r="B247" s="55" t="str">
        <f t="shared" si="0"/>
        <v>2022/12</v>
      </c>
      <c r="C247" s="31">
        <v>35</v>
      </c>
      <c r="D247" s="62">
        <v>44908</v>
      </c>
      <c r="E247" s="55" t="s">
        <v>2</v>
      </c>
      <c r="F247" s="63"/>
      <c r="K247" s="55"/>
      <c r="L247" s="55"/>
    </row>
    <row r="248" spans="1:12" ht="13.2">
      <c r="A248" s="55"/>
      <c r="B248" s="55" t="str">
        <f t="shared" si="0"/>
        <v>2022/12</v>
      </c>
      <c r="C248" s="31">
        <v>18</v>
      </c>
      <c r="D248" s="62">
        <v>44908</v>
      </c>
      <c r="E248" s="55" t="s">
        <v>5</v>
      </c>
      <c r="F248" s="63" t="s">
        <v>393</v>
      </c>
      <c r="K248" s="55"/>
      <c r="L248" s="55"/>
    </row>
    <row r="249" spans="1:12" ht="13.2">
      <c r="A249" s="55"/>
      <c r="B249" s="55" t="str">
        <f t="shared" si="0"/>
        <v>2022/12</v>
      </c>
      <c r="C249" s="31">
        <v>932.25</v>
      </c>
      <c r="D249" s="62">
        <v>44909</v>
      </c>
      <c r="E249" s="55" t="s">
        <v>3</v>
      </c>
      <c r="F249" s="63" t="s">
        <v>394</v>
      </c>
      <c r="K249" s="55"/>
      <c r="L249" s="55"/>
    </row>
    <row r="250" spans="1:12" ht="13.2">
      <c r="A250" s="55"/>
      <c r="B250" s="55" t="str">
        <f t="shared" si="0"/>
        <v>2022/12</v>
      </c>
      <c r="C250" s="31">
        <v>380</v>
      </c>
      <c r="D250" s="62">
        <v>44910</v>
      </c>
      <c r="E250" s="55" t="s">
        <v>9</v>
      </c>
      <c r="F250" s="64" t="s">
        <v>395</v>
      </c>
      <c r="K250" s="55"/>
      <c r="L250" s="55"/>
    </row>
    <row r="251" spans="1:12" ht="13.2">
      <c r="A251" s="55"/>
      <c r="B251" s="55" t="str">
        <f t="shared" si="0"/>
        <v>2022/12</v>
      </c>
      <c r="C251" s="31">
        <v>111.55</v>
      </c>
      <c r="D251" s="62">
        <v>44910</v>
      </c>
      <c r="E251" s="55" t="s">
        <v>3</v>
      </c>
      <c r="F251" s="63" t="s">
        <v>394</v>
      </c>
      <c r="K251" s="55"/>
      <c r="L251" s="55"/>
    </row>
    <row r="252" spans="1:12" ht="13.2">
      <c r="A252" s="55"/>
      <c r="B252" s="55" t="str">
        <f t="shared" si="0"/>
        <v>2022/12</v>
      </c>
      <c r="C252" s="31">
        <v>35</v>
      </c>
      <c r="D252" s="62">
        <v>44911</v>
      </c>
      <c r="E252" s="55" t="s">
        <v>9</v>
      </c>
      <c r="F252" s="63" t="s">
        <v>396</v>
      </c>
      <c r="K252" s="55"/>
      <c r="L252" s="55"/>
    </row>
    <row r="253" spans="1:12" ht="13.2">
      <c r="A253" s="55"/>
      <c r="B253" s="55" t="str">
        <f t="shared" si="0"/>
        <v>2022/12</v>
      </c>
      <c r="C253" s="31">
        <v>36.04</v>
      </c>
      <c r="D253" s="62">
        <v>44912</v>
      </c>
      <c r="E253" s="55" t="s">
        <v>9</v>
      </c>
      <c r="F253" s="63" t="s">
        <v>354</v>
      </c>
      <c r="K253" s="55"/>
      <c r="L253" s="55"/>
    </row>
    <row r="254" spans="1:12" ht="13.2">
      <c r="A254" s="55"/>
      <c r="B254" s="55" t="str">
        <f t="shared" si="0"/>
        <v>2022/12</v>
      </c>
      <c r="C254" s="31">
        <v>150</v>
      </c>
      <c r="D254" s="62">
        <v>44915</v>
      </c>
      <c r="E254" s="55" t="s">
        <v>8</v>
      </c>
      <c r="F254" s="63"/>
      <c r="K254" s="55"/>
      <c r="L254" s="55"/>
    </row>
    <row r="255" spans="1:12" ht="13.2">
      <c r="A255" s="55"/>
      <c r="B255" s="55" t="str">
        <f t="shared" si="0"/>
        <v>2022/12</v>
      </c>
      <c r="C255" s="31">
        <v>3000</v>
      </c>
      <c r="D255" s="62">
        <v>44918</v>
      </c>
      <c r="E255" s="55" t="s">
        <v>7</v>
      </c>
      <c r="F255" s="63" t="s">
        <v>397</v>
      </c>
      <c r="K255" s="55"/>
      <c r="L255" s="55"/>
    </row>
    <row r="256" spans="1:12" ht="13.2">
      <c r="A256" s="55"/>
      <c r="B256" s="55" t="str">
        <f t="shared" si="0"/>
        <v>2023/1</v>
      </c>
      <c r="C256" s="31">
        <v>311.38</v>
      </c>
      <c r="D256" s="62">
        <v>44927</v>
      </c>
      <c r="E256" s="55" t="s">
        <v>5</v>
      </c>
      <c r="F256" s="63" t="s">
        <v>398</v>
      </c>
      <c r="J256" s="58"/>
      <c r="K256" s="55"/>
      <c r="L256" s="55"/>
    </row>
    <row r="257" spans="1:12" ht="13.2">
      <c r="A257" s="55"/>
      <c r="B257" s="55" t="str">
        <f t="shared" si="0"/>
        <v>2023/1</v>
      </c>
      <c r="C257" s="31">
        <v>115</v>
      </c>
      <c r="D257" s="62">
        <v>44929</v>
      </c>
      <c r="E257" s="55" t="s">
        <v>5</v>
      </c>
      <c r="F257" s="63" t="s">
        <v>393</v>
      </c>
      <c r="J257" s="58"/>
      <c r="K257" s="55"/>
      <c r="L257" s="55"/>
    </row>
    <row r="258" spans="1:12" ht="13.2">
      <c r="A258" s="55"/>
      <c r="B258" s="55" t="str">
        <f t="shared" ref="B258:B512" si="1">IF(D258&gt;0, CONCATENATE(YEAR(D258),"/",MONTH(D258)),"")</f>
        <v>2023/1</v>
      </c>
      <c r="C258" s="31">
        <v>37</v>
      </c>
      <c r="D258" s="62">
        <v>44930</v>
      </c>
      <c r="E258" s="55" t="s">
        <v>3</v>
      </c>
      <c r="F258" s="63" t="s">
        <v>387</v>
      </c>
      <c r="J258" s="58"/>
      <c r="K258" s="55"/>
      <c r="L258" s="55"/>
    </row>
    <row r="259" spans="1:12" ht="13.2">
      <c r="A259" s="55"/>
      <c r="B259" s="55" t="str">
        <f t="shared" si="1"/>
        <v>2023/1</v>
      </c>
      <c r="C259" s="31">
        <v>775</v>
      </c>
      <c r="D259" s="62">
        <v>44930</v>
      </c>
      <c r="E259" s="55" t="s">
        <v>10</v>
      </c>
      <c r="F259" s="63" t="s">
        <v>399</v>
      </c>
      <c r="J259" s="58"/>
      <c r="K259" s="55"/>
      <c r="L259" s="55"/>
    </row>
    <row r="260" spans="1:12" ht="13.2">
      <c r="A260" s="55"/>
      <c r="B260" s="55" t="str">
        <f t="shared" si="1"/>
        <v>2023/1</v>
      </c>
      <c r="C260" s="31">
        <v>141.69999999999999</v>
      </c>
      <c r="D260" s="62">
        <v>44930</v>
      </c>
      <c r="E260" s="55" t="s">
        <v>10</v>
      </c>
      <c r="F260" s="63" t="s">
        <v>400</v>
      </c>
      <c r="J260" s="58"/>
      <c r="K260" s="55"/>
      <c r="L260" s="55"/>
    </row>
    <row r="261" spans="1:12" ht="13.2">
      <c r="A261" s="55"/>
      <c r="B261" s="55" t="str">
        <f t="shared" si="1"/>
        <v>2023/1</v>
      </c>
      <c r="C261" s="31">
        <v>20</v>
      </c>
      <c r="D261" s="62">
        <v>44931</v>
      </c>
      <c r="E261" s="55" t="s">
        <v>2</v>
      </c>
      <c r="F261" s="63"/>
      <c r="J261" s="58"/>
      <c r="K261" s="55"/>
      <c r="L261" s="55"/>
    </row>
    <row r="262" spans="1:12" ht="13.2">
      <c r="A262" s="55"/>
      <c r="B262" s="55" t="str">
        <f t="shared" si="1"/>
        <v>2023/1</v>
      </c>
      <c r="C262" s="31">
        <v>289.89999999999998</v>
      </c>
      <c r="D262" s="62">
        <v>44931</v>
      </c>
      <c r="E262" s="55" t="s">
        <v>5</v>
      </c>
      <c r="F262" s="63" t="s">
        <v>347</v>
      </c>
      <c r="J262" s="58"/>
      <c r="K262" s="55"/>
      <c r="L262" s="55"/>
    </row>
    <row r="263" spans="1:12" ht="13.2">
      <c r="A263" s="55"/>
      <c r="B263" s="55" t="str">
        <f t="shared" si="1"/>
        <v>2023/1</v>
      </c>
      <c r="C263" s="31">
        <v>215</v>
      </c>
      <c r="D263" s="62">
        <v>44932</v>
      </c>
      <c r="E263" s="55" t="s">
        <v>6</v>
      </c>
      <c r="F263" s="63" t="s">
        <v>364</v>
      </c>
      <c r="J263" s="58"/>
      <c r="K263" s="55"/>
      <c r="L263" s="55"/>
    </row>
    <row r="264" spans="1:12" ht="13.2">
      <c r="A264" s="55"/>
      <c r="B264" s="55" t="str">
        <f t="shared" si="1"/>
        <v>2023/1</v>
      </c>
      <c r="C264" s="31">
        <v>529.72</v>
      </c>
      <c r="D264" s="62">
        <v>44933</v>
      </c>
      <c r="E264" s="55" t="s">
        <v>4</v>
      </c>
      <c r="F264" s="63" t="s">
        <v>401</v>
      </c>
      <c r="J264" s="58"/>
      <c r="K264" s="55"/>
      <c r="L264" s="55"/>
    </row>
    <row r="265" spans="1:12" ht="13.2">
      <c r="A265" s="55"/>
      <c r="B265" s="55" t="str">
        <f t="shared" si="1"/>
        <v>2023/1</v>
      </c>
      <c r="C265" s="31">
        <v>600</v>
      </c>
      <c r="D265" s="62">
        <v>44934</v>
      </c>
      <c r="E265" s="55" t="s">
        <v>8</v>
      </c>
      <c r="F265" s="63"/>
      <c r="J265" s="58"/>
      <c r="K265" s="55"/>
      <c r="L265" s="55"/>
    </row>
    <row r="266" spans="1:12" ht="13.2">
      <c r="A266" s="55"/>
      <c r="B266" s="55" t="str">
        <f t="shared" si="1"/>
        <v>2023/1</v>
      </c>
      <c r="C266" s="31">
        <v>35.25</v>
      </c>
      <c r="D266" s="62">
        <v>44935</v>
      </c>
      <c r="E266" s="55" t="s">
        <v>9</v>
      </c>
      <c r="F266" s="63" t="s">
        <v>372</v>
      </c>
      <c r="J266" s="58"/>
      <c r="K266" s="55"/>
      <c r="L266" s="55"/>
    </row>
    <row r="267" spans="1:12" ht="13.2">
      <c r="A267" s="55"/>
      <c r="B267" s="55" t="str">
        <f t="shared" si="1"/>
        <v>2023/1</v>
      </c>
      <c r="C267" s="31">
        <v>3288</v>
      </c>
      <c r="D267" s="62">
        <v>44935</v>
      </c>
      <c r="E267" s="55" t="s">
        <v>10</v>
      </c>
      <c r="F267" s="63" t="s">
        <v>402</v>
      </c>
      <c r="J267" s="58"/>
      <c r="K267" s="55"/>
      <c r="L267" s="55"/>
    </row>
    <row r="268" spans="1:12" ht="13.2">
      <c r="A268" s="55"/>
      <c r="B268" s="55" t="str">
        <f t="shared" si="1"/>
        <v>2023/1</v>
      </c>
      <c r="C268" s="31">
        <v>93</v>
      </c>
      <c r="D268" s="62">
        <v>44938</v>
      </c>
      <c r="E268" s="55" t="s">
        <v>2</v>
      </c>
      <c r="J268" s="58"/>
      <c r="K268" s="55"/>
      <c r="L268" s="55"/>
    </row>
    <row r="269" spans="1:12" ht="13.2">
      <c r="A269" s="55"/>
      <c r="B269" s="55" t="str">
        <f t="shared" si="1"/>
        <v>2023/1</v>
      </c>
      <c r="C269" s="31">
        <v>3000</v>
      </c>
      <c r="D269" s="62">
        <v>44944</v>
      </c>
      <c r="E269" s="55" t="s">
        <v>7</v>
      </c>
      <c r="F269" s="63" t="s">
        <v>403</v>
      </c>
      <c r="J269" s="58"/>
      <c r="K269" s="55"/>
      <c r="L269" s="55"/>
    </row>
    <row r="270" spans="1:12" ht="13.2">
      <c r="A270" s="55"/>
      <c r="B270" s="55" t="str">
        <f t="shared" si="1"/>
        <v>2023/1</v>
      </c>
      <c r="C270" s="31">
        <v>151.47999999999999</v>
      </c>
      <c r="D270" s="62">
        <v>44946</v>
      </c>
      <c r="E270" s="55" t="s">
        <v>10</v>
      </c>
      <c r="F270" s="63" t="s">
        <v>404</v>
      </c>
      <c r="J270" s="58"/>
      <c r="K270" s="55"/>
      <c r="L270" s="55"/>
    </row>
    <row r="271" spans="1:12" ht="13.2">
      <c r="A271" s="55"/>
      <c r="B271" s="55" t="str">
        <f t="shared" si="1"/>
        <v>2023/1</v>
      </c>
      <c r="C271" s="31">
        <v>3250</v>
      </c>
      <c r="D271" s="62">
        <v>44947</v>
      </c>
      <c r="E271" s="55" t="s">
        <v>10</v>
      </c>
      <c r="F271" s="63" t="s">
        <v>405</v>
      </c>
      <c r="J271" s="58"/>
      <c r="K271" s="55"/>
      <c r="L271" s="55"/>
    </row>
    <row r="272" spans="1:12" ht="13.2">
      <c r="A272" s="55"/>
      <c r="B272" s="55" t="str">
        <f t="shared" si="1"/>
        <v>2023/1</v>
      </c>
      <c r="C272" s="31">
        <v>841.4</v>
      </c>
      <c r="D272" s="62">
        <v>44948</v>
      </c>
      <c r="E272" s="55" t="s">
        <v>7</v>
      </c>
      <c r="F272" s="63"/>
      <c r="J272" s="58"/>
      <c r="K272" s="55"/>
      <c r="L272" s="55"/>
    </row>
    <row r="273" spans="1:12" ht="13.2">
      <c r="A273" s="55"/>
      <c r="B273" s="55" t="str">
        <f t="shared" si="1"/>
        <v>2023/1</v>
      </c>
      <c r="C273" s="31">
        <v>523.46</v>
      </c>
      <c r="D273" s="62">
        <v>44949</v>
      </c>
      <c r="E273" s="55" t="s">
        <v>6</v>
      </c>
      <c r="F273" s="63" t="s">
        <v>406</v>
      </c>
      <c r="J273" s="58"/>
      <c r="K273" s="55"/>
      <c r="L273" s="55"/>
    </row>
    <row r="274" spans="1:12" ht="13.2">
      <c r="A274" s="55"/>
      <c r="B274" s="55" t="str">
        <f t="shared" si="1"/>
        <v>2023/2</v>
      </c>
      <c r="C274" s="31">
        <v>1338.71</v>
      </c>
      <c r="D274" s="62">
        <v>44959</v>
      </c>
      <c r="E274" s="55" t="s">
        <v>7</v>
      </c>
      <c r="F274" s="63" t="s">
        <v>407</v>
      </c>
      <c r="J274" s="58"/>
      <c r="K274" s="55"/>
      <c r="L274" s="55"/>
    </row>
    <row r="275" spans="1:12" ht="13.2">
      <c r="A275" s="55"/>
      <c r="B275" s="55" t="str">
        <f t="shared" si="1"/>
        <v>2023/2</v>
      </c>
      <c r="C275" s="31">
        <v>141.69999999999999</v>
      </c>
      <c r="D275" s="62">
        <v>44961</v>
      </c>
      <c r="E275" s="55" t="s">
        <v>10</v>
      </c>
      <c r="F275" s="63" t="s">
        <v>408</v>
      </c>
      <c r="J275" s="58"/>
      <c r="K275" s="55"/>
      <c r="L275" s="55"/>
    </row>
    <row r="276" spans="1:12" ht="13.2">
      <c r="A276" s="55"/>
      <c r="B276" s="55" t="str">
        <f t="shared" si="1"/>
        <v>2023/2</v>
      </c>
      <c r="C276" s="31">
        <v>4357.1899999999996</v>
      </c>
      <c r="D276" s="62">
        <v>44961</v>
      </c>
      <c r="E276" s="55" t="s">
        <v>10</v>
      </c>
      <c r="F276" s="63" t="s">
        <v>409</v>
      </c>
      <c r="J276" s="58"/>
      <c r="K276" s="55"/>
      <c r="L276" s="55"/>
    </row>
    <row r="277" spans="1:12" ht="13.2">
      <c r="A277" s="55"/>
      <c r="B277" s="55" t="str">
        <f t="shared" si="1"/>
        <v>2023/2</v>
      </c>
      <c r="C277" s="31">
        <v>195</v>
      </c>
      <c r="D277" s="62">
        <v>44961</v>
      </c>
      <c r="E277" s="55" t="s">
        <v>2</v>
      </c>
      <c r="J277" s="58"/>
      <c r="K277" s="55"/>
      <c r="L277" s="55"/>
    </row>
    <row r="278" spans="1:12" ht="13.2">
      <c r="A278" s="55"/>
      <c r="B278" s="55" t="str">
        <f t="shared" si="1"/>
        <v>2023/2</v>
      </c>
      <c r="C278" s="31">
        <v>180</v>
      </c>
      <c r="D278" s="62">
        <v>44961</v>
      </c>
      <c r="E278" s="55" t="s">
        <v>10</v>
      </c>
      <c r="F278" s="63" t="s">
        <v>410</v>
      </c>
      <c r="J278" s="58"/>
      <c r="K278" s="55"/>
      <c r="L278" s="55"/>
    </row>
    <row r="279" spans="1:12" ht="13.2">
      <c r="A279" s="55"/>
      <c r="B279" s="55" t="str">
        <f t="shared" si="1"/>
        <v>2023/2</v>
      </c>
      <c r="C279" s="31">
        <v>37</v>
      </c>
      <c r="D279" s="62">
        <v>44961</v>
      </c>
      <c r="E279" s="55" t="s">
        <v>5</v>
      </c>
      <c r="F279" s="63" t="s">
        <v>342</v>
      </c>
      <c r="J279" s="58"/>
      <c r="K279" s="55"/>
      <c r="L279" s="55"/>
    </row>
    <row r="280" spans="1:12" ht="13.2">
      <c r="A280" s="55"/>
      <c r="B280" s="55" t="str">
        <f t="shared" si="1"/>
        <v>2023/2</v>
      </c>
      <c r="C280" s="31">
        <v>1050</v>
      </c>
      <c r="D280" s="62">
        <v>44962</v>
      </c>
      <c r="E280" s="55" t="s">
        <v>10</v>
      </c>
      <c r="F280" s="63" t="s">
        <v>411</v>
      </c>
      <c r="J280" s="58"/>
      <c r="K280" s="55"/>
      <c r="L280" s="55"/>
    </row>
    <row r="281" spans="1:12" ht="13.2">
      <c r="A281" s="55"/>
      <c r="B281" s="55" t="str">
        <f t="shared" si="1"/>
        <v>2023/2</v>
      </c>
      <c r="C281" s="31">
        <v>300</v>
      </c>
      <c r="D281" s="62">
        <v>44962</v>
      </c>
      <c r="E281" s="55" t="s">
        <v>8</v>
      </c>
      <c r="F281" s="63"/>
      <c r="J281" s="58"/>
      <c r="K281" s="55"/>
      <c r="L281" s="55"/>
    </row>
    <row r="282" spans="1:12" ht="13.2">
      <c r="A282" s="55"/>
      <c r="B282" s="55" t="str">
        <f t="shared" si="1"/>
        <v>2023/2</v>
      </c>
      <c r="C282" s="31">
        <v>529.72</v>
      </c>
      <c r="D282" s="62">
        <v>44963</v>
      </c>
      <c r="E282" s="55" t="s">
        <v>4</v>
      </c>
      <c r="F282" s="63"/>
      <c r="J282" s="58"/>
      <c r="K282" s="55"/>
      <c r="L282" s="55"/>
    </row>
    <row r="283" spans="1:12" ht="13.2">
      <c r="A283" s="55"/>
      <c r="B283" s="55" t="str">
        <f t="shared" si="1"/>
        <v>2023/2</v>
      </c>
      <c r="C283" s="31">
        <v>930</v>
      </c>
      <c r="D283" s="62">
        <v>44964</v>
      </c>
      <c r="E283" s="55" t="s">
        <v>7</v>
      </c>
      <c r="F283" s="63"/>
      <c r="J283" s="58"/>
      <c r="K283" s="55"/>
      <c r="L283" s="55"/>
    </row>
    <row r="284" spans="1:12" ht="13.2">
      <c r="A284" s="55"/>
      <c r="B284" s="55" t="str">
        <f t="shared" si="1"/>
        <v>2023/2</v>
      </c>
      <c r="C284" s="31">
        <v>820</v>
      </c>
      <c r="D284" s="62">
        <v>44965</v>
      </c>
      <c r="E284" s="55" t="s">
        <v>7</v>
      </c>
      <c r="F284" s="63" t="s">
        <v>412</v>
      </c>
      <c r="J284" s="58"/>
      <c r="K284" s="55"/>
      <c r="L284" s="55"/>
    </row>
    <row r="285" spans="1:12" ht="13.2">
      <c r="A285" s="55"/>
      <c r="B285" s="55" t="str">
        <f t="shared" si="1"/>
        <v>2023/2</v>
      </c>
      <c r="C285" s="31">
        <v>20</v>
      </c>
      <c r="D285" s="62">
        <v>44970</v>
      </c>
      <c r="E285" s="55" t="s">
        <v>5</v>
      </c>
      <c r="F285" s="63" t="s">
        <v>413</v>
      </c>
      <c r="J285" s="58"/>
      <c r="K285" s="55"/>
      <c r="L285" s="55"/>
    </row>
    <row r="286" spans="1:12" ht="13.2">
      <c r="A286" s="55"/>
      <c r="B286" s="55" t="str">
        <f t="shared" si="1"/>
        <v>2023/2</v>
      </c>
      <c r="C286" s="31">
        <v>775</v>
      </c>
      <c r="D286" s="62">
        <v>44971</v>
      </c>
      <c r="E286" s="55" t="s">
        <v>10</v>
      </c>
      <c r="F286" s="63" t="s">
        <v>414</v>
      </c>
      <c r="J286" s="58"/>
      <c r="K286" s="55"/>
      <c r="L286" s="55"/>
    </row>
    <row r="287" spans="1:12" ht="13.2">
      <c r="A287" s="55"/>
      <c r="B287" s="55" t="str">
        <f t="shared" si="1"/>
        <v>2023/2</v>
      </c>
      <c r="C287" s="31">
        <v>996.98</v>
      </c>
      <c r="D287" s="62">
        <v>44971</v>
      </c>
      <c r="E287" s="55" t="s">
        <v>10</v>
      </c>
      <c r="F287" s="63" t="s">
        <v>415</v>
      </c>
      <c r="J287" s="58"/>
      <c r="K287" s="55"/>
      <c r="L287" s="55"/>
    </row>
    <row r="288" spans="1:12" ht="13.2">
      <c r="A288" s="55"/>
      <c r="B288" s="55" t="str">
        <f t="shared" si="1"/>
        <v>2023/2</v>
      </c>
      <c r="C288" s="31">
        <v>85.5</v>
      </c>
      <c r="D288" s="62">
        <v>44974</v>
      </c>
      <c r="E288" s="55" t="s">
        <v>10</v>
      </c>
      <c r="F288" s="63" t="s">
        <v>416</v>
      </c>
      <c r="J288" s="58"/>
      <c r="K288" s="55"/>
      <c r="L288" s="55"/>
    </row>
    <row r="289" spans="1:12" ht="13.2">
      <c r="A289" s="55"/>
      <c r="B289" s="55" t="str">
        <f t="shared" si="1"/>
        <v>2023/2</v>
      </c>
      <c r="C289" s="31">
        <v>86</v>
      </c>
      <c r="D289" s="62">
        <v>44974</v>
      </c>
      <c r="E289" s="55" t="s">
        <v>10</v>
      </c>
      <c r="F289" s="63" t="s">
        <v>417</v>
      </c>
      <c r="J289" s="58"/>
      <c r="K289" s="55"/>
      <c r="L289" s="55"/>
    </row>
    <row r="290" spans="1:12" ht="13.2">
      <c r="A290" s="55"/>
      <c r="B290" s="55" t="str">
        <f t="shared" si="1"/>
        <v>2023/2</v>
      </c>
      <c r="C290" s="31">
        <v>69</v>
      </c>
      <c r="D290" s="62">
        <v>44975</v>
      </c>
      <c r="E290" s="55" t="s">
        <v>10</v>
      </c>
      <c r="F290" s="63" t="s">
        <v>418</v>
      </c>
      <c r="J290" s="58"/>
      <c r="K290" s="55"/>
      <c r="L290" s="55"/>
    </row>
    <row r="291" spans="1:12" ht="13.2">
      <c r="A291" s="55"/>
      <c r="B291" s="55" t="str">
        <f t="shared" si="1"/>
        <v>2023/2</v>
      </c>
      <c r="C291" s="31">
        <v>175</v>
      </c>
      <c r="D291" s="62">
        <v>44975</v>
      </c>
      <c r="E291" s="55" t="s">
        <v>10</v>
      </c>
      <c r="F291" s="63" t="s">
        <v>419</v>
      </c>
      <c r="J291" s="58"/>
      <c r="K291" s="55"/>
      <c r="L291" s="55"/>
    </row>
    <row r="292" spans="1:12" ht="13.2">
      <c r="A292" s="55"/>
      <c r="B292" s="55" t="str">
        <f t="shared" si="1"/>
        <v>2023/2</v>
      </c>
      <c r="C292" s="31">
        <v>1220</v>
      </c>
      <c r="D292" s="62">
        <v>44975</v>
      </c>
      <c r="E292" s="55" t="s">
        <v>10</v>
      </c>
      <c r="F292" s="63" t="s">
        <v>420</v>
      </c>
      <c r="J292" s="58"/>
      <c r="K292" s="55"/>
      <c r="L292" s="55"/>
    </row>
    <row r="293" spans="1:12" ht="13.2">
      <c r="A293" s="55"/>
      <c r="B293" s="55" t="str">
        <f t="shared" si="1"/>
        <v>2023/2</v>
      </c>
      <c r="C293" s="31">
        <v>800</v>
      </c>
      <c r="D293" s="62">
        <v>44975</v>
      </c>
      <c r="E293" s="55" t="s">
        <v>10</v>
      </c>
      <c r="F293" s="63" t="s">
        <v>421</v>
      </c>
      <c r="J293" s="58"/>
      <c r="K293" s="55"/>
      <c r="L293" s="55"/>
    </row>
    <row r="294" spans="1:12" ht="13.2">
      <c r="A294" s="55"/>
      <c r="B294" s="55" t="str">
        <f t="shared" si="1"/>
        <v>2023/2</v>
      </c>
      <c r="C294" s="31">
        <v>300</v>
      </c>
      <c r="D294" s="62">
        <v>44975</v>
      </c>
      <c r="E294" s="55" t="s">
        <v>10</v>
      </c>
      <c r="F294" s="63" t="s">
        <v>422</v>
      </c>
      <c r="J294" s="58"/>
      <c r="K294" s="55"/>
      <c r="L294" s="55"/>
    </row>
    <row r="295" spans="1:12" ht="13.2">
      <c r="A295" s="55"/>
      <c r="B295" s="55" t="str">
        <f t="shared" si="1"/>
        <v>2023/2</v>
      </c>
      <c r="C295" s="31">
        <v>215</v>
      </c>
      <c r="D295" s="62">
        <v>44975</v>
      </c>
      <c r="E295" s="55" t="s">
        <v>6</v>
      </c>
      <c r="F295" s="63" t="s">
        <v>364</v>
      </c>
      <c r="J295" s="58"/>
      <c r="K295" s="55"/>
      <c r="L295" s="55"/>
    </row>
    <row r="296" spans="1:12" ht="13.2">
      <c r="A296" s="55"/>
      <c r="B296" s="55" t="str">
        <f t="shared" si="1"/>
        <v>2023/2</v>
      </c>
      <c r="C296" s="31">
        <v>21</v>
      </c>
      <c r="D296" s="62">
        <v>44976</v>
      </c>
      <c r="E296" s="55" t="s">
        <v>9</v>
      </c>
      <c r="F296" s="63" t="s">
        <v>372</v>
      </c>
      <c r="J296" s="58"/>
      <c r="K296" s="55"/>
      <c r="L296" s="55"/>
    </row>
    <row r="297" spans="1:12" ht="13.2">
      <c r="A297" s="55"/>
      <c r="B297" s="55" t="str">
        <f t="shared" si="1"/>
        <v>2023/2</v>
      </c>
      <c r="C297" s="31">
        <v>199.68</v>
      </c>
      <c r="D297" s="62">
        <v>44976</v>
      </c>
      <c r="E297" s="55" t="s">
        <v>10</v>
      </c>
      <c r="F297" s="63" t="s">
        <v>423</v>
      </c>
      <c r="J297" s="58"/>
      <c r="K297" s="55"/>
      <c r="L297" s="55"/>
    </row>
    <row r="298" spans="1:12" ht="13.2">
      <c r="A298" s="55"/>
      <c r="B298" s="55" t="str">
        <f t="shared" si="1"/>
        <v>2023/2</v>
      </c>
      <c r="C298" s="31">
        <v>175.5</v>
      </c>
      <c r="D298" s="62">
        <v>44977</v>
      </c>
      <c r="E298" s="55" t="s">
        <v>10</v>
      </c>
      <c r="F298" s="63" t="s">
        <v>424</v>
      </c>
      <c r="J298" s="58"/>
      <c r="K298" s="55"/>
      <c r="L298" s="55"/>
    </row>
    <row r="299" spans="1:12" ht="13.2">
      <c r="A299" s="55"/>
      <c r="B299" s="55" t="str">
        <f t="shared" si="1"/>
        <v>2023/2</v>
      </c>
      <c r="C299" s="31">
        <v>59.88</v>
      </c>
      <c r="D299" s="62">
        <v>44977</v>
      </c>
      <c r="E299" s="55" t="s">
        <v>10</v>
      </c>
      <c r="F299" s="63" t="s">
        <v>425</v>
      </c>
      <c r="J299" s="58"/>
      <c r="K299" s="55"/>
      <c r="L299" s="55"/>
    </row>
    <row r="300" spans="1:12" ht="13.2">
      <c r="A300" s="55"/>
      <c r="B300" s="55" t="str">
        <f t="shared" si="1"/>
        <v>2023/2</v>
      </c>
      <c r="C300" s="31">
        <v>2089.0500000000002</v>
      </c>
      <c r="D300" s="62">
        <v>44977</v>
      </c>
      <c r="E300" s="55" t="s">
        <v>10</v>
      </c>
      <c r="F300" s="63" t="s">
        <v>426</v>
      </c>
      <c r="J300" s="58"/>
      <c r="K300" s="55"/>
      <c r="L300" s="55"/>
    </row>
    <row r="301" spans="1:12" ht="13.2">
      <c r="A301" s="55"/>
      <c r="B301" s="55" t="str">
        <f t="shared" si="1"/>
        <v>2023/2</v>
      </c>
      <c r="C301" s="31">
        <v>249</v>
      </c>
      <c r="D301" s="62">
        <v>44977</v>
      </c>
      <c r="E301" s="55" t="s">
        <v>5</v>
      </c>
      <c r="F301" s="63" t="s">
        <v>347</v>
      </c>
      <c r="J301" s="58"/>
      <c r="K301" s="55"/>
      <c r="L301" s="55"/>
    </row>
    <row r="302" spans="1:12" ht="13.2">
      <c r="A302" s="55"/>
      <c r="B302" s="55" t="str">
        <f t="shared" si="1"/>
        <v>2023/2</v>
      </c>
      <c r="C302" s="31">
        <v>136.62</v>
      </c>
      <c r="D302" s="62">
        <v>44977</v>
      </c>
      <c r="E302" s="55" t="s">
        <v>10</v>
      </c>
      <c r="F302" s="63" t="s">
        <v>427</v>
      </c>
      <c r="J302" s="58"/>
      <c r="K302" s="55"/>
      <c r="L302" s="55"/>
    </row>
    <row r="303" spans="1:12" ht="13.2">
      <c r="A303" s="55"/>
      <c r="B303" s="55" t="str">
        <f t="shared" si="1"/>
        <v>2023/2</v>
      </c>
      <c r="C303" s="31">
        <v>342</v>
      </c>
      <c r="D303" s="62">
        <v>44979</v>
      </c>
      <c r="E303" s="55" t="s">
        <v>3</v>
      </c>
      <c r="F303" s="63" t="s">
        <v>394</v>
      </c>
      <c r="J303" s="58"/>
      <c r="K303" s="55"/>
      <c r="L303" s="55"/>
    </row>
    <row r="304" spans="1:12" ht="13.2">
      <c r="A304" s="55"/>
      <c r="B304" s="55" t="str">
        <f t="shared" si="1"/>
        <v>2023/2</v>
      </c>
      <c r="C304" s="31">
        <v>1340</v>
      </c>
      <c r="D304" s="62">
        <v>44982</v>
      </c>
      <c r="E304" s="55" t="s">
        <v>10</v>
      </c>
      <c r="F304" s="63" t="s">
        <v>428</v>
      </c>
      <c r="J304" s="58"/>
      <c r="K304" s="55"/>
      <c r="L304" s="55"/>
    </row>
    <row r="305" spans="1:12" ht="13.2">
      <c r="A305" s="55"/>
      <c r="B305" s="55" t="str">
        <f t="shared" si="1"/>
        <v>2023/2</v>
      </c>
      <c r="C305" s="31">
        <v>450</v>
      </c>
      <c r="D305" s="62">
        <v>44982</v>
      </c>
      <c r="E305" s="55" t="s">
        <v>8</v>
      </c>
      <c r="F305" s="63" t="s">
        <v>429</v>
      </c>
      <c r="J305" s="58"/>
      <c r="K305" s="55"/>
      <c r="L305" s="55"/>
    </row>
    <row r="306" spans="1:12" ht="13.2">
      <c r="A306" s="55"/>
      <c r="B306" s="55" t="str">
        <f t="shared" si="1"/>
        <v>2023/2</v>
      </c>
      <c r="C306" s="31">
        <v>857.63</v>
      </c>
      <c r="D306" s="62">
        <v>44983</v>
      </c>
      <c r="E306" s="55" t="s">
        <v>7</v>
      </c>
      <c r="J306" s="58"/>
      <c r="K306" s="55"/>
      <c r="L306" s="55"/>
    </row>
    <row r="307" spans="1:12" ht="13.2">
      <c r="A307" s="55"/>
      <c r="B307" s="55" t="str">
        <f t="shared" si="1"/>
        <v>2023/2</v>
      </c>
      <c r="C307" s="31">
        <v>141.69999999999999</v>
      </c>
      <c r="D307" s="62">
        <v>44961</v>
      </c>
      <c r="E307" s="55" t="s">
        <v>10</v>
      </c>
      <c r="F307" s="63" t="s">
        <v>430</v>
      </c>
      <c r="J307" s="58"/>
      <c r="K307" s="55"/>
      <c r="L307" s="55"/>
    </row>
    <row r="308" spans="1:12" ht="13.2">
      <c r="A308" s="55"/>
      <c r="B308" s="55" t="str">
        <f t="shared" si="1"/>
        <v>2023/3</v>
      </c>
      <c r="C308" s="31">
        <v>264.86</v>
      </c>
      <c r="D308" s="62">
        <v>44991</v>
      </c>
      <c r="E308" s="55" t="s">
        <v>4</v>
      </c>
      <c r="F308" s="63" t="s">
        <v>431</v>
      </c>
      <c r="J308" s="58"/>
      <c r="K308" s="55"/>
      <c r="L308" s="55"/>
    </row>
    <row r="309" spans="1:12" ht="13.2">
      <c r="A309" s="55"/>
      <c r="B309" s="55" t="str">
        <f t="shared" si="1"/>
        <v>2023/3</v>
      </c>
      <c r="C309" s="31">
        <v>150</v>
      </c>
      <c r="D309" s="62">
        <v>44991</v>
      </c>
      <c r="E309" s="55" t="s">
        <v>8</v>
      </c>
      <c r="J309" s="58"/>
      <c r="K309" s="55"/>
      <c r="L309" s="55"/>
    </row>
    <row r="310" spans="1:12" ht="13.2">
      <c r="A310" s="55"/>
      <c r="B310" s="55" t="str">
        <f t="shared" si="1"/>
        <v>2023/3</v>
      </c>
      <c r="C310" s="31">
        <v>3000</v>
      </c>
      <c r="D310" s="62">
        <v>44991</v>
      </c>
      <c r="E310" s="55" t="s">
        <v>7</v>
      </c>
      <c r="J310" s="58"/>
      <c r="K310" s="55"/>
      <c r="L310" s="55"/>
    </row>
    <row r="311" spans="1:12" ht="13.2">
      <c r="A311" s="55"/>
      <c r="B311" s="55" t="str">
        <f t="shared" si="1"/>
        <v>2023/3</v>
      </c>
      <c r="C311" s="31">
        <v>1100</v>
      </c>
      <c r="D311" s="62">
        <v>44992</v>
      </c>
      <c r="E311" s="55" t="s">
        <v>10</v>
      </c>
      <c r="F311" s="63" t="s">
        <v>432</v>
      </c>
      <c r="J311" s="58"/>
      <c r="K311" s="55"/>
      <c r="L311" s="55"/>
    </row>
    <row r="312" spans="1:12" ht="13.2">
      <c r="A312" s="55"/>
      <c r="B312" s="55" t="str">
        <f t="shared" si="1"/>
        <v>2023/3</v>
      </c>
      <c r="C312" s="31">
        <v>529.72</v>
      </c>
      <c r="D312" s="62">
        <v>44995</v>
      </c>
      <c r="E312" s="55" t="s">
        <v>4</v>
      </c>
      <c r="J312" s="58"/>
      <c r="K312" s="55"/>
      <c r="L312" s="55"/>
    </row>
    <row r="313" spans="1:12" ht="13.2">
      <c r="A313" s="55"/>
      <c r="B313" s="55" t="str">
        <f t="shared" si="1"/>
        <v>2023/3</v>
      </c>
      <c r="C313" s="31">
        <v>60.71</v>
      </c>
      <c r="D313" s="62">
        <v>44995</v>
      </c>
      <c r="E313" s="55" t="s">
        <v>9</v>
      </c>
      <c r="F313" s="63" t="s">
        <v>433</v>
      </c>
      <c r="J313" s="58"/>
      <c r="K313" s="55"/>
      <c r="L313" s="55"/>
    </row>
    <row r="314" spans="1:12" ht="13.2">
      <c r="A314" s="55"/>
      <c r="B314" s="55" t="str">
        <f t="shared" si="1"/>
        <v>2023/3</v>
      </c>
      <c r="C314" s="31">
        <v>771.74</v>
      </c>
      <c r="D314" s="62">
        <v>44995</v>
      </c>
      <c r="E314" s="55" t="s">
        <v>7</v>
      </c>
      <c r="F314" s="63" t="s">
        <v>412</v>
      </c>
      <c r="J314" s="58"/>
      <c r="K314" s="55"/>
      <c r="L314" s="55"/>
    </row>
    <row r="315" spans="1:12" ht="13.2">
      <c r="A315" s="55"/>
      <c r="B315" s="55" t="str">
        <f t="shared" si="1"/>
        <v>2023/3</v>
      </c>
      <c r="C315" s="31">
        <v>215</v>
      </c>
      <c r="D315" s="62">
        <v>44996</v>
      </c>
      <c r="E315" s="55" t="s">
        <v>6</v>
      </c>
      <c r="F315" s="63" t="s">
        <v>327</v>
      </c>
      <c r="J315" s="58"/>
      <c r="K315" s="55"/>
      <c r="L315" s="55"/>
    </row>
    <row r="316" spans="1:12" ht="13.2">
      <c r="A316" s="55"/>
      <c r="B316" s="55" t="str">
        <f t="shared" si="1"/>
        <v>2023/3</v>
      </c>
      <c r="C316" s="31">
        <v>249</v>
      </c>
      <c r="D316" s="62">
        <v>44997</v>
      </c>
      <c r="E316" s="55" t="s">
        <v>5</v>
      </c>
      <c r="F316" s="63" t="s">
        <v>325</v>
      </c>
      <c r="J316" s="58"/>
      <c r="K316" s="55"/>
      <c r="L316" s="55"/>
    </row>
    <row r="317" spans="1:12" ht="13.2">
      <c r="A317" s="55"/>
      <c r="B317" s="55" t="str">
        <f t="shared" si="1"/>
        <v>2023/3</v>
      </c>
      <c r="C317" s="31">
        <v>671.06</v>
      </c>
      <c r="D317" s="62">
        <v>44997</v>
      </c>
      <c r="E317" s="55" t="s">
        <v>10</v>
      </c>
      <c r="F317" s="63" t="s">
        <v>434</v>
      </c>
      <c r="J317" s="58"/>
      <c r="K317" s="55"/>
      <c r="L317" s="55"/>
    </row>
    <row r="318" spans="1:12" ht="13.2">
      <c r="A318" s="55"/>
      <c r="B318" s="55" t="str">
        <f t="shared" si="1"/>
        <v>2023/3</v>
      </c>
      <c r="C318" s="31">
        <v>22</v>
      </c>
      <c r="D318" s="62">
        <v>44998</v>
      </c>
      <c r="E318" s="55" t="s">
        <v>5</v>
      </c>
      <c r="F318" s="63" t="s">
        <v>357</v>
      </c>
      <c r="J318" s="58"/>
      <c r="K318" s="55"/>
      <c r="L318" s="55"/>
    </row>
    <row r="319" spans="1:12" ht="13.2">
      <c r="A319" s="55"/>
      <c r="B319" s="55" t="str">
        <f t="shared" si="1"/>
        <v>2023/3</v>
      </c>
      <c r="C319" s="31">
        <v>150</v>
      </c>
      <c r="D319" s="62">
        <v>44999</v>
      </c>
      <c r="E319" s="55" t="s">
        <v>8</v>
      </c>
      <c r="F319" s="63"/>
      <c r="J319" s="58"/>
      <c r="K319" s="55"/>
      <c r="L319" s="55"/>
    </row>
    <row r="320" spans="1:12" ht="13.2">
      <c r="A320" s="55"/>
      <c r="B320" s="55" t="str">
        <f t="shared" si="1"/>
        <v>2023/3</v>
      </c>
      <c r="C320" s="31">
        <v>996.66</v>
      </c>
      <c r="D320" s="62">
        <v>44999</v>
      </c>
      <c r="E320" s="55" t="s">
        <v>10</v>
      </c>
      <c r="F320" s="63" t="s">
        <v>435</v>
      </c>
      <c r="J320" s="58"/>
      <c r="K320" s="55"/>
      <c r="L320" s="55"/>
    </row>
    <row r="321" spans="1:13" ht="13.2">
      <c r="A321" s="55"/>
      <c r="B321" s="55" t="str">
        <f t="shared" si="1"/>
        <v>2023/3</v>
      </c>
      <c r="C321" s="31">
        <v>60</v>
      </c>
      <c r="D321" s="62">
        <v>45000</v>
      </c>
      <c r="E321" s="55" t="s">
        <v>2</v>
      </c>
      <c r="F321" s="63"/>
      <c r="J321" s="58"/>
      <c r="K321" s="55"/>
      <c r="L321" s="55"/>
    </row>
    <row r="322" spans="1:13" ht="13.2">
      <c r="A322" s="55"/>
      <c r="B322" s="55" t="str">
        <f t="shared" si="1"/>
        <v>2023/3</v>
      </c>
      <c r="C322" s="31">
        <v>215</v>
      </c>
      <c r="D322" s="62">
        <v>45000</v>
      </c>
      <c r="E322" s="55" t="s">
        <v>10</v>
      </c>
      <c r="F322" s="63" t="s">
        <v>436</v>
      </c>
      <c r="J322" s="58"/>
      <c r="K322" s="55"/>
      <c r="L322" s="55"/>
    </row>
    <row r="323" spans="1:13" ht="13.2">
      <c r="A323" s="55"/>
      <c r="B323" s="55" t="str">
        <f t="shared" si="1"/>
        <v>2023/3</v>
      </c>
      <c r="C323" s="31">
        <v>35.69</v>
      </c>
      <c r="D323" s="62">
        <v>45001</v>
      </c>
      <c r="E323" s="55" t="s">
        <v>9</v>
      </c>
      <c r="F323" s="63" t="s">
        <v>354</v>
      </c>
      <c r="J323" s="58"/>
      <c r="K323" s="55"/>
      <c r="L323" s="55"/>
    </row>
    <row r="324" spans="1:13" ht="13.2">
      <c r="A324" s="55"/>
      <c r="B324" s="55" t="str">
        <f t="shared" si="1"/>
        <v>2023/3</v>
      </c>
      <c r="C324" s="31">
        <v>1220</v>
      </c>
      <c r="D324" s="62">
        <v>45003</v>
      </c>
      <c r="E324" s="55" t="s">
        <v>10</v>
      </c>
      <c r="F324" s="63" t="s">
        <v>437</v>
      </c>
      <c r="J324" s="58"/>
      <c r="K324" s="55"/>
      <c r="L324" s="55"/>
    </row>
    <row r="325" spans="1:13" ht="13.2">
      <c r="A325" s="55"/>
      <c r="B325" s="55" t="str">
        <f t="shared" si="1"/>
        <v>2023/3</v>
      </c>
      <c r="C325" s="31">
        <v>199.66</v>
      </c>
      <c r="D325" s="62">
        <v>45004</v>
      </c>
      <c r="E325" s="55" t="s">
        <v>10</v>
      </c>
      <c r="F325" s="63" t="s">
        <v>438</v>
      </c>
      <c r="J325" s="58"/>
      <c r="K325" s="55"/>
      <c r="L325" s="55"/>
    </row>
    <row r="326" spans="1:13" ht="13.2">
      <c r="A326" s="55"/>
      <c r="B326" s="55" t="str">
        <f t="shared" si="1"/>
        <v>2023/3</v>
      </c>
      <c r="C326" s="31">
        <v>180</v>
      </c>
      <c r="D326" s="62">
        <v>45005</v>
      </c>
      <c r="E326" s="55" t="s">
        <v>10</v>
      </c>
      <c r="F326" s="63" t="s">
        <v>439</v>
      </c>
      <c r="J326" s="58"/>
      <c r="K326" s="55"/>
      <c r="L326" s="55"/>
    </row>
    <row r="327" spans="1:13" ht="13.2">
      <c r="A327" s="55"/>
      <c r="B327" s="55" t="str">
        <f t="shared" si="1"/>
        <v>2023/3</v>
      </c>
      <c r="C327" s="31">
        <v>136.62</v>
      </c>
      <c r="D327" s="62">
        <v>45005</v>
      </c>
      <c r="E327" s="55" t="s">
        <v>10</v>
      </c>
      <c r="F327" s="63" t="s">
        <v>440</v>
      </c>
      <c r="J327" s="58"/>
      <c r="K327" s="55"/>
      <c r="L327" s="55"/>
    </row>
    <row r="328" spans="1:13" ht="13.2">
      <c r="A328" s="55"/>
      <c r="B328" s="55" t="str">
        <f t="shared" si="1"/>
        <v>2023/3</v>
      </c>
      <c r="C328" s="31">
        <v>150</v>
      </c>
      <c r="D328" s="62">
        <v>45005</v>
      </c>
      <c r="E328" s="55" t="s">
        <v>8</v>
      </c>
      <c r="J328" s="58"/>
      <c r="K328" s="55"/>
      <c r="L328" s="55"/>
    </row>
    <row r="329" spans="1:13" ht="13.2">
      <c r="A329" s="55"/>
      <c r="B329" s="55" t="str">
        <f t="shared" si="1"/>
        <v>2023/3</v>
      </c>
      <c r="C329" s="31">
        <v>849</v>
      </c>
      <c r="D329" s="62">
        <v>45009</v>
      </c>
      <c r="E329" s="55" t="s">
        <v>10</v>
      </c>
      <c r="F329" s="63" t="s">
        <v>441</v>
      </c>
      <c r="J329" s="58"/>
      <c r="K329" s="55"/>
      <c r="L329" s="55"/>
    </row>
    <row r="330" spans="1:13" ht="13.2">
      <c r="A330" s="55"/>
      <c r="B330" s="55" t="str">
        <f t="shared" si="1"/>
        <v>2023/3</v>
      </c>
      <c r="C330" s="31">
        <v>150</v>
      </c>
      <c r="D330" s="62">
        <v>45012</v>
      </c>
      <c r="E330" s="55" t="s">
        <v>8</v>
      </c>
      <c r="F330" s="63"/>
      <c r="J330" s="58"/>
      <c r="K330" s="55"/>
      <c r="L330" s="55"/>
    </row>
    <row r="331" spans="1:13" ht="13.2">
      <c r="A331" s="55"/>
      <c r="B331" s="55" t="str">
        <f t="shared" si="1"/>
        <v>2023/3</v>
      </c>
      <c r="C331" s="31">
        <v>1000</v>
      </c>
      <c r="D331" s="62">
        <v>45014</v>
      </c>
      <c r="E331" s="55" t="s">
        <v>10</v>
      </c>
      <c r="F331" s="63" t="s">
        <v>442</v>
      </c>
      <c r="J331" s="58"/>
      <c r="K331" s="55"/>
      <c r="L331" s="55"/>
    </row>
    <row r="332" spans="1:13" ht="13.2">
      <c r="A332" s="55"/>
      <c r="B332" s="55" t="str">
        <f t="shared" si="1"/>
        <v>2023/3</v>
      </c>
      <c r="C332" s="31">
        <v>796.89</v>
      </c>
      <c r="D332" s="62">
        <v>45014</v>
      </c>
      <c r="E332" s="55" t="s">
        <v>10</v>
      </c>
      <c r="F332" s="63" t="s">
        <v>443</v>
      </c>
      <c r="J332" s="58"/>
      <c r="K332" s="55"/>
      <c r="L332" s="31"/>
      <c r="M332" s="55"/>
    </row>
    <row r="333" spans="1:13" ht="13.2">
      <c r="A333" s="55"/>
      <c r="B333" s="55" t="str">
        <f t="shared" si="1"/>
        <v>2023/4</v>
      </c>
      <c r="C333" s="31">
        <v>3000</v>
      </c>
      <c r="D333" s="62">
        <v>45018</v>
      </c>
      <c r="E333" s="55" t="s">
        <v>7</v>
      </c>
      <c r="F333" s="63"/>
      <c r="J333" s="58"/>
      <c r="K333" s="55"/>
      <c r="L333" s="31"/>
      <c r="M333" s="55"/>
    </row>
    <row r="334" spans="1:13" ht="13.2">
      <c r="A334" s="55"/>
      <c r="B334" s="55" t="str">
        <f t="shared" si="1"/>
        <v>2023/4</v>
      </c>
      <c r="C334" s="31">
        <v>200</v>
      </c>
      <c r="D334" s="62">
        <v>45019</v>
      </c>
      <c r="E334" s="55" t="s">
        <v>8</v>
      </c>
      <c r="F334" s="63" t="s">
        <v>444</v>
      </c>
      <c r="J334" s="58"/>
      <c r="K334" s="55"/>
      <c r="L334" s="31"/>
      <c r="M334" s="55"/>
    </row>
    <row r="335" spans="1:13" ht="13.2">
      <c r="A335" s="55"/>
      <c r="B335" s="55" t="str">
        <f t="shared" si="1"/>
        <v>2023/4</v>
      </c>
      <c r="C335" s="31">
        <v>529.72</v>
      </c>
      <c r="D335" s="62">
        <v>45026</v>
      </c>
      <c r="E335" s="55" t="s">
        <v>4</v>
      </c>
      <c r="J335" s="58"/>
      <c r="K335" s="55"/>
      <c r="L335" s="31"/>
      <c r="M335" s="55"/>
    </row>
    <row r="336" spans="1:13" ht="13.2">
      <c r="A336" s="55"/>
      <c r="B336" s="55" t="str">
        <f t="shared" si="1"/>
        <v>2023/4</v>
      </c>
      <c r="C336" s="31">
        <v>116.31</v>
      </c>
      <c r="D336" s="62">
        <v>45027</v>
      </c>
      <c r="E336" s="55" t="s">
        <v>9</v>
      </c>
      <c r="F336" s="63" t="s">
        <v>445</v>
      </c>
      <c r="J336" s="58"/>
      <c r="K336" s="55"/>
      <c r="L336" s="31"/>
      <c r="M336" s="55"/>
    </row>
    <row r="337" spans="1:13" ht="13.2">
      <c r="A337" s="55"/>
      <c r="B337" s="55" t="str">
        <f t="shared" si="1"/>
        <v>2023/4</v>
      </c>
      <c r="C337" s="31">
        <v>99.99</v>
      </c>
      <c r="D337" s="62">
        <v>45026</v>
      </c>
      <c r="E337" s="55" t="s">
        <v>9</v>
      </c>
      <c r="F337" s="63" t="s">
        <v>433</v>
      </c>
      <c r="J337" s="58"/>
      <c r="K337" s="55"/>
      <c r="L337" s="31"/>
      <c r="M337" s="55"/>
    </row>
    <row r="338" spans="1:13" ht="13.2">
      <c r="A338" s="55"/>
      <c r="B338" s="55" t="str">
        <f t="shared" si="1"/>
        <v>2023/4</v>
      </c>
      <c r="C338" s="31">
        <v>1858.76</v>
      </c>
      <c r="D338" s="62">
        <v>45026</v>
      </c>
      <c r="E338" s="55" t="s">
        <v>7</v>
      </c>
      <c r="F338" s="67" t="s">
        <v>446</v>
      </c>
      <c r="J338" s="58"/>
      <c r="K338" s="55"/>
      <c r="L338" s="66"/>
      <c r="M338" s="55"/>
    </row>
    <row r="339" spans="1:13" ht="13.2">
      <c r="A339" s="55"/>
      <c r="B339" s="55" t="str">
        <f t="shared" si="1"/>
        <v>2023/4</v>
      </c>
      <c r="C339" s="31">
        <v>150</v>
      </c>
      <c r="D339" s="62">
        <v>45027</v>
      </c>
      <c r="E339" s="55" t="s">
        <v>8</v>
      </c>
      <c r="J339" s="58"/>
      <c r="K339" s="55"/>
      <c r="L339" s="31"/>
      <c r="M339" s="55"/>
    </row>
    <row r="340" spans="1:13" ht="13.2">
      <c r="A340" s="55"/>
      <c r="B340" s="55" t="str">
        <f t="shared" si="1"/>
        <v>2023/4</v>
      </c>
      <c r="C340" s="31">
        <v>656.23</v>
      </c>
      <c r="D340" s="62">
        <v>45028</v>
      </c>
      <c r="E340" s="55" t="s">
        <v>7</v>
      </c>
      <c r="F340" s="63" t="s">
        <v>447</v>
      </c>
      <c r="J340" s="58"/>
      <c r="K340" s="55"/>
      <c r="L340" s="31"/>
      <c r="M340" s="55"/>
    </row>
    <row r="341" spans="1:13" ht="13.2">
      <c r="A341" s="55"/>
      <c r="B341" s="55" t="str">
        <f t="shared" si="1"/>
        <v>2023/4</v>
      </c>
      <c r="C341" s="31">
        <v>300</v>
      </c>
      <c r="D341" s="62">
        <v>45029</v>
      </c>
      <c r="E341" s="55" t="s">
        <v>8</v>
      </c>
      <c r="F341" s="63" t="s">
        <v>444</v>
      </c>
      <c r="J341" s="58"/>
      <c r="K341" s="55"/>
      <c r="L341" s="66"/>
      <c r="M341" s="55"/>
    </row>
    <row r="342" spans="1:13" ht="13.2">
      <c r="A342" s="55"/>
      <c r="B342" s="55" t="str">
        <f t="shared" si="1"/>
        <v>2023/4</v>
      </c>
      <c r="C342" s="31">
        <v>215</v>
      </c>
      <c r="D342" s="62">
        <v>45030</v>
      </c>
      <c r="E342" s="55" t="s">
        <v>6</v>
      </c>
      <c r="F342" s="63" t="s">
        <v>327</v>
      </c>
      <c r="J342" s="58"/>
      <c r="K342" s="55"/>
      <c r="L342" s="55"/>
      <c r="M342" s="55"/>
    </row>
    <row r="343" spans="1:13" ht="13.2">
      <c r="A343" s="55"/>
      <c r="B343" s="55" t="str">
        <f t="shared" si="1"/>
        <v>2023/4</v>
      </c>
      <c r="C343" s="31">
        <v>996.66</v>
      </c>
      <c r="D343" s="62">
        <v>45030</v>
      </c>
      <c r="E343" s="55" t="s">
        <v>10</v>
      </c>
      <c r="F343" s="63" t="s">
        <v>448</v>
      </c>
      <c r="J343" s="58"/>
      <c r="K343" s="55"/>
      <c r="L343" s="55"/>
      <c r="M343" s="55"/>
    </row>
    <row r="344" spans="1:13" ht="13.2">
      <c r="A344" s="55"/>
      <c r="B344" s="55" t="str">
        <f t="shared" si="1"/>
        <v>2023/4</v>
      </c>
      <c r="C344" s="31">
        <v>249</v>
      </c>
      <c r="D344" s="62">
        <v>45034</v>
      </c>
      <c r="E344" s="55" t="s">
        <v>5</v>
      </c>
      <c r="F344" s="63" t="s">
        <v>325</v>
      </c>
      <c r="J344" s="58"/>
      <c r="K344" s="55"/>
      <c r="L344" s="55"/>
      <c r="M344" s="55"/>
    </row>
    <row r="345" spans="1:13" ht="13.2">
      <c r="A345" s="55"/>
      <c r="B345" s="55" t="str">
        <f t="shared" si="1"/>
        <v>2023/4</v>
      </c>
      <c r="C345" s="31">
        <v>150</v>
      </c>
      <c r="D345" s="62">
        <v>45034</v>
      </c>
      <c r="E345" s="55" t="s">
        <v>8</v>
      </c>
      <c r="J345" s="58"/>
      <c r="K345" s="55"/>
      <c r="L345" s="55"/>
      <c r="M345" s="55"/>
    </row>
    <row r="346" spans="1:13" ht="13.2">
      <c r="A346" s="55"/>
      <c r="B346" s="55" t="str">
        <f t="shared" si="1"/>
        <v>2023/4</v>
      </c>
      <c r="C346" s="31">
        <v>1220</v>
      </c>
      <c r="D346" s="62">
        <v>45034</v>
      </c>
      <c r="E346" s="55" t="s">
        <v>10</v>
      </c>
      <c r="F346" s="63" t="s">
        <v>449</v>
      </c>
      <c r="J346" s="58"/>
      <c r="K346" s="55"/>
      <c r="L346" s="55"/>
    </row>
    <row r="347" spans="1:13" ht="13.2">
      <c r="A347" s="55"/>
      <c r="B347" s="55" t="str">
        <f t="shared" si="1"/>
        <v>2023/4</v>
      </c>
      <c r="C347" s="31">
        <v>199.66</v>
      </c>
      <c r="D347" s="62">
        <v>45035</v>
      </c>
      <c r="E347" s="55" t="s">
        <v>10</v>
      </c>
      <c r="F347" s="63" t="s">
        <v>450</v>
      </c>
      <c r="J347" s="58"/>
      <c r="K347" s="55"/>
      <c r="L347" s="55"/>
    </row>
    <row r="348" spans="1:13" ht="13.2">
      <c r="A348" s="55"/>
      <c r="B348" s="55" t="str">
        <f t="shared" si="1"/>
        <v>2023/4</v>
      </c>
      <c r="C348" s="31">
        <v>30</v>
      </c>
      <c r="D348" s="62">
        <v>45036</v>
      </c>
      <c r="E348" s="55" t="s">
        <v>9</v>
      </c>
      <c r="F348" s="63" t="s">
        <v>451</v>
      </c>
      <c r="J348" s="58"/>
      <c r="K348" s="55"/>
      <c r="L348" s="55"/>
    </row>
    <row r="349" spans="1:13" ht="13.2">
      <c r="A349" s="55"/>
      <c r="B349" s="55" t="str">
        <f t="shared" si="1"/>
        <v>2023/4</v>
      </c>
      <c r="C349" s="31">
        <v>149.97</v>
      </c>
      <c r="D349" s="62">
        <v>45036</v>
      </c>
      <c r="E349" s="55" t="s">
        <v>10</v>
      </c>
      <c r="F349" s="63" t="s">
        <v>452</v>
      </c>
      <c r="J349" s="58"/>
      <c r="K349" s="55"/>
      <c r="L349" s="55"/>
    </row>
    <row r="350" spans="1:13" ht="13.2">
      <c r="A350" s="55"/>
      <c r="B350" s="55" t="str">
        <f t="shared" si="1"/>
        <v>2023/4</v>
      </c>
      <c r="C350" s="31">
        <v>370</v>
      </c>
      <c r="D350" s="62">
        <v>45038</v>
      </c>
      <c r="E350" s="55" t="s">
        <v>10</v>
      </c>
      <c r="F350" s="63" t="s">
        <v>453</v>
      </c>
      <c r="J350" s="58"/>
      <c r="K350" s="55"/>
      <c r="L350" s="55"/>
    </row>
    <row r="351" spans="1:13" ht="13.2">
      <c r="A351" s="55"/>
      <c r="B351" s="55" t="str">
        <f t="shared" si="1"/>
        <v>2023/4</v>
      </c>
      <c r="C351" s="31">
        <v>43</v>
      </c>
      <c r="D351" s="62">
        <v>45039</v>
      </c>
      <c r="E351" s="55" t="s">
        <v>9</v>
      </c>
      <c r="F351" s="63" t="s">
        <v>372</v>
      </c>
      <c r="J351" s="58"/>
      <c r="K351" s="55"/>
      <c r="L351" s="55"/>
    </row>
    <row r="352" spans="1:13" ht="13.2">
      <c r="A352" s="55"/>
      <c r="B352" s="55" t="str">
        <f t="shared" si="1"/>
        <v>2023/4</v>
      </c>
      <c r="C352" s="31">
        <v>100</v>
      </c>
      <c r="D352" s="62">
        <v>45040</v>
      </c>
      <c r="E352" s="55" t="s">
        <v>2</v>
      </c>
      <c r="F352" s="63" t="s">
        <v>454</v>
      </c>
      <c r="J352" s="58"/>
      <c r="K352" s="55"/>
      <c r="L352" s="55"/>
    </row>
    <row r="353" spans="1:12" ht="13.2">
      <c r="A353" s="55"/>
      <c r="B353" s="55" t="str">
        <f t="shared" si="1"/>
        <v>2023/4</v>
      </c>
      <c r="C353" s="31">
        <v>100</v>
      </c>
      <c r="D353" s="62">
        <v>45040</v>
      </c>
      <c r="E353" s="55" t="s">
        <v>4</v>
      </c>
      <c r="F353" s="63" t="s">
        <v>455</v>
      </c>
      <c r="J353" s="58"/>
      <c r="K353" s="55"/>
      <c r="L353" s="55"/>
    </row>
    <row r="354" spans="1:12" ht="13.2">
      <c r="A354" s="55"/>
      <c r="B354" s="55" t="str">
        <f t="shared" si="1"/>
        <v>2023/4</v>
      </c>
      <c r="C354" s="31">
        <v>150</v>
      </c>
      <c r="D354" s="62">
        <v>45040</v>
      </c>
      <c r="E354" s="55" t="s">
        <v>8</v>
      </c>
      <c r="J354" s="58"/>
      <c r="K354" s="55"/>
      <c r="L354" s="55"/>
    </row>
    <row r="355" spans="1:12" ht="13.2">
      <c r="A355" s="55"/>
      <c r="B355" s="55" t="str">
        <f t="shared" si="1"/>
        <v>2023/4</v>
      </c>
      <c r="C355" s="31">
        <v>1350</v>
      </c>
      <c r="D355" s="62">
        <v>45043</v>
      </c>
      <c r="E355" s="55" t="s">
        <v>10</v>
      </c>
      <c r="F355" s="63" t="s">
        <v>456</v>
      </c>
      <c r="J355" s="58"/>
      <c r="K355" s="55"/>
      <c r="L355" s="55"/>
    </row>
    <row r="356" spans="1:12" ht="13.2">
      <c r="A356" s="55"/>
      <c r="B356" s="55" t="str">
        <f t="shared" si="1"/>
        <v>2023/4</v>
      </c>
      <c r="C356" s="31">
        <v>50</v>
      </c>
      <c r="D356" s="62">
        <v>45045</v>
      </c>
      <c r="E356" s="55" t="s">
        <v>9</v>
      </c>
      <c r="F356" s="63" t="s">
        <v>457</v>
      </c>
      <c r="J356" s="58"/>
      <c r="K356" s="55"/>
      <c r="L356" s="55"/>
    </row>
    <row r="357" spans="1:12" ht="13.2">
      <c r="A357" s="55"/>
      <c r="B357" s="55" t="str">
        <f t="shared" si="1"/>
        <v>2023/5</v>
      </c>
      <c r="C357" s="31">
        <v>659.34</v>
      </c>
      <c r="D357" s="62">
        <v>45047</v>
      </c>
      <c r="E357" s="55" t="s">
        <v>10</v>
      </c>
      <c r="F357" s="63" t="s">
        <v>458</v>
      </c>
      <c r="J357" s="58"/>
      <c r="K357" s="55"/>
      <c r="L357" s="55"/>
    </row>
    <row r="358" spans="1:12" ht="13.2">
      <c r="A358" s="55"/>
      <c r="B358" s="55" t="str">
        <f t="shared" si="1"/>
        <v>2023/5</v>
      </c>
      <c r="C358" s="31">
        <v>147.59</v>
      </c>
      <c r="D358" s="62">
        <v>45047</v>
      </c>
      <c r="E358" s="55" t="s">
        <v>10</v>
      </c>
      <c r="F358" s="63" t="s">
        <v>459</v>
      </c>
      <c r="J358" s="58"/>
      <c r="K358" s="55"/>
      <c r="L358" s="55"/>
    </row>
    <row r="359" spans="1:12" ht="13.2">
      <c r="A359" s="55"/>
      <c r="B359" s="55" t="str">
        <f t="shared" si="1"/>
        <v>2023/5</v>
      </c>
      <c r="C359" s="31">
        <v>229.9</v>
      </c>
      <c r="D359" s="62">
        <v>45047</v>
      </c>
      <c r="E359" s="55" t="s">
        <v>10</v>
      </c>
      <c r="F359" s="63" t="s">
        <v>460</v>
      </c>
      <c r="J359" s="58"/>
      <c r="K359" s="55"/>
      <c r="L359" s="55"/>
    </row>
    <row r="360" spans="1:12" ht="13.2">
      <c r="A360" s="55"/>
      <c r="B360" s="55" t="str">
        <f t="shared" si="1"/>
        <v>2023/5</v>
      </c>
      <c r="C360" s="31">
        <v>62.97</v>
      </c>
      <c r="D360" s="62">
        <v>45048</v>
      </c>
      <c r="E360" s="55" t="s">
        <v>10</v>
      </c>
      <c r="F360" s="63" t="s">
        <v>461</v>
      </c>
      <c r="J360" s="58"/>
      <c r="K360" s="55"/>
      <c r="L360" s="55"/>
    </row>
    <row r="361" spans="1:12" ht="13.2">
      <c r="A361" s="55"/>
      <c r="B361" s="55" t="str">
        <f t="shared" si="1"/>
        <v>2023/5</v>
      </c>
      <c r="C361" s="31">
        <v>150</v>
      </c>
      <c r="D361" s="62">
        <v>45049</v>
      </c>
      <c r="E361" s="55" t="s">
        <v>8</v>
      </c>
      <c r="J361" s="58"/>
      <c r="K361" s="55"/>
      <c r="L361" s="55"/>
    </row>
    <row r="362" spans="1:12" ht="13.2">
      <c r="A362" s="55"/>
      <c r="B362" s="55" t="str">
        <f t="shared" si="1"/>
        <v>2023/5</v>
      </c>
      <c r="C362" s="31">
        <v>99.99</v>
      </c>
      <c r="D362" s="62">
        <v>45049</v>
      </c>
      <c r="E362" s="55" t="s">
        <v>9</v>
      </c>
      <c r="F362" s="63" t="s">
        <v>433</v>
      </c>
      <c r="J362" s="58"/>
      <c r="K362" s="55"/>
      <c r="L362" s="55"/>
    </row>
    <row r="363" spans="1:12" ht="13.2">
      <c r="A363" s="55"/>
      <c r="B363" s="55" t="str">
        <f t="shared" si="1"/>
        <v>2023/5</v>
      </c>
      <c r="C363" s="31">
        <v>66.739999999999995</v>
      </c>
      <c r="D363" s="62">
        <v>45049</v>
      </c>
      <c r="E363" s="55" t="s">
        <v>9</v>
      </c>
      <c r="F363" s="63" t="s">
        <v>445</v>
      </c>
      <c r="J363" s="58"/>
      <c r="K363" s="55"/>
      <c r="L363" s="55"/>
    </row>
    <row r="364" spans="1:12" ht="13.2">
      <c r="A364" s="55"/>
      <c r="B364" s="55" t="str">
        <f t="shared" si="1"/>
        <v>2023/5</v>
      </c>
      <c r="C364" s="31">
        <v>3000</v>
      </c>
      <c r="D364" s="62">
        <v>45053</v>
      </c>
      <c r="E364" s="55" t="s">
        <v>7</v>
      </c>
      <c r="F364" s="63"/>
      <c r="J364" s="58"/>
      <c r="K364" s="55"/>
      <c r="L364" s="55"/>
    </row>
    <row r="365" spans="1:12" ht="13.2">
      <c r="A365" s="55"/>
      <c r="B365" s="55" t="str">
        <f t="shared" si="1"/>
        <v>2023/5</v>
      </c>
      <c r="C365" s="31">
        <v>44.4</v>
      </c>
      <c r="D365" s="62">
        <v>45053</v>
      </c>
      <c r="E365" s="55" t="s">
        <v>10</v>
      </c>
      <c r="F365" s="63" t="s">
        <v>462</v>
      </c>
      <c r="J365" s="58"/>
      <c r="K365" s="55"/>
      <c r="L365" s="55"/>
    </row>
    <row r="366" spans="1:12" ht="13.2">
      <c r="A366" s="55"/>
      <c r="B366" s="55" t="str">
        <f t="shared" si="1"/>
        <v>2023/5</v>
      </c>
      <c r="C366" s="31">
        <v>150</v>
      </c>
      <c r="D366" s="62">
        <v>45054</v>
      </c>
      <c r="E366" s="55" t="s">
        <v>8</v>
      </c>
      <c r="J366" s="58"/>
      <c r="K366" s="55"/>
      <c r="L366" s="55"/>
    </row>
    <row r="367" spans="1:12" ht="13.2">
      <c r="A367" s="55"/>
      <c r="B367" s="55" t="str">
        <f t="shared" si="1"/>
        <v>2023/5</v>
      </c>
      <c r="C367" s="31">
        <v>529.72</v>
      </c>
      <c r="D367" s="62">
        <v>45055</v>
      </c>
      <c r="E367" s="55" t="s">
        <v>4</v>
      </c>
      <c r="J367" s="58"/>
      <c r="K367" s="55"/>
      <c r="L367" s="55"/>
    </row>
    <row r="368" spans="1:12" ht="13.2">
      <c r="A368" s="55"/>
      <c r="B368" s="55" t="str">
        <f t="shared" si="1"/>
        <v>2023/5</v>
      </c>
      <c r="C368" s="31">
        <v>642.96</v>
      </c>
      <c r="D368" s="62">
        <v>45056</v>
      </c>
      <c r="E368" s="55" t="s">
        <v>7</v>
      </c>
      <c r="F368" s="63" t="s">
        <v>412</v>
      </c>
      <c r="J368" s="58"/>
      <c r="K368" s="55"/>
      <c r="L368" s="55"/>
    </row>
    <row r="369" spans="1:12" ht="13.2">
      <c r="A369" s="55"/>
      <c r="B369" s="55" t="str">
        <f t="shared" si="1"/>
        <v>2023/5</v>
      </c>
      <c r="C369" s="31">
        <v>99.99</v>
      </c>
      <c r="D369" s="62">
        <v>45056</v>
      </c>
      <c r="E369" s="55" t="s">
        <v>9</v>
      </c>
      <c r="F369" s="63" t="s">
        <v>463</v>
      </c>
      <c r="J369" s="58"/>
      <c r="K369" s="55"/>
      <c r="L369" s="55"/>
    </row>
    <row r="370" spans="1:12" ht="13.2">
      <c r="A370" s="55"/>
      <c r="B370" s="55" t="str">
        <f t="shared" si="1"/>
        <v>2023/5</v>
      </c>
      <c r="C370" s="31">
        <v>215</v>
      </c>
      <c r="D370" s="62">
        <v>45057</v>
      </c>
      <c r="E370" s="55" t="s">
        <v>6</v>
      </c>
      <c r="J370" s="58"/>
      <c r="K370" s="55"/>
      <c r="L370" s="55"/>
    </row>
    <row r="371" spans="1:12" ht="13.2">
      <c r="A371" s="55"/>
      <c r="B371" s="55" t="str">
        <f t="shared" si="1"/>
        <v>2023/5</v>
      </c>
      <c r="C371" s="31">
        <v>249</v>
      </c>
      <c r="D371" s="62">
        <v>45058</v>
      </c>
      <c r="E371" s="55" t="s">
        <v>5</v>
      </c>
      <c r="F371" s="63" t="s">
        <v>347</v>
      </c>
      <c r="J371" s="58"/>
      <c r="K371" s="55"/>
      <c r="L371" s="55"/>
    </row>
    <row r="372" spans="1:12" ht="13.2">
      <c r="A372" s="55"/>
      <c r="B372" s="55" t="str">
        <f t="shared" si="1"/>
        <v>2023/5</v>
      </c>
      <c r="C372" s="31">
        <v>43.93</v>
      </c>
      <c r="D372" s="62">
        <v>45060</v>
      </c>
      <c r="E372" s="55" t="s">
        <v>9</v>
      </c>
      <c r="F372" s="63" t="s">
        <v>372</v>
      </c>
      <c r="J372" s="58"/>
      <c r="K372" s="55"/>
      <c r="L372" s="55"/>
    </row>
    <row r="373" spans="1:12" ht="13.2">
      <c r="A373" s="55"/>
      <c r="B373" s="55" t="str">
        <f t="shared" si="1"/>
        <v>2023/5</v>
      </c>
      <c r="C373" s="31">
        <v>150</v>
      </c>
      <c r="D373" s="62">
        <v>45061</v>
      </c>
      <c r="E373" s="55" t="s">
        <v>8</v>
      </c>
      <c r="J373" s="58"/>
      <c r="K373" s="55"/>
      <c r="L373" s="55"/>
    </row>
    <row r="374" spans="1:12" ht="13.2">
      <c r="A374" s="55"/>
      <c r="B374" s="55" t="str">
        <f t="shared" si="1"/>
        <v>2023/5</v>
      </c>
      <c r="C374" s="31">
        <v>60</v>
      </c>
      <c r="D374" s="62">
        <v>45061</v>
      </c>
      <c r="E374" s="55" t="s">
        <v>2</v>
      </c>
      <c r="J374" s="58"/>
      <c r="K374" s="55"/>
      <c r="L374" s="55"/>
    </row>
    <row r="375" spans="1:12" ht="13.2">
      <c r="A375" s="55"/>
      <c r="B375" s="55" t="str">
        <f t="shared" si="1"/>
        <v>2023/5</v>
      </c>
      <c r="C375" s="31">
        <v>1610</v>
      </c>
      <c r="D375" s="62">
        <v>45063</v>
      </c>
      <c r="E375" s="55" t="s">
        <v>10</v>
      </c>
      <c r="F375" s="63" t="s">
        <v>464</v>
      </c>
      <c r="J375" s="58"/>
      <c r="K375" s="55"/>
      <c r="L375" s="55"/>
    </row>
    <row r="376" spans="1:12" ht="13.2">
      <c r="A376" s="55"/>
      <c r="B376" s="55" t="str">
        <f t="shared" si="1"/>
        <v>2023/5</v>
      </c>
      <c r="C376" s="31">
        <v>1220</v>
      </c>
      <c r="D376" s="62">
        <v>45064</v>
      </c>
      <c r="E376" s="55" t="s">
        <v>10</v>
      </c>
      <c r="F376" s="68" t="s">
        <v>465</v>
      </c>
      <c r="J376" s="58"/>
      <c r="K376" s="55"/>
      <c r="L376" s="55"/>
    </row>
    <row r="377" spans="1:12" ht="13.2">
      <c r="A377" s="55"/>
      <c r="B377" s="55" t="str">
        <f t="shared" si="1"/>
        <v>2023/5</v>
      </c>
      <c r="C377" s="31">
        <v>150</v>
      </c>
      <c r="D377" s="62">
        <v>45068</v>
      </c>
      <c r="E377" s="55" t="s">
        <v>8</v>
      </c>
      <c r="J377" s="58"/>
      <c r="K377" s="55"/>
      <c r="L377" s="55"/>
    </row>
    <row r="378" spans="1:12" ht="13.2">
      <c r="A378" s="55"/>
      <c r="B378" s="55" t="str">
        <f t="shared" si="1"/>
        <v>2023/5</v>
      </c>
      <c r="C378" s="31">
        <v>60.3</v>
      </c>
      <c r="D378" s="62">
        <v>45073</v>
      </c>
      <c r="E378" s="55" t="s">
        <v>9</v>
      </c>
      <c r="F378" s="63" t="s">
        <v>466</v>
      </c>
      <c r="J378" s="58"/>
      <c r="K378" s="55"/>
      <c r="L378" s="55"/>
    </row>
    <row r="379" spans="1:12" ht="13.2">
      <c r="A379" s="55"/>
      <c r="B379" s="55" t="str">
        <f t="shared" si="1"/>
        <v>2023/5</v>
      </c>
      <c r="C379" s="31">
        <v>79.62</v>
      </c>
      <c r="D379" s="62">
        <v>45074</v>
      </c>
      <c r="E379" s="55" t="s">
        <v>10</v>
      </c>
      <c r="F379" s="63" t="s">
        <v>467</v>
      </c>
      <c r="J379" s="58"/>
      <c r="K379" s="55"/>
      <c r="L379" s="55"/>
    </row>
    <row r="380" spans="1:12" ht="13.2">
      <c r="A380" s="55"/>
      <c r="B380" s="55" t="str">
        <f t="shared" si="1"/>
        <v>2023/5</v>
      </c>
      <c r="C380" s="31">
        <v>147.44999999999999</v>
      </c>
      <c r="D380" s="62">
        <v>45077</v>
      </c>
      <c r="E380" s="55" t="s">
        <v>10</v>
      </c>
      <c r="F380" s="63" t="s">
        <v>468</v>
      </c>
      <c r="J380" s="58"/>
      <c r="K380" s="55"/>
      <c r="L380" s="55"/>
    </row>
    <row r="381" spans="1:12" ht="13.2">
      <c r="A381" s="55"/>
      <c r="B381" s="55" t="str">
        <f t="shared" si="1"/>
        <v>2023/6</v>
      </c>
      <c r="C381" s="40">
        <v>156.52000000000001</v>
      </c>
      <c r="D381" s="62">
        <v>45078</v>
      </c>
      <c r="E381" s="55" t="s">
        <v>10</v>
      </c>
      <c r="F381" s="63" t="s">
        <v>469</v>
      </c>
      <c r="J381" s="58"/>
      <c r="K381" s="55"/>
      <c r="L381" s="55"/>
    </row>
    <row r="382" spans="1:12" ht="13.2">
      <c r="A382" s="55"/>
      <c r="B382" s="55" t="str">
        <f t="shared" si="1"/>
        <v>2023/6</v>
      </c>
      <c r="C382" s="40">
        <v>227</v>
      </c>
      <c r="D382" s="62">
        <v>45079</v>
      </c>
      <c r="E382" s="55" t="s">
        <v>3</v>
      </c>
      <c r="F382" s="63" t="s">
        <v>470</v>
      </c>
      <c r="J382" s="58"/>
      <c r="K382" s="55"/>
      <c r="L382" s="55"/>
    </row>
    <row r="383" spans="1:12" ht="13.2">
      <c r="A383" s="55"/>
      <c r="B383" s="55" t="str">
        <f t="shared" si="1"/>
        <v>2023/6</v>
      </c>
      <c r="C383" s="31">
        <v>300</v>
      </c>
      <c r="D383" s="62">
        <v>45079</v>
      </c>
      <c r="E383" s="55" t="s">
        <v>8</v>
      </c>
      <c r="J383" s="58"/>
      <c r="K383" s="55"/>
      <c r="L383" s="55"/>
    </row>
    <row r="384" spans="1:12" ht="13.2">
      <c r="A384" s="55"/>
      <c r="B384" s="55" t="str">
        <f t="shared" si="1"/>
        <v>2023/6</v>
      </c>
      <c r="C384" s="31">
        <v>248.36</v>
      </c>
      <c r="D384" s="62">
        <v>45080</v>
      </c>
      <c r="E384" s="55" t="s">
        <v>3</v>
      </c>
      <c r="F384" s="63" t="s">
        <v>471</v>
      </c>
      <c r="J384" s="58"/>
      <c r="K384" s="55"/>
      <c r="L384" s="55"/>
    </row>
    <row r="385" spans="1:12" ht="13.2">
      <c r="A385" s="55"/>
      <c r="B385" s="55" t="str">
        <f t="shared" si="1"/>
        <v>2023/6</v>
      </c>
      <c r="C385" s="31">
        <v>3000</v>
      </c>
      <c r="D385" s="62">
        <v>45082</v>
      </c>
      <c r="E385" s="55" t="s">
        <v>7</v>
      </c>
      <c r="F385" s="63"/>
      <c r="J385" s="58"/>
      <c r="K385" s="55"/>
      <c r="L385" s="55"/>
    </row>
    <row r="386" spans="1:12" ht="13.2">
      <c r="A386" s="55"/>
      <c r="B386" s="55" t="str">
        <f t="shared" si="1"/>
        <v>2023/6</v>
      </c>
      <c r="C386" s="66">
        <v>799</v>
      </c>
      <c r="D386" s="62">
        <v>45083</v>
      </c>
      <c r="E386" s="55" t="s">
        <v>5</v>
      </c>
      <c r="F386" s="63" t="s">
        <v>472</v>
      </c>
      <c r="J386" s="58"/>
      <c r="K386" s="55"/>
      <c r="L386" s="55"/>
    </row>
    <row r="387" spans="1:12" ht="13.2">
      <c r="A387" s="55"/>
      <c r="B387" s="55" t="str">
        <f t="shared" si="1"/>
        <v>2023/6</v>
      </c>
      <c r="C387" s="66">
        <v>92</v>
      </c>
      <c r="D387" s="62">
        <v>45084</v>
      </c>
      <c r="E387" s="55" t="s">
        <v>10</v>
      </c>
      <c r="F387" s="63" t="s">
        <v>473</v>
      </c>
      <c r="J387" s="58"/>
      <c r="K387" s="55"/>
      <c r="L387" s="55"/>
    </row>
    <row r="388" spans="1:12" ht="13.2">
      <c r="A388" s="55"/>
      <c r="B388" s="55" t="str">
        <f t="shared" si="1"/>
        <v>2023/6</v>
      </c>
      <c r="C388" s="31">
        <v>67.7</v>
      </c>
      <c r="D388" s="62">
        <v>45086</v>
      </c>
      <c r="E388" s="55" t="s">
        <v>9</v>
      </c>
      <c r="F388" s="63" t="s">
        <v>445</v>
      </c>
      <c r="J388" s="58"/>
      <c r="K388" s="55"/>
      <c r="L388" s="55"/>
    </row>
    <row r="389" spans="1:12" ht="13.2">
      <c r="A389" s="55"/>
      <c r="B389" s="55" t="str">
        <f t="shared" si="1"/>
        <v>2023/6</v>
      </c>
      <c r="C389" s="31">
        <v>642.96</v>
      </c>
      <c r="D389" s="62">
        <v>45086</v>
      </c>
      <c r="E389" s="55" t="s">
        <v>7</v>
      </c>
      <c r="J389" s="58"/>
      <c r="K389" s="55"/>
      <c r="L389" s="55"/>
    </row>
    <row r="390" spans="1:12" ht="13.2">
      <c r="A390" s="55"/>
      <c r="B390" s="55" t="str">
        <f t="shared" si="1"/>
        <v>2023/6</v>
      </c>
      <c r="C390" s="31">
        <v>529.72</v>
      </c>
      <c r="D390" s="62">
        <v>45087</v>
      </c>
      <c r="E390" s="55" t="s">
        <v>4</v>
      </c>
      <c r="J390" s="58"/>
      <c r="K390" s="55"/>
      <c r="L390" s="55"/>
    </row>
    <row r="391" spans="1:12" ht="13.2">
      <c r="A391" s="55"/>
      <c r="B391" s="55" t="str">
        <f t="shared" si="1"/>
        <v>2023/6</v>
      </c>
      <c r="C391" s="31">
        <v>185</v>
      </c>
      <c r="D391" s="62">
        <v>45087</v>
      </c>
      <c r="E391" s="55" t="s">
        <v>10</v>
      </c>
      <c r="F391" s="63" t="s">
        <v>474</v>
      </c>
      <c r="J391" s="58"/>
      <c r="K391" s="55"/>
      <c r="L391" s="55"/>
    </row>
    <row r="392" spans="1:12" ht="13.2">
      <c r="A392" s="55"/>
      <c r="B392" s="55" t="str">
        <f t="shared" si="1"/>
        <v>2023/6</v>
      </c>
      <c r="C392" s="31">
        <v>215</v>
      </c>
      <c r="D392" s="62">
        <v>45088</v>
      </c>
      <c r="E392" s="55" t="s">
        <v>6</v>
      </c>
      <c r="F392" s="63" t="s">
        <v>475</v>
      </c>
      <c r="J392" s="58"/>
      <c r="K392" s="55"/>
      <c r="L392" s="55"/>
    </row>
    <row r="393" spans="1:12" ht="13.2">
      <c r="A393" s="55"/>
      <c r="B393" s="55" t="str">
        <f t="shared" si="1"/>
        <v>2023/6</v>
      </c>
      <c r="C393" s="31">
        <v>249</v>
      </c>
      <c r="D393" s="62">
        <v>45089</v>
      </c>
      <c r="E393" s="55" t="s">
        <v>5</v>
      </c>
      <c r="F393" s="63" t="s">
        <v>347</v>
      </c>
      <c r="J393" s="58"/>
      <c r="K393" s="55"/>
      <c r="L393" s="55"/>
    </row>
    <row r="394" spans="1:12" ht="13.2">
      <c r="A394" s="55"/>
      <c r="B394" s="55" t="str">
        <f t="shared" si="1"/>
        <v>2023/6</v>
      </c>
      <c r="C394" s="31">
        <v>150</v>
      </c>
      <c r="D394" s="62">
        <v>45090</v>
      </c>
      <c r="E394" s="55" t="s">
        <v>8</v>
      </c>
      <c r="J394" s="58"/>
      <c r="K394" s="55"/>
      <c r="L394" s="55"/>
    </row>
    <row r="395" spans="1:12" ht="13.2">
      <c r="A395" s="55"/>
      <c r="B395" s="55" t="str">
        <f t="shared" si="1"/>
        <v>2023/6</v>
      </c>
      <c r="C395" s="31">
        <v>150</v>
      </c>
      <c r="D395" s="62">
        <v>45097</v>
      </c>
      <c r="E395" s="55" t="s">
        <v>8</v>
      </c>
      <c r="J395" s="58"/>
      <c r="K395" s="55"/>
      <c r="L395" s="55"/>
    </row>
    <row r="396" spans="1:12" ht="13.2">
      <c r="A396" s="55"/>
      <c r="B396" s="55" t="str">
        <f t="shared" si="1"/>
        <v>2023/6</v>
      </c>
      <c r="C396" s="66">
        <v>1220</v>
      </c>
      <c r="D396" s="62">
        <v>45095</v>
      </c>
      <c r="E396" s="55" t="s">
        <v>10</v>
      </c>
      <c r="F396" s="63" t="s">
        <v>476</v>
      </c>
      <c r="J396" s="58"/>
      <c r="K396" s="55"/>
      <c r="L396" s="55"/>
    </row>
    <row r="397" spans="1:12" ht="13.2">
      <c r="A397" s="55"/>
      <c r="B397" s="55" t="str">
        <f t="shared" si="1"/>
        <v>2023/6</v>
      </c>
      <c r="C397" s="31">
        <v>48</v>
      </c>
      <c r="D397" s="62">
        <v>45103</v>
      </c>
      <c r="E397" s="55" t="s">
        <v>9</v>
      </c>
      <c r="F397" s="63" t="s">
        <v>372</v>
      </c>
      <c r="J397" s="58"/>
      <c r="K397" s="55"/>
      <c r="L397" s="55"/>
    </row>
    <row r="398" spans="1:12" ht="13.2">
      <c r="A398" s="55"/>
      <c r="B398" s="55" t="str">
        <f t="shared" si="1"/>
        <v>2023/6</v>
      </c>
      <c r="C398" s="31">
        <v>60</v>
      </c>
      <c r="D398" s="62">
        <v>45104</v>
      </c>
      <c r="E398" s="55" t="s">
        <v>8</v>
      </c>
      <c r="J398" s="58"/>
      <c r="K398" s="55"/>
      <c r="L398" s="55"/>
    </row>
    <row r="399" spans="1:12" ht="13.2">
      <c r="A399" s="55"/>
      <c r="B399" s="55" t="str">
        <f t="shared" si="1"/>
        <v>2023/6</v>
      </c>
      <c r="C399" s="31">
        <v>150</v>
      </c>
      <c r="D399" s="62">
        <v>45105</v>
      </c>
      <c r="E399" s="55" t="s">
        <v>8</v>
      </c>
      <c r="J399" s="58"/>
      <c r="K399" s="55"/>
      <c r="L399" s="55"/>
    </row>
    <row r="400" spans="1:12" ht="13.2">
      <c r="A400" s="55"/>
      <c r="B400" s="55" t="str">
        <f t="shared" si="1"/>
        <v>2023/6</v>
      </c>
      <c r="C400" s="31">
        <v>70</v>
      </c>
      <c r="D400" s="62">
        <v>45106</v>
      </c>
      <c r="E400" s="55" t="s">
        <v>2</v>
      </c>
      <c r="J400" s="58"/>
      <c r="K400" s="55"/>
      <c r="L400" s="55"/>
    </row>
    <row r="401" spans="1:12" ht="13.2">
      <c r="A401" s="55"/>
      <c r="B401" s="55" t="str">
        <f t="shared" si="1"/>
        <v>2023/7</v>
      </c>
      <c r="C401" s="31">
        <v>50</v>
      </c>
      <c r="D401" s="62">
        <v>45110</v>
      </c>
      <c r="E401" s="55" t="s">
        <v>2</v>
      </c>
      <c r="J401" s="58"/>
      <c r="K401" s="55"/>
      <c r="L401" s="55"/>
    </row>
    <row r="402" spans="1:12" ht="13.2">
      <c r="A402" s="55"/>
      <c r="B402" s="55" t="str">
        <f t="shared" si="1"/>
        <v>2023/7</v>
      </c>
      <c r="C402" s="31">
        <v>150</v>
      </c>
      <c r="D402" s="62">
        <v>45111</v>
      </c>
      <c r="E402" s="55" t="s">
        <v>8</v>
      </c>
      <c r="J402" s="58"/>
      <c r="K402" s="55"/>
      <c r="L402" s="55"/>
    </row>
    <row r="403" spans="1:12" ht="13.2">
      <c r="A403" s="55"/>
      <c r="B403" s="55" t="str">
        <f t="shared" si="1"/>
        <v>2023/7</v>
      </c>
      <c r="C403" s="31">
        <v>3000</v>
      </c>
      <c r="D403" s="62">
        <v>45112</v>
      </c>
      <c r="E403" s="55" t="s">
        <v>7</v>
      </c>
      <c r="J403" s="58"/>
      <c r="K403" s="55"/>
      <c r="L403" s="55"/>
    </row>
    <row r="404" spans="1:12" ht="13.2">
      <c r="A404" s="55"/>
      <c r="B404" s="55" t="str">
        <f t="shared" si="1"/>
        <v>2023/7</v>
      </c>
      <c r="C404" s="31">
        <v>141.93</v>
      </c>
      <c r="D404" s="62">
        <v>45114</v>
      </c>
      <c r="E404" s="55" t="s">
        <v>10</v>
      </c>
      <c r="F404" s="63" t="s">
        <v>477</v>
      </c>
      <c r="J404" s="58"/>
      <c r="K404" s="55"/>
      <c r="L404" s="55"/>
    </row>
    <row r="405" spans="1:12" ht="13.2">
      <c r="A405" s="55"/>
      <c r="B405" s="55" t="str">
        <f t="shared" si="1"/>
        <v>2023/7</v>
      </c>
      <c r="C405" s="31">
        <v>62.69</v>
      </c>
      <c r="D405" s="62">
        <v>45117</v>
      </c>
      <c r="E405" s="55" t="s">
        <v>9</v>
      </c>
      <c r="F405" s="63" t="s">
        <v>445</v>
      </c>
      <c r="J405" s="58"/>
      <c r="K405" s="55"/>
      <c r="L405" s="55"/>
    </row>
    <row r="406" spans="1:12" ht="13.2">
      <c r="A406" s="55"/>
      <c r="B406" s="55" t="str">
        <f t="shared" si="1"/>
        <v>2023/7</v>
      </c>
      <c r="C406" s="31">
        <v>642.9</v>
      </c>
      <c r="D406" s="62">
        <v>45117</v>
      </c>
      <c r="E406" s="55" t="s">
        <v>7</v>
      </c>
      <c r="J406" s="58"/>
      <c r="K406" s="55"/>
      <c r="L406" s="55"/>
    </row>
    <row r="407" spans="1:12" ht="13.2">
      <c r="A407" s="55"/>
      <c r="B407" s="55" t="str">
        <f t="shared" si="1"/>
        <v>2023/7</v>
      </c>
      <c r="C407" s="31">
        <v>99.99</v>
      </c>
      <c r="D407" s="62">
        <v>45117</v>
      </c>
      <c r="E407" s="55" t="s">
        <v>9</v>
      </c>
      <c r="F407" s="63" t="s">
        <v>433</v>
      </c>
      <c r="J407" s="58"/>
      <c r="K407" s="55"/>
      <c r="L407" s="55"/>
    </row>
    <row r="408" spans="1:12" ht="13.2">
      <c r="A408" s="55"/>
      <c r="B408" s="55" t="str">
        <f t="shared" si="1"/>
        <v>2023/7</v>
      </c>
      <c r="C408" s="31">
        <v>529.72</v>
      </c>
      <c r="D408" s="62">
        <v>45117</v>
      </c>
      <c r="E408" s="55" t="s">
        <v>4</v>
      </c>
      <c r="J408" s="58"/>
      <c r="K408" s="55"/>
      <c r="L408" s="55"/>
    </row>
    <row r="409" spans="1:12" ht="13.2">
      <c r="A409" s="55"/>
      <c r="B409" s="55" t="str">
        <f t="shared" si="1"/>
        <v>2023/7</v>
      </c>
      <c r="C409" s="31">
        <v>210</v>
      </c>
      <c r="D409" s="62">
        <v>45118</v>
      </c>
      <c r="E409" s="55" t="s">
        <v>8</v>
      </c>
      <c r="J409" s="58"/>
      <c r="K409" s="55"/>
      <c r="L409" s="55"/>
    </row>
    <row r="410" spans="1:12" ht="13.2">
      <c r="A410" s="55"/>
      <c r="B410" s="55" t="str">
        <f t="shared" si="1"/>
        <v>2023/7</v>
      </c>
      <c r="C410" s="31">
        <v>215</v>
      </c>
      <c r="D410" s="62">
        <v>45119</v>
      </c>
      <c r="E410" s="55" t="s">
        <v>6</v>
      </c>
      <c r="F410" s="63" t="s">
        <v>364</v>
      </c>
      <c r="J410" s="58"/>
      <c r="K410" s="55"/>
      <c r="L410" s="55"/>
    </row>
    <row r="411" spans="1:12" ht="13.2">
      <c r="A411" s="55"/>
      <c r="B411" s="55" t="str">
        <f t="shared" si="1"/>
        <v>2023/7</v>
      </c>
      <c r="C411" s="31">
        <v>49.05</v>
      </c>
      <c r="D411" s="62">
        <v>45121</v>
      </c>
      <c r="E411" s="55" t="s">
        <v>9</v>
      </c>
      <c r="F411" s="63" t="s">
        <v>372</v>
      </c>
      <c r="J411" s="58"/>
      <c r="K411" s="55"/>
      <c r="L411" s="55"/>
    </row>
    <row r="412" spans="1:12" ht="13.2">
      <c r="A412" s="55"/>
      <c r="B412" s="55" t="str">
        <f t="shared" si="1"/>
        <v>2023/7</v>
      </c>
      <c r="C412" s="31">
        <v>249</v>
      </c>
      <c r="D412" s="62">
        <v>45122</v>
      </c>
      <c r="E412" s="55" t="s">
        <v>5</v>
      </c>
      <c r="F412" s="63" t="s">
        <v>347</v>
      </c>
      <c r="J412" s="58"/>
      <c r="K412" s="55"/>
      <c r="L412" s="55"/>
    </row>
    <row r="413" spans="1:12" ht="13.2">
      <c r="A413" s="55"/>
      <c r="B413" s="55" t="str">
        <f t="shared" si="1"/>
        <v>2023/7</v>
      </c>
      <c r="C413" s="31">
        <v>24</v>
      </c>
      <c r="D413" s="62">
        <v>45123</v>
      </c>
      <c r="E413" s="55" t="s">
        <v>6</v>
      </c>
      <c r="F413" s="63" t="s">
        <v>478</v>
      </c>
      <c r="J413" s="58"/>
      <c r="K413" s="55"/>
      <c r="L413" s="55"/>
    </row>
    <row r="414" spans="1:12" ht="13.2">
      <c r="A414" s="55"/>
      <c r="B414" s="55" t="str">
        <f t="shared" si="1"/>
        <v>2023/7</v>
      </c>
      <c r="C414" s="31">
        <v>60</v>
      </c>
      <c r="D414" s="62">
        <v>45132</v>
      </c>
      <c r="E414" s="55" t="s">
        <v>8</v>
      </c>
      <c r="J414" s="58"/>
      <c r="K414" s="55"/>
      <c r="L414" s="55"/>
    </row>
    <row r="415" spans="1:12" ht="13.2">
      <c r="A415" s="55"/>
      <c r="B415" s="55" t="str">
        <f t="shared" si="1"/>
        <v>2023/7</v>
      </c>
      <c r="C415" s="31">
        <v>300</v>
      </c>
      <c r="D415" s="62">
        <v>45138</v>
      </c>
      <c r="E415" s="55" t="s">
        <v>8</v>
      </c>
      <c r="J415" s="58"/>
      <c r="K415" s="55"/>
      <c r="L415" s="55"/>
    </row>
    <row r="416" spans="1:12" ht="13.2">
      <c r="A416" s="55"/>
      <c r="B416" s="55" t="str">
        <f t="shared" si="1"/>
        <v>2023/8</v>
      </c>
      <c r="C416" s="31">
        <v>60</v>
      </c>
      <c r="D416" s="62">
        <v>45139</v>
      </c>
      <c r="E416" s="55" t="s">
        <v>8</v>
      </c>
      <c r="J416" s="58"/>
      <c r="K416" s="55"/>
      <c r="L416" s="55"/>
    </row>
    <row r="417" spans="1:15" ht="13.2">
      <c r="A417" s="55"/>
      <c r="B417" s="55" t="str">
        <f t="shared" si="1"/>
        <v>2023/8</v>
      </c>
      <c r="C417" s="31">
        <v>3000</v>
      </c>
      <c r="D417" s="62">
        <v>45143</v>
      </c>
      <c r="E417" s="55" t="s">
        <v>7</v>
      </c>
      <c r="J417" s="58"/>
      <c r="K417" s="55"/>
      <c r="L417" s="55"/>
    </row>
    <row r="418" spans="1:15" ht="13.2">
      <c r="A418" s="55"/>
      <c r="B418" s="55" t="str">
        <f t="shared" si="1"/>
        <v>2023/8</v>
      </c>
      <c r="C418" s="31">
        <v>600</v>
      </c>
      <c r="D418" s="62">
        <v>45144</v>
      </c>
      <c r="E418" s="55" t="s">
        <v>10</v>
      </c>
      <c r="F418" s="63" t="s">
        <v>479</v>
      </c>
      <c r="J418" s="58"/>
      <c r="K418" s="55"/>
      <c r="L418" s="55"/>
    </row>
    <row r="419" spans="1:15" ht="13.2">
      <c r="A419" s="55"/>
      <c r="B419" s="55" t="str">
        <f t="shared" si="1"/>
        <v>2023/8</v>
      </c>
      <c r="C419" s="31">
        <v>210</v>
      </c>
      <c r="D419" s="62">
        <v>45147</v>
      </c>
      <c r="E419" s="55" t="s">
        <v>8</v>
      </c>
      <c r="J419" s="58"/>
      <c r="K419" s="55"/>
      <c r="L419" s="55"/>
    </row>
    <row r="420" spans="1:15" ht="13.2">
      <c r="A420" s="55"/>
      <c r="B420" s="55" t="str">
        <f t="shared" si="1"/>
        <v>2023/8</v>
      </c>
      <c r="C420" s="31">
        <v>529.72</v>
      </c>
      <c r="D420" s="62">
        <v>45147</v>
      </c>
      <c r="E420" s="55" t="s">
        <v>4</v>
      </c>
      <c r="J420" s="58"/>
      <c r="K420" s="55"/>
      <c r="L420" s="69"/>
      <c r="M420" s="69"/>
      <c r="N420" s="69"/>
      <c r="O420" s="69"/>
    </row>
    <row r="421" spans="1:15" ht="13.2">
      <c r="A421" s="55"/>
      <c r="B421" s="55" t="str">
        <f t="shared" si="1"/>
        <v>2023/8</v>
      </c>
      <c r="C421" s="31">
        <v>99.99</v>
      </c>
      <c r="D421" s="62">
        <v>45147</v>
      </c>
      <c r="E421" s="55" t="s">
        <v>9</v>
      </c>
      <c r="F421" s="63" t="s">
        <v>433</v>
      </c>
      <c r="J421" s="58"/>
      <c r="K421" s="55"/>
      <c r="L421" s="70"/>
      <c r="M421" s="71"/>
      <c r="N421" s="69"/>
      <c r="O421" s="69"/>
    </row>
    <row r="422" spans="1:15" ht="13.2">
      <c r="A422" s="55"/>
      <c r="B422" s="55" t="str">
        <f t="shared" si="1"/>
        <v>2023/8</v>
      </c>
      <c r="C422" s="31">
        <v>642.96</v>
      </c>
      <c r="D422" s="62">
        <v>45147</v>
      </c>
      <c r="E422" s="55" t="s">
        <v>7</v>
      </c>
      <c r="J422" s="58"/>
      <c r="K422" s="55"/>
      <c r="L422" s="70"/>
      <c r="M422" s="71"/>
      <c r="N422" s="69"/>
      <c r="O422" s="69"/>
    </row>
    <row r="423" spans="1:15" ht="13.2">
      <c r="A423" s="55"/>
      <c r="B423" s="55" t="str">
        <f t="shared" si="1"/>
        <v>2023/8</v>
      </c>
      <c r="C423" s="31">
        <v>249</v>
      </c>
      <c r="D423" s="62">
        <v>45148</v>
      </c>
      <c r="E423" s="55" t="s">
        <v>5</v>
      </c>
      <c r="F423" s="63" t="s">
        <v>325</v>
      </c>
      <c r="J423" s="58"/>
      <c r="K423" s="55"/>
      <c r="L423" s="70"/>
      <c r="M423" s="71"/>
      <c r="N423" s="69"/>
      <c r="O423" s="69"/>
    </row>
    <row r="424" spans="1:15" ht="13.2">
      <c r="A424" s="55"/>
      <c r="B424" s="55" t="str">
        <f t="shared" si="1"/>
        <v>2023/8</v>
      </c>
      <c r="C424" s="31">
        <v>48</v>
      </c>
      <c r="D424" s="62">
        <v>45149</v>
      </c>
      <c r="E424" s="55" t="s">
        <v>9</v>
      </c>
      <c r="F424" s="63" t="s">
        <v>372</v>
      </c>
      <c r="J424" s="58"/>
      <c r="K424" s="55"/>
      <c r="L424" s="70"/>
      <c r="M424" s="71"/>
      <c r="N424" s="69"/>
      <c r="O424" s="69"/>
    </row>
    <row r="425" spans="1:15" ht="13.2">
      <c r="A425" s="55"/>
      <c r="B425" s="55" t="str">
        <f t="shared" si="1"/>
        <v>2023/8</v>
      </c>
      <c r="C425" s="31">
        <v>215</v>
      </c>
      <c r="D425" s="62">
        <v>45149</v>
      </c>
      <c r="E425" s="55" t="s">
        <v>6</v>
      </c>
      <c r="F425" s="63" t="s">
        <v>364</v>
      </c>
      <c r="J425" s="58"/>
      <c r="K425" s="55"/>
      <c r="L425" s="70"/>
      <c r="M425" s="71"/>
      <c r="N425" s="69"/>
      <c r="O425" s="69"/>
    </row>
    <row r="426" spans="1:15" ht="13.2">
      <c r="A426" s="55"/>
      <c r="B426" s="55" t="str">
        <f t="shared" si="1"/>
        <v>2023/8</v>
      </c>
      <c r="C426" s="31">
        <v>85.16</v>
      </c>
      <c r="D426" s="62">
        <v>45150</v>
      </c>
      <c r="E426" s="55" t="s">
        <v>2</v>
      </c>
      <c r="J426" s="58"/>
      <c r="K426" s="55"/>
      <c r="L426" s="70"/>
      <c r="M426" s="71"/>
      <c r="N426" s="69"/>
      <c r="O426" s="69"/>
    </row>
    <row r="427" spans="1:15" ht="13.2">
      <c r="A427" s="55"/>
      <c r="B427" s="55" t="str">
        <f t="shared" si="1"/>
        <v>2023/8</v>
      </c>
      <c r="C427" s="31">
        <v>16</v>
      </c>
      <c r="D427" s="62">
        <v>45150</v>
      </c>
      <c r="E427" s="55" t="s">
        <v>6</v>
      </c>
      <c r="F427" s="63" t="s">
        <v>478</v>
      </c>
      <c r="J427" s="58"/>
      <c r="K427" s="55"/>
      <c r="L427" s="72"/>
      <c r="M427" s="71"/>
      <c r="N427" s="69"/>
      <c r="O427" s="69"/>
    </row>
    <row r="428" spans="1:15" ht="13.2">
      <c r="A428" s="55"/>
      <c r="B428" s="55" t="str">
        <f t="shared" si="1"/>
        <v>2023/8</v>
      </c>
      <c r="C428" s="31">
        <v>40.89</v>
      </c>
      <c r="D428" s="62">
        <v>45151</v>
      </c>
      <c r="E428" s="55" t="s">
        <v>9</v>
      </c>
      <c r="F428" s="63" t="s">
        <v>480</v>
      </c>
      <c r="J428" s="58"/>
      <c r="K428" s="55"/>
      <c r="L428" s="72"/>
      <c r="M428" s="71"/>
      <c r="N428" s="69"/>
      <c r="O428" s="69"/>
    </row>
    <row r="429" spans="1:15" ht="13.2">
      <c r="A429" s="55"/>
      <c r="B429" s="55" t="str">
        <f t="shared" si="1"/>
        <v>2023/8</v>
      </c>
      <c r="C429" s="31">
        <v>265</v>
      </c>
      <c r="D429" s="62">
        <v>45153</v>
      </c>
      <c r="E429" s="55" t="s">
        <v>10</v>
      </c>
      <c r="F429" s="63" t="s">
        <v>481</v>
      </c>
      <c r="J429" s="58"/>
      <c r="K429" s="55"/>
      <c r="L429" s="70"/>
      <c r="M429" s="71"/>
      <c r="N429" s="69"/>
      <c r="O429" s="69"/>
    </row>
    <row r="430" spans="1:15" ht="13.2">
      <c r="A430" s="55"/>
      <c r="B430" s="55" t="str">
        <f t="shared" si="1"/>
        <v>2023/8</v>
      </c>
      <c r="C430" s="31">
        <v>199</v>
      </c>
      <c r="D430" s="62">
        <v>45153</v>
      </c>
      <c r="E430" s="55" t="s">
        <v>10</v>
      </c>
      <c r="F430" s="63" t="s">
        <v>482</v>
      </c>
      <c r="J430" s="58"/>
      <c r="K430" s="55"/>
      <c r="L430" s="73"/>
      <c r="M430" s="71"/>
      <c r="N430" s="69"/>
      <c r="O430" s="69"/>
    </row>
    <row r="431" spans="1:15" ht="13.2">
      <c r="A431" s="55"/>
      <c r="B431" s="55" t="str">
        <f t="shared" si="1"/>
        <v>2023/8</v>
      </c>
      <c r="C431" s="31">
        <f>215+180</f>
        <v>395</v>
      </c>
      <c r="D431" s="62">
        <v>45153</v>
      </c>
      <c r="E431" s="55" t="s">
        <v>10</v>
      </c>
      <c r="F431" s="63" t="s">
        <v>483</v>
      </c>
      <c r="J431" s="58"/>
      <c r="K431" s="55"/>
      <c r="L431" s="72"/>
      <c r="M431" s="71"/>
      <c r="N431" s="69"/>
      <c r="O431" s="69"/>
    </row>
    <row r="432" spans="1:15" ht="13.2">
      <c r="A432" s="55"/>
      <c r="B432" s="55" t="str">
        <f t="shared" si="1"/>
        <v>2023/8</v>
      </c>
      <c r="C432" s="31">
        <v>540</v>
      </c>
      <c r="D432" s="62">
        <v>45154</v>
      </c>
      <c r="E432" s="55" t="s">
        <v>8</v>
      </c>
      <c r="F432" s="63" t="s">
        <v>484</v>
      </c>
      <c r="J432" s="58"/>
      <c r="K432" s="55"/>
      <c r="L432" s="71"/>
      <c r="M432" s="71"/>
      <c r="N432" s="69"/>
      <c r="O432" s="69"/>
    </row>
    <row r="433" spans="1:15" ht="13.2">
      <c r="A433" s="55"/>
      <c r="B433" s="55" t="str">
        <f t="shared" si="1"/>
        <v>2023/8</v>
      </c>
      <c r="C433" s="31">
        <f>410+439</f>
        <v>849</v>
      </c>
      <c r="D433" s="62">
        <v>45155</v>
      </c>
      <c r="E433" s="55" t="s">
        <v>10</v>
      </c>
      <c r="F433" s="63" t="s">
        <v>485</v>
      </c>
      <c r="J433" s="58"/>
      <c r="K433" s="55"/>
      <c r="L433" s="71"/>
      <c r="M433" s="71"/>
      <c r="N433" s="69"/>
      <c r="O433" s="69"/>
    </row>
    <row r="434" spans="1:15" ht="13.2">
      <c r="A434" s="55"/>
      <c r="B434" s="55" t="str">
        <f t="shared" si="1"/>
        <v>2023/8</v>
      </c>
      <c r="C434" s="31">
        <f>179+139</f>
        <v>318</v>
      </c>
      <c r="D434" s="62">
        <v>45156</v>
      </c>
      <c r="E434" s="55" t="s">
        <v>10</v>
      </c>
      <c r="F434" s="63" t="s">
        <v>486</v>
      </c>
      <c r="J434" s="58"/>
      <c r="K434" s="55"/>
      <c r="L434" s="69"/>
      <c r="M434" s="69"/>
      <c r="N434" s="69"/>
      <c r="O434" s="69"/>
    </row>
    <row r="435" spans="1:15" ht="13.2">
      <c r="A435" s="55"/>
      <c r="B435" s="55" t="str">
        <f t="shared" si="1"/>
        <v>2023/8</v>
      </c>
      <c r="C435" s="31">
        <v>47.05</v>
      </c>
      <c r="D435" s="62">
        <v>45157</v>
      </c>
      <c r="E435" s="55" t="s">
        <v>9</v>
      </c>
      <c r="F435" s="63" t="s">
        <v>445</v>
      </c>
      <c r="J435" s="58"/>
      <c r="K435" s="55"/>
      <c r="L435" s="69"/>
      <c r="M435" s="69"/>
      <c r="N435" s="69"/>
      <c r="O435" s="69"/>
    </row>
    <row r="436" spans="1:15" ht="13.2">
      <c r="A436" s="55"/>
      <c r="B436" s="55" t="str">
        <f t="shared" si="1"/>
        <v>2023/8</v>
      </c>
      <c r="C436" s="31">
        <v>46.04</v>
      </c>
      <c r="D436" s="62">
        <v>45162</v>
      </c>
      <c r="E436" s="55" t="s">
        <v>10</v>
      </c>
      <c r="J436" s="58"/>
      <c r="K436" s="55"/>
      <c r="L436" s="71"/>
      <c r="M436" s="71"/>
      <c r="N436" s="69"/>
      <c r="O436" s="69"/>
    </row>
    <row r="437" spans="1:15" ht="13.2">
      <c r="A437" s="55"/>
      <c r="B437" s="55" t="str">
        <f t="shared" si="1"/>
        <v>2023/8</v>
      </c>
      <c r="C437" s="31">
        <v>20</v>
      </c>
      <c r="D437" s="62">
        <v>45163</v>
      </c>
      <c r="E437" s="55" t="s">
        <v>10</v>
      </c>
      <c r="F437" s="63" t="s">
        <v>487</v>
      </c>
      <c r="J437" s="58"/>
      <c r="K437" s="55"/>
      <c r="L437" s="69"/>
      <c r="M437" s="69"/>
      <c r="N437" s="69"/>
      <c r="O437" s="69"/>
    </row>
    <row r="438" spans="1:15" ht="13.2">
      <c r="A438" s="55"/>
      <c r="B438" s="55" t="str">
        <f t="shared" si="1"/>
        <v>2023/8</v>
      </c>
      <c r="C438" s="31">
        <v>92.4</v>
      </c>
      <c r="D438" s="62">
        <v>45164</v>
      </c>
      <c r="E438" s="55" t="s">
        <v>10</v>
      </c>
      <c r="F438" s="63" t="s">
        <v>488</v>
      </c>
      <c r="J438" s="58"/>
      <c r="K438" s="55"/>
      <c r="L438" s="55"/>
    </row>
    <row r="439" spans="1:15" ht="13.2">
      <c r="A439" s="55"/>
      <c r="B439" s="55" t="str">
        <f t="shared" si="1"/>
        <v>2023/8</v>
      </c>
      <c r="C439" s="31">
        <v>160</v>
      </c>
      <c r="D439" s="62">
        <v>45168</v>
      </c>
      <c r="E439" s="55" t="s">
        <v>8</v>
      </c>
      <c r="F439" s="63" t="s">
        <v>489</v>
      </c>
      <c r="J439" s="58"/>
      <c r="K439" s="55"/>
      <c r="L439" s="55"/>
    </row>
    <row r="440" spans="1:15" ht="13.2">
      <c r="A440" s="55"/>
      <c r="B440" s="55" t="str">
        <f t="shared" si="1"/>
        <v>2023/9</v>
      </c>
      <c r="C440" s="74">
        <v>249</v>
      </c>
      <c r="D440" s="62">
        <v>45170</v>
      </c>
      <c r="E440" s="55" t="s">
        <v>5</v>
      </c>
      <c r="F440" s="63" t="s">
        <v>347</v>
      </c>
      <c r="J440" s="58"/>
      <c r="K440" s="55"/>
      <c r="L440" s="55"/>
    </row>
    <row r="441" spans="1:15" ht="13.2">
      <c r="A441" s="55"/>
      <c r="B441" s="55" t="str">
        <f t="shared" si="1"/>
        <v>2023/9</v>
      </c>
      <c r="C441" s="31">
        <v>215</v>
      </c>
      <c r="D441" s="62">
        <v>45171</v>
      </c>
      <c r="E441" s="55" t="s">
        <v>6</v>
      </c>
      <c r="F441" s="63" t="s">
        <v>364</v>
      </c>
      <c r="J441" s="58"/>
      <c r="K441" s="55"/>
      <c r="L441" s="55"/>
    </row>
    <row r="442" spans="1:15" ht="13.2">
      <c r="A442" s="55"/>
      <c r="B442" s="55" t="str">
        <f t="shared" si="1"/>
        <v>2023/9</v>
      </c>
      <c r="C442" s="31">
        <v>80.25</v>
      </c>
      <c r="D442" s="62">
        <v>45172</v>
      </c>
      <c r="E442" s="55" t="s">
        <v>9</v>
      </c>
      <c r="F442" s="63" t="s">
        <v>445</v>
      </c>
      <c r="J442" s="58"/>
      <c r="K442" s="55"/>
      <c r="L442" s="55"/>
    </row>
    <row r="443" spans="1:15" ht="13.2">
      <c r="A443" s="55"/>
      <c r="B443" s="55" t="str">
        <f t="shared" si="1"/>
        <v>2023/9</v>
      </c>
      <c r="C443" s="31">
        <v>3000</v>
      </c>
      <c r="D443" s="62">
        <v>45173</v>
      </c>
      <c r="E443" s="55" t="s">
        <v>7</v>
      </c>
      <c r="J443" s="58"/>
      <c r="K443" s="55"/>
      <c r="L443" s="55"/>
    </row>
    <row r="444" spans="1:15" ht="13.2">
      <c r="A444" s="55"/>
      <c r="B444" s="55" t="str">
        <f t="shared" si="1"/>
        <v>2023/9</v>
      </c>
      <c r="C444" s="31">
        <f>80+80+80</f>
        <v>240</v>
      </c>
      <c r="D444" s="62">
        <v>45174</v>
      </c>
      <c r="E444" s="55" t="s">
        <v>8</v>
      </c>
      <c r="F444" s="63" t="s">
        <v>490</v>
      </c>
      <c r="J444" s="58"/>
      <c r="K444" s="55"/>
      <c r="L444" s="55"/>
    </row>
    <row r="445" spans="1:15" ht="13.2">
      <c r="A445" s="55"/>
      <c r="B445" s="55" t="str">
        <f t="shared" si="1"/>
        <v>2023/9</v>
      </c>
      <c r="C445" s="31">
        <v>600</v>
      </c>
      <c r="D445" s="62">
        <v>45175</v>
      </c>
      <c r="E445" s="55" t="s">
        <v>8</v>
      </c>
      <c r="F445" s="63" t="s">
        <v>491</v>
      </c>
      <c r="J445" s="58"/>
      <c r="K445" s="55"/>
      <c r="L445" s="55"/>
    </row>
    <row r="446" spans="1:15" ht="13.2">
      <c r="A446" s="55"/>
      <c r="B446" s="55" t="str">
        <f t="shared" si="1"/>
        <v>2023/9</v>
      </c>
      <c r="C446" s="31">
        <f>217.75+15.75+7.88+15.75</f>
        <v>257.13</v>
      </c>
      <c r="D446" s="62">
        <v>45176</v>
      </c>
      <c r="E446" s="55" t="s">
        <v>6</v>
      </c>
      <c r="F446" s="63" t="s">
        <v>492</v>
      </c>
      <c r="J446" s="58"/>
      <c r="K446" s="55"/>
      <c r="L446" s="55"/>
    </row>
    <row r="447" spans="1:15" ht="13.2">
      <c r="A447" s="55"/>
      <c r="B447" s="55" t="str">
        <f t="shared" si="1"/>
        <v>2023/9</v>
      </c>
      <c r="C447" s="31">
        <v>99.99</v>
      </c>
      <c r="D447" s="62">
        <v>45177</v>
      </c>
      <c r="E447" s="55" t="s">
        <v>9</v>
      </c>
      <c r="F447" s="63" t="s">
        <v>433</v>
      </c>
      <c r="J447" s="58"/>
      <c r="K447" s="55"/>
      <c r="L447" s="55"/>
    </row>
    <row r="448" spans="1:15" ht="13.2">
      <c r="A448" s="55"/>
      <c r="B448" s="55" t="str">
        <f t="shared" si="1"/>
        <v>2023/9</v>
      </c>
      <c r="C448" s="31">
        <v>529.72</v>
      </c>
      <c r="D448" s="62">
        <v>45177</v>
      </c>
      <c r="E448" s="55" t="s">
        <v>4</v>
      </c>
      <c r="J448" s="58"/>
      <c r="K448" s="55"/>
      <c r="L448" s="55"/>
    </row>
    <row r="449" spans="1:12" ht="13.2">
      <c r="A449" s="55"/>
      <c r="B449" s="55" t="str">
        <f t="shared" si="1"/>
        <v>2023/9</v>
      </c>
      <c r="C449" s="31">
        <v>651.4</v>
      </c>
      <c r="D449" s="62">
        <v>45177</v>
      </c>
      <c r="E449" s="55" t="s">
        <v>7</v>
      </c>
      <c r="J449" s="58"/>
      <c r="K449" s="55"/>
      <c r="L449" s="55"/>
    </row>
    <row r="450" spans="1:12" ht="13.2">
      <c r="A450" s="55"/>
      <c r="B450" s="55" t="str">
        <f t="shared" si="1"/>
        <v>2023/9</v>
      </c>
      <c r="C450" s="31">
        <v>21.99</v>
      </c>
      <c r="D450" s="62">
        <v>45182</v>
      </c>
      <c r="E450" s="55" t="s">
        <v>5</v>
      </c>
      <c r="F450" s="63" t="s">
        <v>493</v>
      </c>
      <c r="J450" s="58"/>
      <c r="K450" s="55"/>
      <c r="L450" s="55"/>
    </row>
    <row r="451" spans="1:12" ht="13.2">
      <c r="A451" s="55"/>
      <c r="B451" s="55" t="str">
        <f t="shared" si="1"/>
        <v>2023/9</v>
      </c>
      <c r="C451" s="31">
        <v>370</v>
      </c>
      <c r="D451" s="62">
        <v>45187</v>
      </c>
      <c r="E451" s="55" t="s">
        <v>5</v>
      </c>
      <c r="F451" s="63" t="s">
        <v>494</v>
      </c>
      <c r="J451" s="58"/>
      <c r="K451" s="55"/>
      <c r="L451" s="55"/>
    </row>
    <row r="452" spans="1:12" ht="13.2">
      <c r="A452" s="55"/>
      <c r="B452" s="55" t="str">
        <f t="shared" si="1"/>
        <v>2023/9</v>
      </c>
      <c r="C452" s="31">
        <v>80</v>
      </c>
      <c r="D452" s="62">
        <v>45191</v>
      </c>
      <c r="E452" s="55" t="s">
        <v>2</v>
      </c>
      <c r="J452" s="58"/>
      <c r="K452" s="55"/>
      <c r="L452" s="55"/>
    </row>
    <row r="453" spans="1:12" ht="13.2">
      <c r="A453" s="55"/>
      <c r="B453" s="55" t="str">
        <f t="shared" si="1"/>
        <v>2023/10</v>
      </c>
      <c r="C453" s="74">
        <v>249</v>
      </c>
      <c r="D453" s="62">
        <v>45200</v>
      </c>
      <c r="E453" s="55" t="s">
        <v>5</v>
      </c>
      <c r="F453" s="63" t="s">
        <v>347</v>
      </c>
      <c r="J453" s="58"/>
      <c r="K453" s="55"/>
      <c r="L453" s="55"/>
    </row>
    <row r="454" spans="1:12" ht="13.2">
      <c r="A454" s="55"/>
      <c r="B454" s="55" t="str">
        <f t="shared" si="1"/>
        <v>2023/10</v>
      </c>
      <c r="C454" s="66">
        <v>181.5</v>
      </c>
      <c r="D454" s="62">
        <v>45200</v>
      </c>
      <c r="E454" s="55" t="s">
        <v>4</v>
      </c>
      <c r="F454" s="63" t="s">
        <v>495</v>
      </c>
      <c r="J454" s="58"/>
      <c r="K454" s="55"/>
      <c r="L454" s="55"/>
    </row>
    <row r="455" spans="1:12" ht="13.2">
      <c r="A455" s="55"/>
      <c r="B455" s="55" t="str">
        <f t="shared" si="1"/>
        <v>2023/10</v>
      </c>
      <c r="C455" s="31">
        <v>215</v>
      </c>
      <c r="D455" s="62">
        <v>45201</v>
      </c>
      <c r="E455" s="55" t="s">
        <v>6</v>
      </c>
      <c r="F455" s="63" t="s">
        <v>364</v>
      </c>
      <c r="J455" s="58"/>
      <c r="K455" s="55"/>
      <c r="L455" s="55"/>
    </row>
    <row r="456" spans="1:12" ht="13.2">
      <c r="A456" s="55"/>
      <c r="B456" s="55" t="str">
        <f t="shared" si="1"/>
        <v>2023/10</v>
      </c>
      <c r="C456" s="31">
        <v>48</v>
      </c>
      <c r="D456" s="62">
        <v>45202</v>
      </c>
      <c r="E456" s="55" t="s">
        <v>9</v>
      </c>
      <c r="F456" s="63" t="s">
        <v>496</v>
      </c>
      <c r="J456" s="58"/>
      <c r="K456" s="55"/>
      <c r="L456" s="55"/>
    </row>
    <row r="457" spans="1:12" ht="13.2">
      <c r="A457" s="55"/>
      <c r="B457" s="55" t="str">
        <f t="shared" si="1"/>
        <v>2023/10</v>
      </c>
      <c r="C457" s="31">
        <f>80+80+80+80</f>
        <v>320</v>
      </c>
      <c r="D457" s="62">
        <v>45202</v>
      </c>
      <c r="E457" s="55" t="s">
        <v>8</v>
      </c>
      <c r="F457" s="63" t="s">
        <v>497</v>
      </c>
      <c r="J457" s="58"/>
      <c r="K457" s="55"/>
      <c r="L457" s="55"/>
    </row>
    <row r="458" spans="1:12" ht="13.2">
      <c r="A458" s="55"/>
      <c r="B458" s="55" t="str">
        <f t="shared" si="1"/>
        <v>2023/10</v>
      </c>
      <c r="C458" s="31">
        <f>150+150+150+150</f>
        <v>600</v>
      </c>
      <c r="D458" s="62">
        <v>45203</v>
      </c>
      <c r="E458" s="55" t="s">
        <v>8</v>
      </c>
      <c r="F458" s="63" t="s">
        <v>498</v>
      </c>
      <c r="J458" s="58"/>
      <c r="K458" s="55"/>
      <c r="L458" s="55"/>
    </row>
    <row r="459" spans="1:12" ht="13.2">
      <c r="A459" s="55"/>
      <c r="B459" s="55" t="str">
        <f t="shared" si="1"/>
        <v>2023/10</v>
      </c>
      <c r="C459" s="31">
        <f>7.88+7.88+7.88+7.88+7.88</f>
        <v>39.4</v>
      </c>
      <c r="D459" s="62">
        <v>45203</v>
      </c>
      <c r="E459" s="55" t="s">
        <v>6</v>
      </c>
      <c r="F459" s="63" t="s">
        <v>492</v>
      </c>
      <c r="J459" s="58"/>
      <c r="K459" s="55"/>
      <c r="L459" s="55"/>
    </row>
    <row r="460" spans="1:12" ht="13.2">
      <c r="A460" s="55"/>
      <c r="B460" s="55" t="str">
        <f t="shared" si="1"/>
        <v>2023/10</v>
      </c>
      <c r="C460" s="31">
        <v>111.54</v>
      </c>
      <c r="D460" s="62">
        <v>45205</v>
      </c>
      <c r="E460" s="55" t="s">
        <v>9</v>
      </c>
      <c r="F460" s="63" t="s">
        <v>445</v>
      </c>
      <c r="J460" s="58"/>
      <c r="K460" s="55"/>
      <c r="L460" s="55"/>
    </row>
    <row r="461" spans="1:12" ht="13.2">
      <c r="A461" s="55"/>
      <c r="B461" s="55" t="str">
        <f t="shared" si="1"/>
        <v>2023/10</v>
      </c>
      <c r="C461" s="31">
        <v>3000</v>
      </c>
      <c r="D461" s="62">
        <v>45205</v>
      </c>
      <c r="E461" s="55" t="s">
        <v>7</v>
      </c>
      <c r="J461" s="58"/>
      <c r="K461" s="55"/>
      <c r="L461" s="55"/>
    </row>
    <row r="462" spans="1:12" ht="13.2">
      <c r="A462" s="55"/>
      <c r="B462" s="55" t="str">
        <f t="shared" si="1"/>
        <v>2023/10</v>
      </c>
      <c r="C462" s="31">
        <v>642.83000000000004</v>
      </c>
      <c r="D462" s="62">
        <v>45206</v>
      </c>
      <c r="E462" s="55" t="s">
        <v>7</v>
      </c>
      <c r="J462" s="58"/>
      <c r="K462" s="55"/>
      <c r="L462" s="55"/>
    </row>
    <row r="463" spans="1:12" ht="13.2">
      <c r="A463" s="55"/>
      <c r="B463" s="55" t="str">
        <f t="shared" si="1"/>
        <v>2023/10</v>
      </c>
      <c r="C463" s="31">
        <v>99.99</v>
      </c>
      <c r="D463" s="62">
        <v>45208</v>
      </c>
      <c r="E463" s="55" t="s">
        <v>9</v>
      </c>
      <c r="F463" s="63" t="s">
        <v>433</v>
      </c>
      <c r="J463" s="58"/>
      <c r="K463" s="55"/>
      <c r="L463" s="55"/>
    </row>
    <row r="464" spans="1:12" ht="13.2">
      <c r="A464" s="55"/>
      <c r="B464" s="55" t="str">
        <f t="shared" si="1"/>
        <v>2023/10</v>
      </c>
      <c r="C464" s="31">
        <f>38.29+122.2</f>
        <v>160.49</v>
      </c>
      <c r="D464" s="62">
        <v>45209</v>
      </c>
      <c r="E464" s="55" t="s">
        <v>9</v>
      </c>
      <c r="F464" s="63" t="s">
        <v>499</v>
      </c>
      <c r="J464" s="58"/>
      <c r="K464" s="55"/>
      <c r="L464" s="55"/>
    </row>
    <row r="465" spans="1:12" ht="13.2">
      <c r="A465" s="55"/>
      <c r="B465" s="55" t="str">
        <f t="shared" si="1"/>
        <v>2023/10</v>
      </c>
      <c r="C465" s="31">
        <v>40</v>
      </c>
      <c r="D465" s="62">
        <v>45212</v>
      </c>
      <c r="E465" s="55" t="s">
        <v>9</v>
      </c>
      <c r="F465" s="63" t="s">
        <v>457</v>
      </c>
      <c r="J465" s="58"/>
      <c r="K465" s="55"/>
      <c r="L465" s="55"/>
    </row>
    <row r="466" spans="1:12" ht="13.2">
      <c r="A466" s="55"/>
      <c r="B466" s="55" t="str">
        <f t="shared" si="1"/>
        <v>2023/10</v>
      </c>
      <c r="C466" s="31">
        <v>14.86</v>
      </c>
      <c r="D466" s="62">
        <v>45213</v>
      </c>
      <c r="E466" s="55" t="s">
        <v>5</v>
      </c>
      <c r="F466" s="63" t="s">
        <v>357</v>
      </c>
      <c r="J466" s="58"/>
      <c r="K466" s="55"/>
      <c r="L466" s="55"/>
    </row>
    <row r="467" spans="1:12" ht="13.2">
      <c r="A467" s="55"/>
      <c r="B467" s="55" t="str">
        <f t="shared" si="1"/>
        <v>2023/10</v>
      </c>
      <c r="C467" s="31">
        <v>28</v>
      </c>
      <c r="D467" s="62">
        <v>45213</v>
      </c>
      <c r="E467" s="55" t="s">
        <v>9</v>
      </c>
      <c r="F467" s="63" t="s">
        <v>500</v>
      </c>
      <c r="J467" s="58"/>
      <c r="K467" s="55"/>
      <c r="L467" s="55"/>
    </row>
    <row r="468" spans="1:12" ht="13.2">
      <c r="A468" s="55"/>
      <c r="B468" s="55" t="str">
        <f t="shared" si="1"/>
        <v>2023/10</v>
      </c>
      <c r="C468" s="31">
        <v>116.53</v>
      </c>
      <c r="D468" s="62">
        <v>45214</v>
      </c>
      <c r="E468" s="55" t="s">
        <v>2</v>
      </c>
      <c r="J468" s="58"/>
      <c r="K468" s="55"/>
      <c r="L468" s="55"/>
    </row>
    <row r="469" spans="1:12" ht="13.2">
      <c r="A469" s="55"/>
      <c r="B469" s="55" t="str">
        <f t="shared" si="1"/>
        <v>2023/10</v>
      </c>
      <c r="C469" s="31">
        <v>48</v>
      </c>
      <c r="D469" s="62">
        <v>45215</v>
      </c>
      <c r="E469" s="55" t="s">
        <v>9</v>
      </c>
      <c r="F469" s="63" t="s">
        <v>501</v>
      </c>
      <c r="J469" s="58"/>
      <c r="K469" s="55"/>
      <c r="L469" s="55"/>
    </row>
    <row r="470" spans="1:12" ht="13.2">
      <c r="A470" s="55"/>
      <c r="B470" s="55" t="str">
        <f t="shared" si="1"/>
        <v>2023/10</v>
      </c>
      <c r="C470" s="31">
        <v>27</v>
      </c>
      <c r="D470" s="62">
        <v>45220</v>
      </c>
      <c r="E470" s="55" t="s">
        <v>9</v>
      </c>
      <c r="J470" s="58"/>
      <c r="K470" s="55"/>
      <c r="L470" s="55"/>
    </row>
    <row r="471" spans="1:12" ht="13.2">
      <c r="A471" s="55"/>
      <c r="B471" s="55" t="str">
        <f t="shared" si="1"/>
        <v>2023/11</v>
      </c>
      <c r="C471" s="66">
        <f>150+150+150+150</f>
        <v>600</v>
      </c>
      <c r="D471" s="62">
        <v>45231</v>
      </c>
      <c r="E471" s="55" t="s">
        <v>8</v>
      </c>
      <c r="F471" s="63" t="s">
        <v>502</v>
      </c>
      <c r="J471" s="58"/>
      <c r="K471" s="55"/>
      <c r="L471" s="55"/>
    </row>
    <row r="472" spans="1:12" ht="13.2">
      <c r="A472" s="55"/>
      <c r="B472" s="55" t="str">
        <f t="shared" si="1"/>
        <v>2023/11</v>
      </c>
      <c r="C472" s="31">
        <v>249</v>
      </c>
      <c r="D472" s="62">
        <v>45232</v>
      </c>
      <c r="E472" s="55" t="s">
        <v>5</v>
      </c>
      <c r="F472" s="63" t="s">
        <v>325</v>
      </c>
      <c r="J472" s="58"/>
      <c r="K472" s="55"/>
      <c r="L472" s="55"/>
    </row>
    <row r="473" spans="1:12" ht="13.2">
      <c r="A473" s="55"/>
      <c r="B473" s="55" t="str">
        <f t="shared" si="1"/>
        <v>2023/11</v>
      </c>
      <c r="C473" s="31">
        <v>250</v>
      </c>
      <c r="D473" s="62">
        <v>45233</v>
      </c>
      <c r="E473" s="55" t="s">
        <v>6</v>
      </c>
      <c r="F473" s="63" t="s">
        <v>327</v>
      </c>
      <c r="J473" s="58"/>
      <c r="K473" s="55"/>
      <c r="L473" s="55"/>
    </row>
    <row r="474" spans="1:12" ht="13.2">
      <c r="A474" s="55"/>
      <c r="B474" s="55" t="str">
        <f t="shared" si="1"/>
        <v>2023/11</v>
      </c>
      <c r="C474" s="31">
        <v>108.8</v>
      </c>
      <c r="D474" s="62">
        <v>45233</v>
      </c>
      <c r="E474" s="55" t="s">
        <v>9</v>
      </c>
      <c r="F474" s="63" t="s">
        <v>503</v>
      </c>
      <c r="J474" s="58"/>
      <c r="K474" s="55"/>
      <c r="L474" s="55"/>
    </row>
    <row r="475" spans="1:12" ht="13.2">
      <c r="A475" s="55"/>
      <c r="B475" s="55" t="str">
        <f t="shared" si="1"/>
        <v>2023/11</v>
      </c>
      <c r="C475" s="31">
        <v>3000</v>
      </c>
      <c r="D475" s="62">
        <v>45234</v>
      </c>
      <c r="E475" s="55" t="s">
        <v>7</v>
      </c>
      <c r="J475" s="58"/>
      <c r="K475" s="55"/>
      <c r="L475" s="55"/>
    </row>
    <row r="476" spans="1:12" ht="13.2">
      <c r="A476" s="55"/>
      <c r="B476" s="55" t="str">
        <f t="shared" si="1"/>
        <v>2023/11</v>
      </c>
      <c r="C476" s="31">
        <v>99.99</v>
      </c>
      <c r="D476" s="62">
        <v>45235</v>
      </c>
      <c r="E476" s="55" t="s">
        <v>9</v>
      </c>
      <c r="F476" s="63" t="s">
        <v>433</v>
      </c>
      <c r="J476" s="58"/>
      <c r="K476" s="55"/>
      <c r="L476" s="55"/>
    </row>
    <row r="477" spans="1:12" ht="13.2">
      <c r="A477" s="55"/>
      <c r="B477" s="55" t="str">
        <f t="shared" si="1"/>
        <v>2023/11</v>
      </c>
      <c r="C477" s="31">
        <v>681.26</v>
      </c>
      <c r="D477" s="62">
        <v>45236</v>
      </c>
      <c r="E477" s="55" t="s">
        <v>7</v>
      </c>
      <c r="J477" s="58"/>
      <c r="K477" s="55"/>
      <c r="L477" s="55"/>
    </row>
    <row r="478" spans="1:12" ht="13.2">
      <c r="A478" s="55"/>
      <c r="B478" s="55" t="str">
        <f t="shared" si="1"/>
        <v>2023/11</v>
      </c>
      <c r="C478" s="31">
        <f>80+80+80</f>
        <v>240</v>
      </c>
      <c r="D478" s="62">
        <v>45237</v>
      </c>
      <c r="E478" s="55" t="s">
        <v>8</v>
      </c>
      <c r="F478" s="63" t="s">
        <v>504</v>
      </c>
      <c r="J478" s="58"/>
      <c r="K478" s="55"/>
      <c r="L478" s="55"/>
    </row>
    <row r="479" spans="1:12" ht="13.2">
      <c r="A479" s="55"/>
      <c r="B479" s="55" t="str">
        <f t="shared" si="1"/>
        <v>2023/11</v>
      </c>
      <c r="C479" s="31">
        <v>39.4</v>
      </c>
      <c r="D479" s="62">
        <v>45238</v>
      </c>
      <c r="E479" s="55" t="s">
        <v>6</v>
      </c>
      <c r="F479" s="63" t="s">
        <v>505</v>
      </c>
      <c r="J479" s="58"/>
      <c r="K479" s="55"/>
      <c r="L479" s="55"/>
    </row>
    <row r="480" spans="1:12" ht="13.2">
      <c r="A480" s="55"/>
      <c r="B480" s="55" t="str">
        <f t="shared" si="1"/>
        <v>2023/11</v>
      </c>
      <c r="C480" s="31">
        <v>131.59</v>
      </c>
      <c r="D480" s="62">
        <v>45239</v>
      </c>
      <c r="E480" s="55" t="s">
        <v>9</v>
      </c>
      <c r="F480" s="63" t="s">
        <v>445</v>
      </c>
      <c r="J480" s="58"/>
      <c r="K480" s="55"/>
      <c r="L480" s="55"/>
    </row>
    <row r="481" spans="1:12" ht="13.2">
      <c r="A481" s="55"/>
      <c r="B481" s="55" t="str">
        <f t="shared" si="1"/>
        <v>2023/11</v>
      </c>
      <c r="C481" s="31">
        <v>4.9000000000000004</v>
      </c>
      <c r="D481" s="62">
        <v>45240</v>
      </c>
      <c r="E481" s="55" t="s">
        <v>9</v>
      </c>
      <c r="F481" s="63" t="s">
        <v>506</v>
      </c>
      <c r="J481" s="58"/>
      <c r="K481" s="55"/>
      <c r="L481" s="55"/>
    </row>
    <row r="482" spans="1:12" ht="13.2">
      <c r="A482" s="55"/>
      <c r="B482" s="55" t="str">
        <f t="shared" si="1"/>
        <v>2023/11</v>
      </c>
      <c r="C482" s="31">
        <v>45.09</v>
      </c>
      <c r="D482" s="62">
        <v>45240</v>
      </c>
      <c r="E482" s="55" t="s">
        <v>5</v>
      </c>
      <c r="F482" s="63" t="s">
        <v>507</v>
      </c>
      <c r="J482" s="58"/>
      <c r="K482" s="55"/>
      <c r="L482" s="55"/>
    </row>
    <row r="483" spans="1:12" ht="13.2">
      <c r="A483" s="55"/>
      <c r="B483" s="55" t="str">
        <f t="shared" si="1"/>
        <v>2023/11</v>
      </c>
      <c r="C483" s="31">
        <v>187.8</v>
      </c>
      <c r="D483" s="62">
        <v>45241</v>
      </c>
      <c r="E483" s="55" t="s">
        <v>3</v>
      </c>
      <c r="F483" s="63" t="s">
        <v>508</v>
      </c>
      <c r="J483" s="58"/>
      <c r="K483" s="55"/>
      <c r="L483" s="55"/>
    </row>
    <row r="484" spans="1:12" ht="13.2">
      <c r="A484" s="55"/>
      <c r="B484" s="55" t="str">
        <f t="shared" si="1"/>
        <v>2023/11</v>
      </c>
      <c r="C484" s="31">
        <v>32</v>
      </c>
      <c r="D484" s="62">
        <v>45244</v>
      </c>
      <c r="E484" s="55" t="s">
        <v>9</v>
      </c>
      <c r="F484" s="63" t="s">
        <v>509</v>
      </c>
      <c r="J484" s="58"/>
      <c r="K484" s="55"/>
      <c r="L484" s="55"/>
    </row>
    <row r="485" spans="1:12" ht="13.2">
      <c r="A485" s="55"/>
      <c r="B485" s="55" t="str">
        <f t="shared" si="1"/>
        <v>2023/11</v>
      </c>
      <c r="C485" s="31">
        <v>50.14</v>
      </c>
      <c r="D485" s="62">
        <v>45244</v>
      </c>
      <c r="E485" s="55" t="s">
        <v>9</v>
      </c>
      <c r="F485" s="63" t="s">
        <v>510</v>
      </c>
      <c r="J485" s="58"/>
      <c r="K485" s="55"/>
      <c r="L485" s="55"/>
    </row>
    <row r="486" spans="1:12" ht="13.2">
      <c r="A486" s="55"/>
      <c r="B486" s="55" t="str">
        <f t="shared" si="1"/>
        <v>2023/11</v>
      </c>
      <c r="C486" s="31">
        <f>159.9+16.9</f>
        <v>176.8</v>
      </c>
      <c r="D486" s="62">
        <v>45245</v>
      </c>
      <c r="E486" s="55" t="s">
        <v>9</v>
      </c>
      <c r="F486" s="63" t="s">
        <v>511</v>
      </c>
      <c r="J486" s="58"/>
      <c r="K486" s="55"/>
      <c r="L486" s="55"/>
    </row>
    <row r="487" spans="1:12" ht="13.2">
      <c r="A487" s="55"/>
      <c r="B487" s="55" t="str">
        <f t="shared" si="1"/>
        <v>2023/11</v>
      </c>
      <c r="C487" s="31">
        <f>9.79+40+15</f>
        <v>64.789999999999992</v>
      </c>
      <c r="D487" s="62">
        <v>45246</v>
      </c>
      <c r="E487" s="55" t="s">
        <v>9</v>
      </c>
      <c r="F487" s="63" t="s">
        <v>512</v>
      </c>
      <c r="J487" s="58"/>
      <c r="K487" s="55"/>
      <c r="L487" s="55"/>
    </row>
    <row r="488" spans="1:12" ht="13.2">
      <c r="A488" s="55"/>
      <c r="B488" s="55" t="str">
        <f t="shared" si="1"/>
        <v>2023/11</v>
      </c>
      <c r="C488" s="31">
        <v>350</v>
      </c>
      <c r="D488" s="62">
        <v>45250</v>
      </c>
      <c r="E488" s="55" t="s">
        <v>8</v>
      </c>
      <c r="F488" s="63" t="s">
        <v>513</v>
      </c>
      <c r="J488" s="58"/>
      <c r="K488" s="55"/>
      <c r="L488" s="55"/>
    </row>
    <row r="489" spans="1:12" ht="13.2">
      <c r="A489" s="55"/>
      <c r="B489" s="55" t="str">
        <f t="shared" si="1"/>
        <v>2023/11</v>
      </c>
      <c r="C489" s="31">
        <v>159.37</v>
      </c>
      <c r="D489" s="62">
        <v>45253</v>
      </c>
      <c r="E489" s="55" t="s">
        <v>9</v>
      </c>
      <c r="F489" s="63" t="s">
        <v>514</v>
      </c>
      <c r="J489" s="58"/>
      <c r="K489" s="55"/>
      <c r="L489" s="55"/>
    </row>
    <row r="490" spans="1:12" ht="13.2">
      <c r="A490" s="55"/>
      <c r="B490" s="55" t="str">
        <f t="shared" si="1"/>
        <v>2023/11</v>
      </c>
      <c r="C490" s="31">
        <v>63</v>
      </c>
      <c r="D490" s="62">
        <v>45254</v>
      </c>
      <c r="E490" s="55" t="s">
        <v>2</v>
      </c>
      <c r="F490" s="63"/>
      <c r="J490" s="58"/>
      <c r="K490" s="55"/>
      <c r="L490" s="55"/>
    </row>
    <row r="491" spans="1:12" ht="13.2">
      <c r="A491" s="55"/>
      <c r="B491" s="55" t="str">
        <f t="shared" si="1"/>
        <v>2023/12</v>
      </c>
      <c r="C491" s="66">
        <v>249</v>
      </c>
      <c r="D491" s="62">
        <v>45261</v>
      </c>
      <c r="E491" s="55" t="s">
        <v>5</v>
      </c>
      <c r="F491" s="63" t="s">
        <v>325</v>
      </c>
      <c r="J491" s="58"/>
      <c r="K491" s="55"/>
      <c r="L491" s="55"/>
    </row>
    <row r="492" spans="1:12" ht="13.2">
      <c r="A492" s="55"/>
      <c r="B492" s="55" t="str">
        <f t="shared" si="1"/>
        <v>2023/12</v>
      </c>
      <c r="C492" s="31">
        <v>4.9000000000000004</v>
      </c>
      <c r="D492" s="62">
        <v>45262</v>
      </c>
      <c r="E492" s="55" t="s">
        <v>9</v>
      </c>
      <c r="F492" s="63" t="s">
        <v>515</v>
      </c>
      <c r="J492" s="58"/>
      <c r="K492" s="55"/>
      <c r="L492" s="55"/>
    </row>
    <row r="493" spans="1:12" ht="13.2">
      <c r="A493" s="55"/>
      <c r="B493" s="55" t="str">
        <f t="shared" si="1"/>
        <v>2023/12</v>
      </c>
      <c r="C493" s="31">
        <v>30</v>
      </c>
      <c r="D493" s="62">
        <v>45263</v>
      </c>
      <c r="E493" s="55" t="s">
        <v>5</v>
      </c>
      <c r="F493" s="63" t="s">
        <v>357</v>
      </c>
      <c r="J493" s="58"/>
      <c r="K493" s="55"/>
      <c r="L493" s="55"/>
    </row>
    <row r="494" spans="1:12" ht="13.2">
      <c r="A494" s="55"/>
      <c r="B494" s="55" t="str">
        <f t="shared" si="1"/>
        <v>2023/12</v>
      </c>
      <c r="C494" s="31">
        <f>26+186+55.15</f>
        <v>267.14999999999998</v>
      </c>
      <c r="D494" s="62">
        <v>45264</v>
      </c>
      <c r="E494" s="55" t="s">
        <v>9</v>
      </c>
      <c r="F494" s="63" t="s">
        <v>516</v>
      </c>
      <c r="J494" s="58"/>
      <c r="K494" s="55"/>
      <c r="L494" s="55"/>
    </row>
    <row r="495" spans="1:12" ht="13.2">
      <c r="A495" s="55"/>
      <c r="B495" s="55" t="str">
        <f t="shared" si="1"/>
        <v>2023/12</v>
      </c>
      <c r="C495" s="31">
        <v>97.01</v>
      </c>
      <c r="D495" s="62">
        <v>45265</v>
      </c>
      <c r="E495" s="55" t="s">
        <v>2</v>
      </c>
      <c r="J495" s="58"/>
      <c r="K495" s="55"/>
      <c r="L495" s="55"/>
    </row>
    <row r="496" spans="1:12" ht="13.2">
      <c r="A496" s="55"/>
      <c r="B496" s="55" t="str">
        <f t="shared" si="1"/>
        <v>2023/12</v>
      </c>
      <c r="C496" s="31">
        <f>80+80+80</f>
        <v>240</v>
      </c>
      <c r="D496" s="62">
        <v>45266</v>
      </c>
      <c r="E496" s="55" t="s">
        <v>8</v>
      </c>
      <c r="F496" s="63" t="s">
        <v>517</v>
      </c>
      <c r="J496" s="58"/>
      <c r="K496" s="55"/>
      <c r="L496" s="55"/>
    </row>
    <row r="497" spans="1:12" ht="13.2">
      <c r="A497" s="55"/>
      <c r="B497" s="55" t="str">
        <f t="shared" si="1"/>
        <v>2023/12</v>
      </c>
      <c r="C497" s="31">
        <f>150+150+150</f>
        <v>450</v>
      </c>
      <c r="D497" s="62">
        <v>45267</v>
      </c>
      <c r="E497" s="55" t="s">
        <v>8</v>
      </c>
      <c r="F497" s="63" t="s">
        <v>502</v>
      </c>
      <c r="J497" s="58"/>
      <c r="K497" s="55"/>
      <c r="L497" s="55"/>
    </row>
    <row r="498" spans="1:12" ht="13.2">
      <c r="A498" s="55"/>
      <c r="B498" s="55" t="str">
        <f t="shared" si="1"/>
        <v>2023/12</v>
      </c>
      <c r="C498" s="31">
        <v>99.99</v>
      </c>
      <c r="D498" s="62">
        <v>45268</v>
      </c>
      <c r="E498" s="55" t="s">
        <v>9</v>
      </c>
      <c r="F498" s="63" t="s">
        <v>433</v>
      </c>
      <c r="J498" s="58"/>
      <c r="K498" s="55"/>
      <c r="L498" s="55"/>
    </row>
    <row r="499" spans="1:12" ht="13.2">
      <c r="A499" s="55"/>
      <c r="B499" s="55" t="str">
        <f t="shared" si="1"/>
        <v>2023/12</v>
      </c>
      <c r="C499" s="31">
        <f>3000+681.26</f>
        <v>3681.26</v>
      </c>
      <c r="D499" s="62">
        <v>45269</v>
      </c>
      <c r="E499" s="55" t="s">
        <v>7</v>
      </c>
      <c r="F499" s="63" t="s">
        <v>518</v>
      </c>
      <c r="J499" s="58"/>
      <c r="K499" s="55"/>
      <c r="L499" s="55"/>
    </row>
    <row r="500" spans="1:12" ht="13.2">
      <c r="A500" s="55"/>
      <c r="B500" s="55" t="str">
        <f t="shared" si="1"/>
        <v>2023/12</v>
      </c>
      <c r="C500" s="31">
        <v>163.85</v>
      </c>
      <c r="D500" s="62">
        <v>45270</v>
      </c>
      <c r="E500" s="55" t="s">
        <v>9</v>
      </c>
      <c r="F500" s="63" t="s">
        <v>445</v>
      </c>
      <c r="J500" s="58"/>
      <c r="K500" s="55"/>
      <c r="L500" s="55"/>
    </row>
    <row r="501" spans="1:12" ht="13.2">
      <c r="A501" s="55"/>
      <c r="B501" s="55" t="str">
        <f t="shared" si="1"/>
        <v>2023/12</v>
      </c>
      <c r="C501" s="31">
        <v>1080</v>
      </c>
      <c r="D501" s="62">
        <v>45271</v>
      </c>
      <c r="E501" s="55" t="s">
        <v>9</v>
      </c>
      <c r="F501" s="63" t="s">
        <v>519</v>
      </c>
      <c r="J501" s="58"/>
      <c r="K501" s="55"/>
      <c r="L501" s="55"/>
    </row>
    <row r="502" spans="1:12" ht="13.2">
      <c r="A502" s="55"/>
      <c r="B502" s="55" t="str">
        <f t="shared" si="1"/>
        <v>2023/12</v>
      </c>
      <c r="C502" s="31">
        <v>48</v>
      </c>
      <c r="D502" s="62">
        <v>45272</v>
      </c>
      <c r="E502" s="55" t="s">
        <v>9</v>
      </c>
      <c r="F502" s="63" t="s">
        <v>372</v>
      </c>
      <c r="J502" s="58"/>
      <c r="K502" s="55"/>
      <c r="L502" s="55"/>
    </row>
    <row r="503" spans="1:12" ht="13.2">
      <c r="A503" s="55"/>
      <c r="B503" s="55" t="str">
        <f t="shared" si="1"/>
        <v>2023/12</v>
      </c>
      <c r="C503" s="31">
        <v>215</v>
      </c>
      <c r="D503" s="62">
        <v>45273</v>
      </c>
      <c r="E503" s="55" t="s">
        <v>6</v>
      </c>
      <c r="F503" s="63" t="s">
        <v>327</v>
      </c>
      <c r="J503" s="58"/>
      <c r="K503" s="55"/>
      <c r="L503" s="55"/>
    </row>
    <row r="504" spans="1:12" ht="13.2">
      <c r="A504" s="55"/>
      <c r="B504" s="55" t="str">
        <f t="shared" si="1"/>
        <v>2023/12</v>
      </c>
      <c r="C504" s="31">
        <v>23.62</v>
      </c>
      <c r="D504" s="62">
        <v>45274</v>
      </c>
      <c r="E504" s="55" t="s">
        <v>6</v>
      </c>
      <c r="F504" s="63" t="s">
        <v>492</v>
      </c>
      <c r="J504" s="58"/>
      <c r="K504" s="55"/>
      <c r="L504" s="55"/>
    </row>
    <row r="505" spans="1:12" ht="13.2">
      <c r="A505" s="55"/>
      <c r="B505" s="55" t="str">
        <f t="shared" si="1"/>
        <v>2023/12</v>
      </c>
      <c r="C505" s="31">
        <v>40</v>
      </c>
      <c r="D505" s="62">
        <v>45280</v>
      </c>
      <c r="E505" s="55" t="s">
        <v>9</v>
      </c>
      <c r="F505" s="63" t="s">
        <v>457</v>
      </c>
      <c r="J505" s="58"/>
      <c r="K505" s="55"/>
      <c r="L505" s="55"/>
    </row>
    <row r="506" spans="1:12" ht="13.2">
      <c r="A506" s="55"/>
      <c r="B506" s="55" t="str">
        <f t="shared" si="1"/>
        <v>2024/1</v>
      </c>
      <c r="C506" s="66">
        <v>249</v>
      </c>
      <c r="D506" s="62">
        <v>45292</v>
      </c>
      <c r="E506" s="55" t="s">
        <v>5</v>
      </c>
      <c r="F506" s="63" t="s">
        <v>347</v>
      </c>
      <c r="J506" s="58"/>
      <c r="K506" s="55"/>
      <c r="L506" s="55"/>
    </row>
    <row r="507" spans="1:12" ht="13.2">
      <c r="A507" s="55"/>
      <c r="B507" s="55" t="str">
        <f t="shared" si="1"/>
        <v>2024/1</v>
      </c>
      <c r="C507" s="31">
        <v>215</v>
      </c>
      <c r="D507" s="62">
        <v>45293</v>
      </c>
      <c r="E507" s="55" t="s">
        <v>6</v>
      </c>
      <c r="F507" s="63" t="s">
        <v>327</v>
      </c>
      <c r="J507" s="58"/>
      <c r="K507" s="55"/>
      <c r="L507" s="55"/>
    </row>
    <row r="508" spans="1:12" ht="13.2">
      <c r="A508" s="55"/>
      <c r="B508" s="55" t="str">
        <f t="shared" si="1"/>
        <v>2024/1</v>
      </c>
      <c r="C508" s="31">
        <v>3200</v>
      </c>
      <c r="D508" s="62">
        <v>45294</v>
      </c>
      <c r="E508" s="55" t="s">
        <v>7</v>
      </c>
      <c r="J508" s="58"/>
      <c r="K508" s="55"/>
      <c r="L508" s="55"/>
    </row>
    <row r="509" spans="1:12" ht="13.2">
      <c r="A509" s="55"/>
      <c r="B509" s="55" t="str">
        <f t="shared" si="1"/>
        <v>2024/1</v>
      </c>
      <c r="C509" s="31">
        <v>695.11</v>
      </c>
      <c r="D509" s="62">
        <v>45295</v>
      </c>
      <c r="E509" s="55" t="s">
        <v>7</v>
      </c>
      <c r="J509" s="58"/>
      <c r="K509" s="55"/>
      <c r="L509" s="55"/>
    </row>
    <row r="510" spans="1:12" ht="13.2">
      <c r="A510" s="55"/>
      <c r="B510" s="55" t="str">
        <f t="shared" si="1"/>
        <v>2024/1</v>
      </c>
      <c r="C510" s="31">
        <v>171.06</v>
      </c>
      <c r="D510" s="62">
        <v>45296</v>
      </c>
      <c r="E510" s="55" t="s">
        <v>9</v>
      </c>
      <c r="F510" s="63" t="s">
        <v>520</v>
      </c>
      <c r="J510" s="58"/>
      <c r="K510" s="55"/>
      <c r="L510" s="55"/>
    </row>
    <row r="511" spans="1:12" ht="13.2">
      <c r="A511" s="55"/>
      <c r="B511" s="55" t="str">
        <f t="shared" si="1"/>
        <v>2024/1</v>
      </c>
      <c r="C511" s="31">
        <v>102.05</v>
      </c>
      <c r="D511" s="62">
        <v>45297</v>
      </c>
      <c r="E511" s="55" t="s">
        <v>9</v>
      </c>
      <c r="F511" s="63" t="s">
        <v>433</v>
      </c>
      <c r="J511" s="58"/>
      <c r="K511" s="55"/>
      <c r="L511" s="55"/>
    </row>
    <row r="512" spans="1:12" ht="13.2">
      <c r="A512" s="55"/>
      <c r="B512" s="55" t="str">
        <f t="shared" si="1"/>
        <v>2024/1</v>
      </c>
      <c r="C512" s="31">
        <f>100+100+100</f>
        <v>300</v>
      </c>
      <c r="D512" s="62">
        <v>45298</v>
      </c>
      <c r="E512" s="55" t="s">
        <v>8</v>
      </c>
      <c r="F512" s="63" t="s">
        <v>521</v>
      </c>
      <c r="J512" s="58"/>
      <c r="K512" s="55"/>
      <c r="L512" s="55"/>
    </row>
    <row r="513" spans="1:12" ht="13.2">
      <c r="A513" s="55"/>
      <c r="B513" s="55" t="str">
        <f t="shared" ref="B513:B767" si="2">IF(D513&gt;0, CONCATENATE(YEAR(D513),"/",MONTH(D513)),"")</f>
        <v>2024/1</v>
      </c>
      <c r="C513" s="31">
        <v>4.9000000000000004</v>
      </c>
      <c r="D513" s="62">
        <v>45299</v>
      </c>
      <c r="E513" s="55" t="s">
        <v>9</v>
      </c>
      <c r="F513" s="63" t="s">
        <v>506</v>
      </c>
      <c r="J513" s="58"/>
      <c r="K513" s="55"/>
      <c r="L513" s="55"/>
    </row>
    <row r="514" spans="1:12" ht="13.2">
      <c r="A514" s="55"/>
      <c r="B514" s="55" t="str">
        <f t="shared" si="2"/>
        <v>2024/1</v>
      </c>
      <c r="C514" s="31">
        <v>20</v>
      </c>
      <c r="D514" s="62">
        <v>45304</v>
      </c>
      <c r="E514" s="55" t="s">
        <v>5</v>
      </c>
      <c r="F514" s="63" t="s">
        <v>413</v>
      </c>
      <c r="J514" s="58"/>
      <c r="K514" s="55"/>
      <c r="L514" s="55"/>
    </row>
    <row r="515" spans="1:12" ht="13.2">
      <c r="A515" s="55"/>
      <c r="B515" s="55" t="str">
        <f t="shared" si="2"/>
        <v>2024/1</v>
      </c>
      <c r="C515" s="31">
        <f>150+150</f>
        <v>300</v>
      </c>
      <c r="D515" s="62">
        <v>45309</v>
      </c>
      <c r="E515" s="55" t="s">
        <v>8</v>
      </c>
      <c r="F515" s="63" t="s">
        <v>522</v>
      </c>
      <c r="J515" s="58"/>
      <c r="K515" s="55"/>
      <c r="L515" s="55"/>
    </row>
    <row r="516" spans="1:12" ht="13.2">
      <c r="A516" s="55"/>
      <c r="B516" s="55" t="str">
        <f t="shared" si="2"/>
        <v>2024/1</v>
      </c>
      <c r="C516" s="31">
        <f>40+50</f>
        <v>90</v>
      </c>
      <c r="D516" s="62">
        <v>45309</v>
      </c>
      <c r="E516" s="55" t="s">
        <v>9</v>
      </c>
      <c r="F516" s="63" t="s">
        <v>457</v>
      </c>
      <c r="J516" s="58"/>
      <c r="K516" s="55"/>
      <c r="L516" s="55"/>
    </row>
    <row r="517" spans="1:12" ht="13.2">
      <c r="A517" s="55"/>
      <c r="B517" s="55" t="str">
        <f t="shared" si="2"/>
        <v>2024/1</v>
      </c>
      <c r="C517" s="31">
        <v>49.07</v>
      </c>
      <c r="D517" s="62">
        <v>45309</v>
      </c>
      <c r="E517" s="55" t="s">
        <v>9</v>
      </c>
      <c r="F517" s="63" t="s">
        <v>372</v>
      </c>
      <c r="J517" s="58"/>
      <c r="K517" s="55"/>
      <c r="L517" s="55"/>
    </row>
    <row r="518" spans="1:12" ht="13.2">
      <c r="A518" s="55"/>
      <c r="B518" s="55" t="str">
        <f t="shared" si="2"/>
        <v>2024/1</v>
      </c>
      <c r="C518" s="31">
        <v>36</v>
      </c>
      <c r="D518" s="62">
        <v>45313</v>
      </c>
      <c r="E518" s="55" t="s">
        <v>9</v>
      </c>
      <c r="F518" s="63" t="s">
        <v>523</v>
      </c>
      <c r="J518" s="58"/>
      <c r="K518" s="55"/>
      <c r="L518" s="55"/>
    </row>
    <row r="519" spans="1:12" ht="13.2">
      <c r="A519" s="55"/>
      <c r="B519" s="55" t="str">
        <f t="shared" si="2"/>
        <v>2024/1</v>
      </c>
      <c r="C519" s="31">
        <f>23.64+7.56</f>
        <v>31.2</v>
      </c>
      <c r="D519" s="62">
        <v>45314</v>
      </c>
      <c r="E519" s="55" t="s">
        <v>6</v>
      </c>
      <c r="F519" s="63" t="s">
        <v>524</v>
      </c>
      <c r="J519" s="58"/>
      <c r="K519" s="55"/>
      <c r="L519" s="55"/>
    </row>
    <row r="520" spans="1:12" ht="13.2">
      <c r="A520" s="55"/>
      <c r="B520" s="55" t="str">
        <f t="shared" si="2"/>
        <v>2024/1</v>
      </c>
      <c r="C520" s="31">
        <v>32</v>
      </c>
      <c r="D520" s="62">
        <v>45315</v>
      </c>
      <c r="E520" s="55" t="s">
        <v>3</v>
      </c>
      <c r="F520" s="63" t="s">
        <v>525</v>
      </c>
      <c r="J520" s="58"/>
      <c r="K520" s="55"/>
      <c r="L520" s="55"/>
    </row>
    <row r="521" spans="1:12" ht="13.2">
      <c r="A521" s="55"/>
      <c r="B521" s="55" t="str">
        <f t="shared" si="2"/>
        <v>2024/1</v>
      </c>
      <c r="C521" s="31">
        <v>997</v>
      </c>
      <c r="D521" s="62">
        <v>45315</v>
      </c>
      <c r="E521" s="55" t="s">
        <v>4</v>
      </c>
      <c r="F521" s="63" t="s">
        <v>526</v>
      </c>
      <c r="J521" s="58"/>
      <c r="K521" s="55"/>
      <c r="L521" s="55"/>
    </row>
    <row r="522" spans="1:12" ht="13.2">
      <c r="A522" s="55"/>
      <c r="B522" s="55" t="str">
        <f t="shared" si="2"/>
        <v>2024/1</v>
      </c>
      <c r="C522" s="31">
        <v>11.18</v>
      </c>
      <c r="D522" s="62">
        <v>45316</v>
      </c>
      <c r="E522" s="55" t="s">
        <v>9</v>
      </c>
      <c r="F522" s="63" t="s">
        <v>527</v>
      </c>
      <c r="J522" s="58"/>
      <c r="K522" s="55"/>
      <c r="L522" s="55"/>
    </row>
    <row r="523" spans="1:12" ht="13.2">
      <c r="A523" s="55"/>
      <c r="B523" s="55" t="str">
        <f t="shared" si="2"/>
        <v>2024/1</v>
      </c>
      <c r="C523" s="31">
        <v>50</v>
      </c>
      <c r="D523" s="62">
        <v>45317</v>
      </c>
      <c r="E523" s="55" t="s">
        <v>2</v>
      </c>
      <c r="F523" s="63"/>
      <c r="J523" s="58"/>
      <c r="K523" s="55"/>
      <c r="L523" s="55"/>
    </row>
    <row r="524" spans="1:12" ht="13.2">
      <c r="A524" s="55"/>
      <c r="B524" s="55" t="str">
        <f t="shared" si="2"/>
        <v>2024/2</v>
      </c>
      <c r="C524" s="66">
        <f>150+150+150+150</f>
        <v>600</v>
      </c>
      <c r="D524" s="62">
        <v>45323</v>
      </c>
      <c r="E524" s="55" t="s">
        <v>8</v>
      </c>
      <c r="F524" s="63" t="s">
        <v>528</v>
      </c>
      <c r="J524" s="58"/>
      <c r="K524" s="55"/>
      <c r="L524" s="55"/>
    </row>
    <row r="525" spans="1:12" ht="13.2">
      <c r="A525" s="55"/>
      <c r="B525" s="55" t="str">
        <f t="shared" si="2"/>
        <v>2024/2</v>
      </c>
      <c r="C525" s="31">
        <f>16.38+5.56+8.19</f>
        <v>30.129999999999995</v>
      </c>
      <c r="D525" s="62">
        <v>45324</v>
      </c>
      <c r="E525" s="55" t="s">
        <v>6</v>
      </c>
      <c r="F525" s="63" t="s">
        <v>524</v>
      </c>
      <c r="J525" s="58"/>
      <c r="K525" s="55"/>
      <c r="L525" s="55"/>
    </row>
    <row r="526" spans="1:12" ht="13.2">
      <c r="A526" s="55"/>
      <c r="B526" s="55" t="str">
        <f t="shared" si="2"/>
        <v>2024/2</v>
      </c>
      <c r="C526" s="31">
        <v>3200</v>
      </c>
      <c r="D526" s="62">
        <v>45327</v>
      </c>
      <c r="E526" s="55" t="s">
        <v>7</v>
      </c>
      <c r="F526" s="63"/>
      <c r="J526" s="58"/>
      <c r="K526" s="55"/>
      <c r="L526" s="55"/>
    </row>
    <row r="527" spans="1:12" ht="13.2">
      <c r="A527" s="55"/>
      <c r="B527" s="55" t="str">
        <f t="shared" si="2"/>
        <v>2024/2</v>
      </c>
      <c r="C527" s="31">
        <v>215</v>
      </c>
      <c r="D527" s="62">
        <v>45328</v>
      </c>
      <c r="E527" s="55" t="s">
        <v>6</v>
      </c>
      <c r="F527" s="63" t="s">
        <v>364</v>
      </c>
      <c r="J527" s="58"/>
      <c r="K527" s="55"/>
      <c r="L527" s="55"/>
    </row>
    <row r="528" spans="1:12" ht="13.2">
      <c r="A528" s="55"/>
      <c r="B528" s="55" t="str">
        <f t="shared" si="2"/>
        <v>2024/2</v>
      </c>
      <c r="C528" s="31">
        <v>98.83</v>
      </c>
      <c r="D528" s="62">
        <v>45330</v>
      </c>
      <c r="E528" s="55" t="s">
        <v>9</v>
      </c>
      <c r="F528" s="63" t="s">
        <v>520</v>
      </c>
      <c r="J528" s="58"/>
      <c r="K528" s="55"/>
      <c r="L528" s="55"/>
    </row>
    <row r="529" spans="1:12" ht="13.2">
      <c r="A529" s="55"/>
      <c r="B529" s="55" t="str">
        <f t="shared" si="2"/>
        <v>2024/2</v>
      </c>
      <c r="C529" s="31">
        <f>40+8.93</f>
        <v>48.93</v>
      </c>
      <c r="D529" s="62">
        <v>45331</v>
      </c>
      <c r="E529" s="55" t="s">
        <v>9</v>
      </c>
      <c r="F529" s="63" t="s">
        <v>457</v>
      </c>
      <c r="J529" s="58"/>
      <c r="K529" s="55"/>
      <c r="L529" s="55"/>
    </row>
    <row r="530" spans="1:12" ht="13.2">
      <c r="A530" s="55"/>
      <c r="B530" s="55" t="str">
        <f t="shared" si="2"/>
        <v>2024/2</v>
      </c>
      <c r="C530" s="31">
        <v>205</v>
      </c>
      <c r="D530" s="62">
        <v>45332</v>
      </c>
      <c r="E530" s="55" t="s">
        <v>10</v>
      </c>
      <c r="F530" s="63" t="s">
        <v>529</v>
      </c>
      <c r="J530" s="58"/>
      <c r="K530" s="55"/>
      <c r="L530" s="55"/>
    </row>
    <row r="531" spans="1:12" ht="13.2">
      <c r="A531" s="55"/>
      <c r="B531" s="55" t="str">
        <f t="shared" si="2"/>
        <v>2024/2</v>
      </c>
      <c r="C531" s="31">
        <v>25</v>
      </c>
      <c r="D531" s="62">
        <v>45335</v>
      </c>
      <c r="E531" s="55" t="s">
        <v>5</v>
      </c>
      <c r="F531" s="63" t="s">
        <v>357</v>
      </c>
      <c r="J531" s="58"/>
      <c r="K531" s="55"/>
      <c r="L531" s="55"/>
    </row>
    <row r="532" spans="1:12" ht="13.2">
      <c r="A532" s="55"/>
      <c r="B532" s="55" t="str">
        <f t="shared" si="2"/>
        <v>2024/2</v>
      </c>
      <c r="C532" s="31">
        <v>677.01</v>
      </c>
      <c r="D532" s="62">
        <v>45336</v>
      </c>
      <c r="E532" s="55" t="s">
        <v>7</v>
      </c>
      <c r="F532" s="63" t="s">
        <v>530</v>
      </c>
      <c r="J532" s="58"/>
      <c r="K532" s="55"/>
      <c r="L532" s="55"/>
    </row>
    <row r="533" spans="1:12" ht="13.2">
      <c r="A533" s="55"/>
      <c r="B533" s="55" t="str">
        <f t="shared" si="2"/>
        <v>2024/2</v>
      </c>
      <c r="C533" s="31">
        <v>48</v>
      </c>
      <c r="D533" s="62">
        <v>45336</v>
      </c>
      <c r="E533" s="55" t="s">
        <v>9</v>
      </c>
      <c r="F533" s="63" t="s">
        <v>372</v>
      </c>
      <c r="J533" s="58"/>
      <c r="K533" s="55"/>
      <c r="L533" s="55"/>
    </row>
    <row r="534" spans="1:12" ht="13.2">
      <c r="A534" s="55"/>
      <c r="B534" s="55" t="str">
        <f t="shared" si="2"/>
        <v>2024/2</v>
      </c>
      <c r="C534" s="31">
        <v>602.6</v>
      </c>
      <c r="D534" s="62">
        <v>45337</v>
      </c>
      <c r="E534" s="55" t="s">
        <v>6</v>
      </c>
      <c r="F534" s="63" t="s">
        <v>531</v>
      </c>
      <c r="J534" s="58"/>
      <c r="K534" s="55"/>
      <c r="L534" s="55"/>
    </row>
    <row r="535" spans="1:12" ht="13.2">
      <c r="A535" s="55"/>
      <c r="B535" s="55" t="str">
        <f t="shared" si="2"/>
        <v>2024/2</v>
      </c>
      <c r="C535" s="31">
        <v>100</v>
      </c>
      <c r="D535" s="62">
        <v>45338</v>
      </c>
      <c r="E535" s="55" t="s">
        <v>2</v>
      </c>
      <c r="J535" s="58"/>
      <c r="K535" s="55"/>
      <c r="L535" s="55"/>
    </row>
    <row r="536" spans="1:12" ht="13.2">
      <c r="A536" s="55"/>
      <c r="B536" s="55" t="str">
        <f t="shared" si="2"/>
        <v>2024/2</v>
      </c>
      <c r="C536" s="31">
        <v>4.9000000000000004</v>
      </c>
      <c r="D536" s="62">
        <v>45339</v>
      </c>
      <c r="E536" s="55" t="s">
        <v>9</v>
      </c>
      <c r="F536" s="63" t="s">
        <v>532</v>
      </c>
      <c r="J536" s="58"/>
      <c r="K536" s="55"/>
      <c r="L536" s="55"/>
    </row>
    <row r="537" spans="1:12" ht="13.2">
      <c r="A537" s="55"/>
      <c r="B537" s="55" t="str">
        <f t="shared" si="2"/>
        <v>2024/2</v>
      </c>
      <c r="C537" s="31">
        <v>249</v>
      </c>
      <c r="D537" s="62">
        <v>45340</v>
      </c>
      <c r="E537" s="55" t="s">
        <v>5</v>
      </c>
      <c r="F537" s="63" t="s">
        <v>325</v>
      </c>
      <c r="J537" s="58"/>
      <c r="K537" s="55"/>
      <c r="L537" s="55"/>
    </row>
    <row r="538" spans="1:12" ht="13.2">
      <c r="A538" s="55"/>
      <c r="B538" s="55" t="str">
        <f t="shared" si="2"/>
        <v>2024/2</v>
      </c>
      <c r="C538" s="31">
        <v>102.26</v>
      </c>
      <c r="D538" s="62">
        <v>45341</v>
      </c>
      <c r="E538" s="55" t="s">
        <v>9</v>
      </c>
      <c r="F538" s="63" t="s">
        <v>433</v>
      </c>
      <c r="J538" s="58"/>
      <c r="K538" s="55"/>
      <c r="L538" s="55"/>
    </row>
    <row r="539" spans="1:12" ht="13.2">
      <c r="A539" s="55"/>
      <c r="B539" s="55" t="str">
        <f t="shared" si="2"/>
        <v>2024/2</v>
      </c>
      <c r="C539" s="31">
        <v>13.7</v>
      </c>
      <c r="D539" s="62">
        <v>45341</v>
      </c>
      <c r="E539" s="55" t="s">
        <v>9</v>
      </c>
      <c r="F539" s="63" t="s">
        <v>527</v>
      </c>
      <c r="J539" s="58"/>
      <c r="K539" s="55"/>
      <c r="L539" s="55"/>
    </row>
    <row r="540" spans="1:12" ht="13.2">
      <c r="A540" s="55"/>
      <c r="B540" s="55" t="str">
        <f t="shared" si="2"/>
        <v>2024/2</v>
      </c>
      <c r="C540" s="31">
        <v>54.7</v>
      </c>
      <c r="D540" s="62">
        <v>45341</v>
      </c>
      <c r="E540" s="55" t="s">
        <v>6</v>
      </c>
      <c r="F540" s="63" t="s">
        <v>533</v>
      </c>
      <c r="J540" s="58"/>
      <c r="K540" s="55"/>
      <c r="L540" s="55"/>
    </row>
    <row r="541" spans="1:12" ht="13.2">
      <c r="A541" s="55"/>
      <c r="B541" s="55" t="str">
        <f t="shared" si="2"/>
        <v>2024/2</v>
      </c>
      <c r="C541" s="31">
        <v>98.36</v>
      </c>
      <c r="D541" s="62">
        <v>45342</v>
      </c>
      <c r="E541" s="55" t="s">
        <v>7</v>
      </c>
      <c r="F541" s="63" t="s">
        <v>534</v>
      </c>
      <c r="J541" s="58"/>
      <c r="K541" s="55"/>
      <c r="L541" s="55"/>
    </row>
    <row r="542" spans="1:12" ht="13.2">
      <c r="A542" s="55"/>
      <c r="B542" s="55" t="str">
        <f t="shared" si="2"/>
        <v>2024/2</v>
      </c>
      <c r="C542" s="31">
        <v>200</v>
      </c>
      <c r="D542" s="62">
        <v>45345</v>
      </c>
      <c r="E542" s="55" t="s">
        <v>8</v>
      </c>
      <c r="F542" s="63" t="s">
        <v>535</v>
      </c>
      <c r="J542" s="58"/>
      <c r="K542" s="55"/>
      <c r="L542" s="55"/>
    </row>
    <row r="543" spans="1:12" ht="13.2">
      <c r="A543" s="55"/>
      <c r="B543" s="55" t="str">
        <f t="shared" si="2"/>
        <v>2024/3</v>
      </c>
      <c r="C543" s="66">
        <v>215</v>
      </c>
      <c r="D543" s="62">
        <v>45352</v>
      </c>
      <c r="E543" s="55" t="s">
        <v>6</v>
      </c>
      <c r="F543" s="63" t="s">
        <v>327</v>
      </c>
      <c r="J543" s="58"/>
      <c r="K543" s="75"/>
      <c r="L543" s="55"/>
    </row>
    <row r="544" spans="1:12" ht="13.2">
      <c r="A544" s="55"/>
      <c r="B544" s="55" t="str">
        <f t="shared" si="2"/>
        <v>2024/3</v>
      </c>
      <c r="C544" s="31">
        <v>3200</v>
      </c>
      <c r="D544" s="62">
        <v>45355</v>
      </c>
      <c r="E544" s="55" t="s">
        <v>7</v>
      </c>
      <c r="J544" s="58"/>
      <c r="K544" s="55"/>
      <c r="L544" s="55"/>
    </row>
    <row r="545" spans="1:12" ht="13.2">
      <c r="A545" s="55"/>
      <c r="B545" s="55" t="str">
        <f t="shared" si="2"/>
        <v>2024/3</v>
      </c>
      <c r="C545" s="31">
        <v>99.99</v>
      </c>
      <c r="D545" s="62">
        <v>45355</v>
      </c>
      <c r="E545" s="55" t="s">
        <v>9</v>
      </c>
      <c r="F545" s="63" t="s">
        <v>433</v>
      </c>
      <c r="J545" s="58"/>
      <c r="K545" s="75"/>
      <c r="L545" s="55"/>
    </row>
    <row r="546" spans="1:12" ht="13.2">
      <c r="A546" s="55"/>
      <c r="B546" s="55" t="str">
        <f t="shared" si="2"/>
        <v>2024/3</v>
      </c>
      <c r="C546" s="31">
        <v>400</v>
      </c>
      <c r="D546" s="62">
        <v>45357</v>
      </c>
      <c r="E546" s="55" t="s">
        <v>8</v>
      </c>
      <c r="F546" s="63" t="s">
        <v>536</v>
      </c>
      <c r="J546" s="58"/>
      <c r="K546" s="55"/>
      <c r="L546" s="55"/>
    </row>
    <row r="547" spans="1:12" ht="13.2">
      <c r="A547" s="55"/>
      <c r="B547" s="55" t="str">
        <f t="shared" si="2"/>
        <v>2024/3</v>
      </c>
      <c r="C547" s="31">
        <v>124.02</v>
      </c>
      <c r="D547" s="62">
        <v>45359</v>
      </c>
      <c r="E547" s="55" t="s">
        <v>9</v>
      </c>
      <c r="F547" s="63" t="s">
        <v>445</v>
      </c>
      <c r="J547" s="58"/>
      <c r="K547" s="55"/>
      <c r="L547" s="55"/>
    </row>
    <row r="548" spans="1:12" ht="13.2">
      <c r="A548" s="55"/>
      <c r="B548" s="55" t="str">
        <f t="shared" si="2"/>
        <v>2024/3</v>
      </c>
      <c r="C548" s="31">
        <v>40</v>
      </c>
      <c r="D548" s="62">
        <v>45359</v>
      </c>
      <c r="E548" s="55" t="s">
        <v>9</v>
      </c>
      <c r="F548" s="63" t="s">
        <v>457</v>
      </c>
      <c r="J548" s="58"/>
      <c r="K548" s="55"/>
      <c r="L548" s="55"/>
    </row>
    <row r="549" spans="1:12" ht="13.2">
      <c r="A549" s="55"/>
      <c r="B549" s="55" t="str">
        <f t="shared" si="2"/>
        <v>2024/3</v>
      </c>
      <c r="C549" s="31">
        <f>16.38 +8.19+8.19</f>
        <v>32.76</v>
      </c>
      <c r="D549" s="62">
        <v>45359</v>
      </c>
      <c r="E549" s="55" t="s">
        <v>6</v>
      </c>
      <c r="F549" s="63" t="s">
        <v>492</v>
      </c>
      <c r="J549" s="58"/>
      <c r="K549" s="55"/>
      <c r="L549" s="55"/>
    </row>
    <row r="550" spans="1:12" ht="13.2">
      <c r="A550" s="55"/>
      <c r="B550" s="55" t="str">
        <f t="shared" si="2"/>
        <v>2024/3</v>
      </c>
      <c r="C550" s="31">
        <v>677.01</v>
      </c>
      <c r="D550" s="62">
        <v>45360</v>
      </c>
      <c r="E550" s="55" t="s">
        <v>7</v>
      </c>
      <c r="F550" s="76"/>
      <c r="J550" s="58"/>
      <c r="K550" s="77"/>
      <c r="L550" s="55"/>
    </row>
    <row r="551" spans="1:12" ht="13.2">
      <c r="A551" s="55"/>
      <c r="B551" s="55" t="str">
        <f t="shared" si="2"/>
        <v>2024/3</v>
      </c>
      <c r="C551" s="31">
        <v>249</v>
      </c>
      <c r="D551" s="62">
        <v>45361</v>
      </c>
      <c r="E551" s="55" t="s">
        <v>5</v>
      </c>
      <c r="F551" s="63" t="s">
        <v>347</v>
      </c>
      <c r="J551" s="58"/>
      <c r="K551" s="55"/>
      <c r="L551" s="55"/>
    </row>
    <row r="552" spans="1:12" ht="13.2">
      <c r="A552" s="55"/>
      <c r="B552" s="55" t="str">
        <f t="shared" si="2"/>
        <v>2024/3</v>
      </c>
      <c r="C552" s="31">
        <v>98.87</v>
      </c>
      <c r="D552" s="62">
        <v>45362</v>
      </c>
      <c r="E552" s="55" t="s">
        <v>9</v>
      </c>
      <c r="F552" s="63" t="s">
        <v>537</v>
      </c>
      <c r="J552" s="58"/>
      <c r="K552" s="55"/>
      <c r="L552" s="55"/>
    </row>
    <row r="553" spans="1:12" ht="13.2">
      <c r="A553" s="55"/>
      <c r="B553" s="55" t="str">
        <f t="shared" si="2"/>
        <v>2024/3</v>
      </c>
      <c r="C553" s="31">
        <v>450</v>
      </c>
      <c r="D553" s="62">
        <v>45365</v>
      </c>
      <c r="E553" s="55" t="s">
        <v>8</v>
      </c>
      <c r="F553" s="63" t="s">
        <v>538</v>
      </c>
      <c r="J553" s="58"/>
      <c r="K553" s="55"/>
      <c r="L553" s="55"/>
    </row>
    <row r="554" spans="1:12" ht="13.2">
      <c r="A554" s="55"/>
      <c r="B554" s="55" t="str">
        <f t="shared" si="2"/>
        <v>2024/3</v>
      </c>
      <c r="C554" s="31">
        <v>48</v>
      </c>
      <c r="D554" s="62">
        <v>45366</v>
      </c>
      <c r="E554" s="55" t="s">
        <v>9</v>
      </c>
      <c r="F554" s="63" t="s">
        <v>539</v>
      </c>
      <c r="J554" s="58"/>
      <c r="K554" s="55"/>
      <c r="L554" s="55"/>
    </row>
    <row r="555" spans="1:12" ht="13.2">
      <c r="A555" s="55"/>
      <c r="B555" s="55" t="str">
        <f t="shared" si="2"/>
        <v>2024/3</v>
      </c>
      <c r="C555" s="31">
        <v>98.26</v>
      </c>
      <c r="D555" s="62">
        <v>45366</v>
      </c>
      <c r="E555" s="55" t="s">
        <v>7</v>
      </c>
      <c r="F555" s="63" t="s">
        <v>540</v>
      </c>
      <c r="J555" s="58"/>
      <c r="K555" s="55"/>
      <c r="L555" s="55"/>
    </row>
    <row r="556" spans="1:12" ht="13.2">
      <c r="A556" s="55"/>
      <c r="B556" s="55" t="str">
        <f t="shared" si="2"/>
        <v>2024/3</v>
      </c>
      <c r="C556" s="31">
        <v>40</v>
      </c>
      <c r="D556" s="62">
        <v>45370</v>
      </c>
      <c r="E556" s="55" t="s">
        <v>9</v>
      </c>
      <c r="F556" s="63" t="s">
        <v>541</v>
      </c>
      <c r="J556" s="58"/>
      <c r="K556" s="55"/>
      <c r="L556" s="55"/>
    </row>
    <row r="557" spans="1:12" ht="13.2">
      <c r="A557" s="55"/>
      <c r="B557" s="55" t="str">
        <f t="shared" si="2"/>
        <v>2024/3</v>
      </c>
      <c r="C557" s="31">
        <v>47.81</v>
      </c>
      <c r="D557" s="62">
        <v>45371</v>
      </c>
      <c r="E557" s="55" t="s">
        <v>6</v>
      </c>
      <c r="F557" s="63" t="s">
        <v>542</v>
      </c>
      <c r="J557" s="58"/>
      <c r="K557" s="55"/>
      <c r="L557" s="55"/>
    </row>
    <row r="558" spans="1:12" ht="13.2">
      <c r="A558" s="55"/>
      <c r="B558" s="55" t="str">
        <f t="shared" si="2"/>
        <v>2024/3</v>
      </c>
      <c r="C558" s="31">
        <v>10.78</v>
      </c>
      <c r="D558" s="62">
        <v>45372</v>
      </c>
      <c r="E558" s="55" t="s">
        <v>9</v>
      </c>
      <c r="F558" s="63" t="s">
        <v>543</v>
      </c>
      <c r="J558" s="58"/>
      <c r="K558" s="55"/>
      <c r="L558" s="55"/>
    </row>
    <row r="559" spans="1:12" ht="13.2">
      <c r="A559" s="55"/>
      <c r="B559" s="55" t="str">
        <f t="shared" si="2"/>
        <v>2024/3</v>
      </c>
      <c r="C559" s="31">
        <v>50</v>
      </c>
      <c r="D559" s="62">
        <v>45373</v>
      </c>
      <c r="E559" s="55" t="s">
        <v>2</v>
      </c>
      <c r="J559" s="58"/>
      <c r="K559" s="55"/>
      <c r="L559" s="55"/>
    </row>
    <row r="560" spans="1:12" ht="13.2">
      <c r="A560" s="55"/>
      <c r="B560" s="55" t="str">
        <f t="shared" si="2"/>
        <v>2024/3</v>
      </c>
      <c r="C560" s="31">
        <v>34</v>
      </c>
      <c r="D560" s="62">
        <v>45375</v>
      </c>
      <c r="E560" s="55" t="s">
        <v>9</v>
      </c>
      <c r="F560" s="63" t="s">
        <v>544</v>
      </c>
      <c r="J560" s="58"/>
      <c r="K560" s="55"/>
      <c r="L560" s="55"/>
    </row>
    <row r="561" spans="1:12" ht="13.2">
      <c r="A561" s="55"/>
      <c r="B561" s="55" t="str">
        <f t="shared" si="2"/>
        <v>2024/3</v>
      </c>
      <c r="C561" s="31">
        <v>49.9</v>
      </c>
      <c r="D561" s="62">
        <v>45376</v>
      </c>
      <c r="E561" s="55" t="s">
        <v>9</v>
      </c>
      <c r="F561" s="63" t="s">
        <v>545</v>
      </c>
      <c r="J561" s="58"/>
      <c r="K561" s="55"/>
      <c r="L561" s="55"/>
    </row>
    <row r="562" spans="1:12" ht="13.2">
      <c r="A562" s="55"/>
      <c r="B562" s="55" t="str">
        <f t="shared" si="2"/>
        <v>2024/4</v>
      </c>
      <c r="C562" s="66">
        <v>215</v>
      </c>
      <c r="D562" s="62">
        <v>45383</v>
      </c>
      <c r="E562" s="55" t="s">
        <v>6</v>
      </c>
      <c r="F562" s="63" t="s">
        <v>327</v>
      </c>
      <c r="J562" s="58"/>
      <c r="K562" s="55"/>
      <c r="L562" s="55"/>
    </row>
    <row r="563" spans="1:12" ht="13.2">
      <c r="A563" s="55"/>
      <c r="B563" s="55" t="str">
        <f t="shared" si="2"/>
        <v>2024/4</v>
      </c>
      <c r="C563" s="66">
        <v>249</v>
      </c>
      <c r="D563" s="62">
        <v>45384</v>
      </c>
      <c r="E563" s="55" t="s">
        <v>5</v>
      </c>
      <c r="F563" s="63" t="s">
        <v>347</v>
      </c>
      <c r="J563" s="58"/>
      <c r="K563" s="55"/>
      <c r="L563" s="55"/>
    </row>
    <row r="564" spans="1:12" ht="13.2">
      <c r="A564" s="55"/>
      <c r="B564" s="55" t="str">
        <f t="shared" si="2"/>
        <v>2024/4</v>
      </c>
      <c r="C564" s="66">
        <v>200</v>
      </c>
      <c r="D564" s="62">
        <v>45384</v>
      </c>
      <c r="E564" s="55" t="s">
        <v>8</v>
      </c>
      <c r="F564" s="63" t="s">
        <v>546</v>
      </c>
      <c r="J564" s="58"/>
      <c r="K564" s="55"/>
      <c r="L564" s="55"/>
    </row>
    <row r="565" spans="1:12" ht="13.2">
      <c r="A565" s="55"/>
      <c r="B565" s="55" t="str">
        <f t="shared" si="2"/>
        <v>2024/4</v>
      </c>
      <c r="C565" s="31">
        <v>164.87</v>
      </c>
      <c r="D565" s="62">
        <v>45384</v>
      </c>
      <c r="E565" s="55" t="s">
        <v>9</v>
      </c>
      <c r="F565" s="63" t="s">
        <v>547</v>
      </c>
      <c r="J565" s="58"/>
      <c r="K565" s="55"/>
      <c r="L565" s="55"/>
    </row>
    <row r="566" spans="1:12" ht="13.2">
      <c r="A566" s="55"/>
      <c r="B566" s="55" t="str">
        <f t="shared" si="2"/>
        <v>2024/4</v>
      </c>
      <c r="C566" s="31">
        <v>99.99</v>
      </c>
      <c r="D566" s="62">
        <v>45384</v>
      </c>
      <c r="E566" s="55" t="s">
        <v>9</v>
      </c>
      <c r="F566" s="63" t="s">
        <v>433</v>
      </c>
      <c r="J566" s="58"/>
      <c r="K566" s="55"/>
      <c r="L566" s="55"/>
    </row>
    <row r="567" spans="1:12" ht="13.2">
      <c r="A567" s="55"/>
      <c r="B567" s="55" t="str">
        <f t="shared" si="2"/>
        <v>2024/4</v>
      </c>
      <c r="C567" s="31">
        <v>761.76</v>
      </c>
      <c r="D567" s="62">
        <v>45385</v>
      </c>
      <c r="E567" s="55" t="s">
        <v>7</v>
      </c>
      <c r="F567" s="63" t="s">
        <v>447</v>
      </c>
      <c r="J567" s="58"/>
      <c r="K567" s="55"/>
      <c r="L567" s="55"/>
    </row>
    <row r="568" spans="1:12" ht="13.2">
      <c r="A568" s="55"/>
      <c r="B568" s="55" t="str">
        <f t="shared" si="2"/>
        <v>2024/4</v>
      </c>
      <c r="C568" s="31">
        <v>3200</v>
      </c>
      <c r="D568" s="62">
        <v>45386</v>
      </c>
      <c r="E568" s="55" t="s">
        <v>7</v>
      </c>
      <c r="J568" s="58"/>
      <c r="K568" s="55"/>
      <c r="L568" s="55"/>
    </row>
    <row r="569" spans="1:12" ht="13.2">
      <c r="A569" s="55"/>
      <c r="B569" s="55" t="str">
        <f t="shared" si="2"/>
        <v>2024/4</v>
      </c>
      <c r="C569" s="31">
        <v>600</v>
      </c>
      <c r="D569" s="62">
        <v>45386</v>
      </c>
      <c r="E569" s="55" t="s">
        <v>8</v>
      </c>
      <c r="F569" s="63" t="s">
        <v>548</v>
      </c>
      <c r="J569" s="58"/>
      <c r="K569" s="55"/>
      <c r="L569" s="55"/>
    </row>
    <row r="570" spans="1:12" ht="13.2">
      <c r="A570" s="55"/>
      <c r="B570" s="55" t="str">
        <f t="shared" si="2"/>
        <v>2024/4</v>
      </c>
      <c r="C570" s="31">
        <v>80</v>
      </c>
      <c r="D570" s="62">
        <v>45387</v>
      </c>
      <c r="E570" s="55" t="s">
        <v>9</v>
      </c>
      <c r="F570" s="63" t="s">
        <v>549</v>
      </c>
      <c r="J570" s="58"/>
      <c r="K570" s="55"/>
      <c r="L570" s="55"/>
    </row>
    <row r="571" spans="1:12" ht="13.2">
      <c r="A571" s="55"/>
      <c r="B571" s="55" t="str">
        <f t="shared" si="2"/>
        <v>2024/4</v>
      </c>
      <c r="C571" s="31">
        <v>49.9</v>
      </c>
      <c r="D571" s="62">
        <v>45390</v>
      </c>
      <c r="E571" s="55" t="s">
        <v>9</v>
      </c>
      <c r="F571" s="63" t="s">
        <v>550</v>
      </c>
      <c r="J571" s="58"/>
      <c r="K571" s="55"/>
      <c r="L571" s="55"/>
    </row>
    <row r="572" spans="1:12" ht="13.2">
      <c r="A572" s="55"/>
      <c r="B572" s="55" t="str">
        <f t="shared" si="2"/>
        <v>2024/4</v>
      </c>
      <c r="C572" s="31">
        <v>216.62</v>
      </c>
      <c r="D572" s="62">
        <v>45396</v>
      </c>
      <c r="E572" s="55" t="s">
        <v>10</v>
      </c>
      <c r="F572" s="63" t="s">
        <v>551</v>
      </c>
      <c r="J572" s="58"/>
      <c r="K572" s="55"/>
      <c r="L572" s="55"/>
    </row>
    <row r="573" spans="1:12" ht="13.2">
      <c r="A573" s="55"/>
      <c r="B573" s="55" t="str">
        <f t="shared" si="2"/>
        <v>2024/4</v>
      </c>
      <c r="C573" s="31">
        <v>194.9</v>
      </c>
      <c r="D573" s="62">
        <v>45398</v>
      </c>
      <c r="E573" s="55" t="s">
        <v>9</v>
      </c>
      <c r="F573" s="63" t="s">
        <v>552</v>
      </c>
      <c r="J573" s="58"/>
      <c r="K573" s="55"/>
      <c r="L573" s="55"/>
    </row>
    <row r="574" spans="1:12" ht="13.2">
      <c r="A574" s="55"/>
      <c r="B574" s="55" t="str">
        <f t="shared" si="2"/>
        <v>2024/4</v>
      </c>
      <c r="C574" s="31">
        <v>234.35</v>
      </c>
      <c r="D574" s="62">
        <v>45398</v>
      </c>
      <c r="E574" s="55" t="s">
        <v>6</v>
      </c>
      <c r="F574" s="63" t="s">
        <v>553</v>
      </c>
      <c r="J574" s="58"/>
      <c r="K574" s="55"/>
      <c r="L574" s="55"/>
    </row>
    <row r="575" spans="1:12" ht="13.2">
      <c r="A575" s="55"/>
      <c r="B575" s="55" t="str">
        <f t="shared" si="2"/>
        <v>2024/4</v>
      </c>
      <c r="C575" s="31">
        <v>155.32</v>
      </c>
      <c r="D575" s="62">
        <v>45400</v>
      </c>
      <c r="E575" s="55" t="s">
        <v>6</v>
      </c>
      <c r="F575" s="63" t="s">
        <v>554</v>
      </c>
      <c r="J575" s="58"/>
      <c r="K575" s="55"/>
      <c r="L575" s="55"/>
    </row>
    <row r="576" spans="1:12" ht="13.2">
      <c r="A576" s="55"/>
      <c r="B576" s="55" t="str">
        <f t="shared" si="2"/>
        <v>2024/4</v>
      </c>
      <c r="C576" s="31">
        <v>3650</v>
      </c>
      <c r="D576" s="62">
        <v>45401</v>
      </c>
      <c r="E576" s="55" t="s">
        <v>10</v>
      </c>
      <c r="F576" s="63" t="s">
        <v>555</v>
      </c>
      <c r="J576" s="58"/>
      <c r="K576" s="55"/>
      <c r="L576" s="55"/>
    </row>
    <row r="577" spans="1:12" ht="13.2">
      <c r="A577" s="55"/>
      <c r="B577" s="55" t="str">
        <f t="shared" si="2"/>
        <v>2024/4</v>
      </c>
      <c r="C577" s="31">
        <v>98.26</v>
      </c>
      <c r="D577" s="62">
        <v>45401</v>
      </c>
      <c r="E577" s="55" t="s">
        <v>7</v>
      </c>
      <c r="F577" s="63" t="s">
        <v>556</v>
      </c>
      <c r="J577" s="58"/>
      <c r="K577" s="55"/>
      <c r="L577" s="55"/>
    </row>
    <row r="578" spans="1:12" ht="13.2">
      <c r="A578" s="55"/>
      <c r="B578" s="55" t="str">
        <f t="shared" si="2"/>
        <v>2024/4</v>
      </c>
      <c r="C578" s="31">
        <v>8.4499999999999993</v>
      </c>
      <c r="D578" s="62">
        <v>45407</v>
      </c>
      <c r="E578" s="55" t="s">
        <v>6</v>
      </c>
      <c r="F578" s="63" t="s">
        <v>492</v>
      </c>
      <c r="J578" s="58"/>
      <c r="K578" s="55"/>
      <c r="L578" s="55"/>
    </row>
    <row r="579" spans="1:12" ht="13.2">
      <c r="A579" s="55"/>
      <c r="B579" s="55" t="str">
        <f t="shared" si="2"/>
        <v>2024/4</v>
      </c>
      <c r="C579" s="31">
        <v>48</v>
      </c>
      <c r="D579" s="62">
        <v>45407</v>
      </c>
      <c r="E579" s="55" t="s">
        <v>9</v>
      </c>
      <c r="F579" s="63" t="s">
        <v>372</v>
      </c>
      <c r="J579" s="58"/>
      <c r="K579" s="75"/>
      <c r="L579" s="55"/>
    </row>
    <row r="580" spans="1:12" ht="13.2">
      <c r="A580" s="55"/>
      <c r="B580" s="55" t="str">
        <f t="shared" si="2"/>
        <v>2024/4</v>
      </c>
      <c r="C580" s="31">
        <v>91.02</v>
      </c>
      <c r="D580" s="62">
        <v>45408</v>
      </c>
      <c r="E580" s="55" t="s">
        <v>9</v>
      </c>
      <c r="F580" s="63" t="s">
        <v>557</v>
      </c>
      <c r="J580" s="58"/>
      <c r="K580" s="55"/>
      <c r="L580" s="55"/>
    </row>
    <row r="581" spans="1:12" ht="13.2">
      <c r="A581" s="55"/>
      <c r="B581" s="55" t="str">
        <f t="shared" si="2"/>
        <v>2024/4</v>
      </c>
      <c r="C581" s="31">
        <v>60</v>
      </c>
      <c r="D581" s="62">
        <v>45409</v>
      </c>
      <c r="E581" s="55" t="s">
        <v>2</v>
      </c>
      <c r="J581" s="58"/>
      <c r="K581" s="75"/>
      <c r="L581" s="55"/>
    </row>
    <row r="582" spans="1:12" ht="13.2">
      <c r="A582" s="55"/>
      <c r="B582" s="55" t="str">
        <f t="shared" si="2"/>
        <v>2024/5</v>
      </c>
      <c r="C582" s="66">
        <v>300</v>
      </c>
      <c r="D582" s="62">
        <v>45414</v>
      </c>
      <c r="E582" s="55" t="s">
        <v>8</v>
      </c>
      <c r="F582" s="2">
        <v>2.17</v>
      </c>
      <c r="J582" s="58"/>
      <c r="K582" s="55"/>
      <c r="L582" s="55"/>
    </row>
    <row r="583" spans="1:12" ht="13.2">
      <c r="A583" s="55"/>
      <c r="B583" s="55" t="str">
        <f t="shared" si="2"/>
        <v>2024/5</v>
      </c>
      <c r="C583" s="66">
        <v>249</v>
      </c>
      <c r="D583" s="62">
        <v>45415</v>
      </c>
      <c r="E583" s="55" t="s">
        <v>5</v>
      </c>
      <c r="F583" s="2" t="s">
        <v>347</v>
      </c>
      <c r="J583" s="58"/>
      <c r="K583" s="55"/>
      <c r="L583" s="55"/>
    </row>
    <row r="584" spans="1:12" ht="13.2">
      <c r="A584" s="55"/>
      <c r="B584" s="55" t="str">
        <f t="shared" si="2"/>
        <v>2024/5</v>
      </c>
      <c r="C584" s="66">
        <v>3200</v>
      </c>
      <c r="D584" s="62">
        <v>45416</v>
      </c>
      <c r="E584" s="55" t="s">
        <v>7</v>
      </c>
      <c r="F584" s="2"/>
      <c r="J584" s="58"/>
      <c r="K584" s="55"/>
      <c r="L584" s="55"/>
    </row>
    <row r="585" spans="1:12" ht="13.2">
      <c r="A585" s="55"/>
      <c r="B585" s="55" t="str">
        <f t="shared" si="2"/>
        <v>2024/5</v>
      </c>
      <c r="C585" s="31">
        <v>151.26</v>
      </c>
      <c r="D585" s="62">
        <v>45420</v>
      </c>
      <c r="E585" s="55" t="s">
        <v>9</v>
      </c>
      <c r="F585" s="63" t="s">
        <v>445</v>
      </c>
      <c r="J585" s="58"/>
      <c r="K585" s="55"/>
      <c r="L585" s="55"/>
    </row>
    <row r="586" spans="1:12" ht="13.2">
      <c r="A586" s="55"/>
      <c r="B586" s="55" t="str">
        <f t="shared" si="2"/>
        <v>2024/5</v>
      </c>
      <c r="C586" s="31">
        <v>200</v>
      </c>
      <c r="D586" s="62">
        <v>45421</v>
      </c>
      <c r="E586" s="55" t="s">
        <v>6</v>
      </c>
      <c r="F586" s="63" t="s">
        <v>327</v>
      </c>
      <c r="J586" s="58"/>
      <c r="K586" s="55"/>
      <c r="L586" s="55"/>
    </row>
    <row r="587" spans="1:12" ht="13.2">
      <c r="A587" s="55"/>
      <c r="B587" s="55" t="str">
        <f t="shared" si="2"/>
        <v>2024/5</v>
      </c>
      <c r="C587" s="31">
        <v>70</v>
      </c>
      <c r="D587" s="62">
        <v>45421</v>
      </c>
      <c r="E587" s="55" t="s">
        <v>2</v>
      </c>
      <c r="F587" s="63"/>
      <c r="J587" s="58"/>
      <c r="K587" s="55"/>
      <c r="L587" s="55"/>
    </row>
    <row r="588" spans="1:12" ht="13.2">
      <c r="A588" s="55"/>
      <c r="B588" s="55" t="str">
        <f t="shared" si="2"/>
        <v>2024/5</v>
      </c>
      <c r="C588" s="31">
        <v>753.26</v>
      </c>
      <c r="D588" s="62">
        <v>45422</v>
      </c>
      <c r="E588" s="55" t="s">
        <v>7</v>
      </c>
      <c r="J588" s="58"/>
      <c r="K588" s="55"/>
      <c r="L588" s="55"/>
    </row>
    <row r="589" spans="1:12" ht="13.2">
      <c r="A589" s="55"/>
      <c r="B589" s="55" t="str">
        <f t="shared" si="2"/>
        <v>2024/5</v>
      </c>
      <c r="C589" s="31">
        <v>99.99</v>
      </c>
      <c r="D589" s="62">
        <v>45422</v>
      </c>
      <c r="E589" s="55" t="s">
        <v>9</v>
      </c>
      <c r="F589" s="63" t="s">
        <v>558</v>
      </c>
      <c r="J589" s="58"/>
      <c r="K589" s="55"/>
      <c r="L589" s="55"/>
    </row>
    <row r="590" spans="1:12" ht="13.2">
      <c r="A590" s="55"/>
      <c r="B590" s="55" t="str">
        <f t="shared" si="2"/>
        <v>2024/5</v>
      </c>
      <c r="C590" s="31">
        <v>40</v>
      </c>
      <c r="D590" s="62">
        <v>45422</v>
      </c>
      <c r="E590" s="55" t="s">
        <v>9</v>
      </c>
      <c r="F590" s="63" t="s">
        <v>559</v>
      </c>
      <c r="J590" s="58"/>
      <c r="K590" s="77"/>
      <c r="L590" s="55"/>
    </row>
    <row r="591" spans="1:12" ht="13.2">
      <c r="A591" s="55"/>
      <c r="B591" s="55" t="str">
        <f t="shared" si="2"/>
        <v>2024/5</v>
      </c>
      <c r="C591" s="31">
        <v>49.9</v>
      </c>
      <c r="D591" s="62">
        <v>45422</v>
      </c>
      <c r="E591" s="55" t="s">
        <v>9</v>
      </c>
      <c r="F591" s="63" t="s">
        <v>545</v>
      </c>
      <c r="J591" s="58"/>
      <c r="K591" s="55"/>
      <c r="L591" s="55"/>
    </row>
    <row r="592" spans="1:12" ht="13.2">
      <c r="A592" s="55"/>
      <c r="B592" s="55" t="str">
        <f t="shared" si="2"/>
        <v>2024/5</v>
      </c>
      <c r="C592" s="31">
        <v>1700</v>
      </c>
      <c r="D592" s="62">
        <v>45423</v>
      </c>
      <c r="E592" s="55" t="s">
        <v>10</v>
      </c>
      <c r="F592" s="63" t="s">
        <v>560</v>
      </c>
      <c r="J592" s="58"/>
      <c r="K592" s="55"/>
      <c r="L592" s="55"/>
    </row>
    <row r="593" spans="1:12" ht="13.2">
      <c r="A593" s="55"/>
      <c r="B593" s="55" t="str">
        <f t="shared" si="2"/>
        <v>2024/5</v>
      </c>
      <c r="C593" s="31">
        <v>109.2</v>
      </c>
      <c r="D593" s="62">
        <v>45426</v>
      </c>
      <c r="E593" s="55" t="s">
        <v>6</v>
      </c>
      <c r="F593" s="63" t="s">
        <v>561</v>
      </c>
      <c r="J593" s="58"/>
      <c r="K593" s="55"/>
      <c r="L593" s="55"/>
    </row>
    <row r="594" spans="1:12" ht="13.2">
      <c r="A594" s="55"/>
      <c r="B594" s="55" t="str">
        <f t="shared" si="2"/>
        <v>2024/5</v>
      </c>
      <c r="C594" s="31">
        <v>49.07</v>
      </c>
      <c r="D594" s="62">
        <v>45427</v>
      </c>
      <c r="E594" s="55" t="s">
        <v>9</v>
      </c>
      <c r="F594" s="63" t="s">
        <v>354</v>
      </c>
      <c r="J594" s="58"/>
      <c r="K594" s="55"/>
      <c r="L594" s="55"/>
    </row>
    <row r="595" spans="1:12" ht="13.2">
      <c r="A595" s="55"/>
      <c r="B595" s="55" t="str">
        <f t="shared" si="2"/>
        <v>2024/5</v>
      </c>
      <c r="C595" s="31">
        <v>44.85</v>
      </c>
      <c r="D595" s="62">
        <v>45429</v>
      </c>
      <c r="E595" s="55" t="s">
        <v>9</v>
      </c>
      <c r="F595" s="63" t="s">
        <v>562</v>
      </c>
      <c r="J595" s="58"/>
      <c r="K595" s="55"/>
      <c r="L595" s="55"/>
    </row>
    <row r="596" spans="1:12" ht="13.2">
      <c r="A596" s="55"/>
      <c r="B596" s="55" t="str">
        <f t="shared" si="2"/>
        <v>2024/5</v>
      </c>
      <c r="C596" s="31">
        <v>214.88</v>
      </c>
      <c r="D596" s="62">
        <v>45433</v>
      </c>
      <c r="E596" s="55" t="s">
        <v>9</v>
      </c>
      <c r="F596" s="63" t="s">
        <v>509</v>
      </c>
      <c r="J596" s="58"/>
      <c r="K596" s="55"/>
      <c r="L596" s="55"/>
    </row>
    <row r="597" spans="1:12" ht="13.2">
      <c r="A597" s="55"/>
      <c r="B597" s="55" t="str">
        <f t="shared" si="2"/>
        <v>2024/5</v>
      </c>
      <c r="C597" s="31">
        <v>53.89</v>
      </c>
      <c r="D597" s="62">
        <v>45443</v>
      </c>
      <c r="E597" s="55" t="s">
        <v>9</v>
      </c>
      <c r="F597" s="63" t="s">
        <v>457</v>
      </c>
      <c r="J597" s="58"/>
      <c r="K597" s="55"/>
      <c r="L597" s="55"/>
    </row>
    <row r="598" spans="1:12" ht="13.2">
      <c r="A598" s="55"/>
      <c r="B598" s="55" t="str">
        <f t="shared" si="2"/>
        <v>2024/6</v>
      </c>
      <c r="C598" s="66">
        <v>69.78</v>
      </c>
      <c r="D598" s="62">
        <v>45446</v>
      </c>
      <c r="E598" s="55" t="s">
        <v>9</v>
      </c>
      <c r="F598" s="63" t="s">
        <v>563</v>
      </c>
      <c r="J598" s="58"/>
      <c r="K598" s="55"/>
      <c r="L598" s="55"/>
    </row>
    <row r="599" spans="1:12" ht="13.2">
      <c r="A599" s="55"/>
      <c r="B599" s="55" t="str">
        <f t="shared" si="2"/>
        <v>2024/6</v>
      </c>
      <c r="C599" s="66">
        <v>300</v>
      </c>
      <c r="D599" s="62">
        <v>45447</v>
      </c>
      <c r="E599" s="55" t="s">
        <v>8</v>
      </c>
      <c r="F599" s="63" t="s">
        <v>564</v>
      </c>
      <c r="J599" s="58"/>
      <c r="K599" s="55"/>
      <c r="L599" s="55"/>
    </row>
    <row r="600" spans="1:12" ht="13.2">
      <c r="A600" s="55"/>
      <c r="B600" s="55" t="str">
        <f t="shared" si="2"/>
        <v>2024/6</v>
      </c>
      <c r="C600" s="31">
        <v>99.99</v>
      </c>
      <c r="D600" s="62">
        <v>45447</v>
      </c>
      <c r="E600" s="55" t="s">
        <v>9</v>
      </c>
      <c r="F600" s="63" t="s">
        <v>433</v>
      </c>
      <c r="J600" s="58"/>
      <c r="K600" s="55"/>
      <c r="L600" s="55"/>
    </row>
    <row r="601" spans="1:12" ht="13.2">
      <c r="A601" s="55"/>
      <c r="B601" s="55" t="str">
        <f t="shared" si="2"/>
        <v>2024/6</v>
      </c>
      <c r="C601" s="31">
        <v>3200</v>
      </c>
      <c r="D601" s="62">
        <v>45448</v>
      </c>
      <c r="E601" s="55" t="s">
        <v>7</v>
      </c>
      <c r="J601" s="58"/>
      <c r="K601" s="55"/>
      <c r="L601" s="55"/>
    </row>
    <row r="602" spans="1:12" ht="13.2">
      <c r="A602" s="55"/>
      <c r="B602" s="55" t="str">
        <f t="shared" si="2"/>
        <v>2024/6</v>
      </c>
      <c r="C602" s="31">
        <v>450</v>
      </c>
      <c r="D602" s="62">
        <v>45449</v>
      </c>
      <c r="E602" s="55" t="s">
        <v>8</v>
      </c>
      <c r="F602" s="63" t="s">
        <v>565</v>
      </c>
      <c r="J602" s="58"/>
      <c r="K602" s="55"/>
      <c r="L602" s="55"/>
    </row>
    <row r="603" spans="1:12" ht="13.2">
      <c r="A603" s="55"/>
      <c r="B603" s="55" t="str">
        <f t="shared" si="2"/>
        <v>2024/6</v>
      </c>
      <c r="C603" s="31">
        <v>147.9</v>
      </c>
      <c r="D603" s="62">
        <v>45450</v>
      </c>
      <c r="E603" s="55" t="s">
        <v>9</v>
      </c>
      <c r="F603" s="63" t="s">
        <v>552</v>
      </c>
      <c r="J603" s="58"/>
      <c r="K603" s="55"/>
      <c r="L603" s="55"/>
    </row>
    <row r="604" spans="1:12" ht="13.2">
      <c r="A604" s="55"/>
      <c r="B604" s="55" t="str">
        <f t="shared" si="2"/>
        <v>2024/6</v>
      </c>
      <c r="C604" s="31">
        <v>753.26</v>
      </c>
      <c r="D604" s="62">
        <v>45453</v>
      </c>
      <c r="E604" s="55" t="s">
        <v>7</v>
      </c>
      <c r="J604" s="58"/>
      <c r="K604" s="55"/>
      <c r="L604" s="55"/>
    </row>
    <row r="605" spans="1:12" ht="13.2">
      <c r="A605" s="55"/>
      <c r="B605" s="55" t="str">
        <f t="shared" si="2"/>
        <v>2024/6</v>
      </c>
      <c r="C605" s="31">
        <v>200</v>
      </c>
      <c r="D605" s="62">
        <v>45453</v>
      </c>
      <c r="E605" s="55" t="s">
        <v>6</v>
      </c>
      <c r="F605" s="63" t="s">
        <v>364</v>
      </c>
      <c r="J605" s="58"/>
      <c r="K605" s="55"/>
      <c r="L605" s="55"/>
    </row>
    <row r="606" spans="1:12" ht="13.2">
      <c r="A606" s="55"/>
      <c r="B606" s="55" t="str">
        <f t="shared" si="2"/>
        <v>2024/6</v>
      </c>
      <c r="C606" s="31">
        <v>155.32</v>
      </c>
      <c r="D606" s="62">
        <v>45453</v>
      </c>
      <c r="E606" s="55" t="s">
        <v>6</v>
      </c>
      <c r="F606" s="63" t="s">
        <v>566</v>
      </c>
      <c r="J606" s="58"/>
      <c r="K606" s="55"/>
      <c r="L606" s="55"/>
    </row>
    <row r="607" spans="1:12" ht="13.2">
      <c r="A607" s="55"/>
      <c r="B607" s="55" t="str">
        <f t="shared" si="2"/>
        <v>2024/6</v>
      </c>
      <c r="C607" s="31">
        <v>286.01</v>
      </c>
      <c r="D607" s="62">
        <v>45454</v>
      </c>
      <c r="E607" s="55" t="s">
        <v>9</v>
      </c>
      <c r="F607" s="63" t="s">
        <v>547</v>
      </c>
      <c r="J607" s="58"/>
      <c r="K607" s="55"/>
      <c r="L607" s="55"/>
    </row>
    <row r="608" spans="1:12" ht="13.2">
      <c r="A608" s="55"/>
      <c r="B608" s="55" t="str">
        <f t="shared" si="2"/>
        <v>2024/6</v>
      </c>
      <c r="C608" s="31">
        <v>49.9</v>
      </c>
      <c r="D608" s="62">
        <v>45454</v>
      </c>
      <c r="E608" s="55" t="s">
        <v>9</v>
      </c>
      <c r="F608" s="63" t="s">
        <v>567</v>
      </c>
      <c r="J608" s="58"/>
      <c r="K608" s="55"/>
      <c r="L608" s="55"/>
    </row>
    <row r="609" spans="1:12" ht="13.2">
      <c r="A609" s="55"/>
      <c r="B609" s="55" t="str">
        <f t="shared" si="2"/>
        <v>2024/6</v>
      </c>
      <c r="C609" s="31">
        <v>64.55</v>
      </c>
      <c r="D609" s="62">
        <v>45455</v>
      </c>
      <c r="E609" s="55" t="s">
        <v>2</v>
      </c>
      <c r="J609" s="58"/>
      <c r="K609" s="55"/>
      <c r="L609" s="55"/>
    </row>
    <row r="610" spans="1:12" ht="13.2">
      <c r="A610" s="55"/>
      <c r="B610" s="55" t="str">
        <f t="shared" si="2"/>
        <v>2024/6</v>
      </c>
      <c r="C610" s="31">
        <v>15.27</v>
      </c>
      <c r="D610" s="62">
        <v>45456</v>
      </c>
      <c r="E610" s="55" t="s">
        <v>9</v>
      </c>
      <c r="F610" s="63" t="s">
        <v>568</v>
      </c>
      <c r="J610" s="58"/>
      <c r="K610" s="55"/>
      <c r="L610" s="55"/>
    </row>
    <row r="611" spans="1:12" ht="13.2">
      <c r="A611" s="55"/>
      <c r="B611" s="55" t="str">
        <f t="shared" si="2"/>
        <v>2024/6</v>
      </c>
      <c r="C611" s="31">
        <v>40</v>
      </c>
      <c r="D611" s="62">
        <v>45457</v>
      </c>
      <c r="E611" s="55" t="s">
        <v>9</v>
      </c>
      <c r="F611" s="63" t="s">
        <v>457</v>
      </c>
      <c r="J611" s="58"/>
      <c r="K611" s="55"/>
      <c r="L611" s="55"/>
    </row>
    <row r="612" spans="1:12" ht="13.2">
      <c r="A612" s="55"/>
      <c r="B612" s="55" t="str">
        <f t="shared" si="2"/>
        <v>2024/6</v>
      </c>
      <c r="C612" s="31">
        <v>249</v>
      </c>
      <c r="D612" s="62">
        <v>45458</v>
      </c>
      <c r="E612" s="55" t="s">
        <v>5</v>
      </c>
      <c r="J612" s="58"/>
      <c r="K612" s="55"/>
      <c r="L612" s="55"/>
    </row>
    <row r="613" spans="1:12" ht="13.2">
      <c r="A613" s="55"/>
      <c r="B613" s="55" t="str">
        <f t="shared" si="2"/>
        <v>2024/6</v>
      </c>
      <c r="C613" s="31">
        <v>48</v>
      </c>
      <c r="D613" s="62">
        <v>45461</v>
      </c>
      <c r="E613" s="55" t="s">
        <v>9</v>
      </c>
      <c r="F613" s="63" t="s">
        <v>372</v>
      </c>
      <c r="J613" s="58"/>
      <c r="K613" s="55"/>
      <c r="L613" s="55"/>
    </row>
    <row r="614" spans="1:12" ht="13.2">
      <c r="A614" s="55"/>
      <c r="B614" s="55" t="str">
        <f t="shared" si="2"/>
        <v>2024/6</v>
      </c>
      <c r="C614" s="31">
        <v>316.8</v>
      </c>
      <c r="D614" s="62">
        <v>45463</v>
      </c>
      <c r="E614" s="55" t="s">
        <v>6</v>
      </c>
      <c r="F614" s="63" t="s">
        <v>569</v>
      </c>
      <c r="J614" s="58"/>
      <c r="K614" s="55"/>
      <c r="L614" s="55"/>
    </row>
    <row r="615" spans="1:12" ht="13.2">
      <c r="A615" s="55"/>
      <c r="B615" s="55" t="str">
        <f t="shared" si="2"/>
        <v>2024/6</v>
      </c>
      <c r="C615" s="31">
        <v>60</v>
      </c>
      <c r="D615" s="62">
        <v>45471</v>
      </c>
      <c r="E615" s="55" t="s">
        <v>9</v>
      </c>
      <c r="F615" s="63" t="s">
        <v>570</v>
      </c>
      <c r="J615" s="58"/>
      <c r="K615" s="55"/>
      <c r="L615" s="55"/>
    </row>
    <row r="616" spans="1:12" ht="13.2">
      <c r="A616" s="55"/>
      <c r="B616" s="55" t="str">
        <f t="shared" si="2"/>
        <v>2024/7</v>
      </c>
      <c r="C616" s="31">
        <v>50</v>
      </c>
      <c r="D616" s="62">
        <v>45474</v>
      </c>
      <c r="E616" s="55" t="s">
        <v>9</v>
      </c>
      <c r="F616" s="63" t="s">
        <v>571</v>
      </c>
      <c r="J616" s="58"/>
      <c r="K616" s="55"/>
      <c r="L616" s="55"/>
    </row>
    <row r="617" spans="1:12" ht="13.2">
      <c r="A617" s="55"/>
      <c r="B617" s="55" t="str">
        <f t="shared" si="2"/>
        <v>2024/7</v>
      </c>
      <c r="C617" s="31">
        <v>3200</v>
      </c>
      <c r="D617" s="62">
        <v>45478</v>
      </c>
      <c r="E617" s="55" t="s">
        <v>7</v>
      </c>
      <c r="J617" s="58"/>
      <c r="K617" s="55"/>
      <c r="L617" s="55"/>
    </row>
    <row r="618" spans="1:12" ht="13.2">
      <c r="A618" s="55"/>
      <c r="B618" s="55" t="str">
        <f t="shared" si="2"/>
        <v>2024/7</v>
      </c>
      <c r="C618" s="31">
        <v>300</v>
      </c>
      <c r="D618" s="62">
        <v>45481</v>
      </c>
      <c r="E618" s="55" t="s">
        <v>8</v>
      </c>
      <c r="F618" s="63" t="s">
        <v>572</v>
      </c>
      <c r="J618" s="58"/>
      <c r="K618" s="55"/>
      <c r="L618" s="55"/>
    </row>
    <row r="619" spans="1:12" ht="13.2">
      <c r="A619" s="55"/>
      <c r="B619" s="55" t="str">
        <f t="shared" si="2"/>
        <v>2024/7</v>
      </c>
      <c r="C619" s="31">
        <v>753.26</v>
      </c>
      <c r="D619" s="62">
        <v>45483</v>
      </c>
      <c r="E619" s="55" t="s">
        <v>7</v>
      </c>
      <c r="J619" s="58"/>
      <c r="K619" s="55"/>
      <c r="L619" s="55"/>
    </row>
    <row r="620" spans="1:12" ht="13.2">
      <c r="A620" s="55"/>
      <c r="B620" s="55" t="str">
        <f t="shared" si="2"/>
        <v>2024/7</v>
      </c>
      <c r="C620" s="31">
        <v>160.88</v>
      </c>
      <c r="D620" s="62">
        <v>45483</v>
      </c>
      <c r="E620" s="55" t="s">
        <v>9</v>
      </c>
      <c r="F620" s="63" t="s">
        <v>445</v>
      </c>
      <c r="J620" s="58"/>
      <c r="K620" s="55"/>
      <c r="L620" s="55"/>
    </row>
    <row r="621" spans="1:12" ht="13.2">
      <c r="A621" s="55"/>
      <c r="B621" s="55" t="str">
        <f t="shared" si="2"/>
        <v>2024/7</v>
      </c>
      <c r="C621" s="31">
        <v>200</v>
      </c>
      <c r="D621" s="62">
        <v>45484</v>
      </c>
      <c r="E621" s="55" t="s">
        <v>6</v>
      </c>
      <c r="F621" s="63" t="s">
        <v>327</v>
      </c>
      <c r="J621" s="58"/>
      <c r="K621" s="55"/>
      <c r="L621" s="55"/>
    </row>
    <row r="622" spans="1:12" ht="13.2">
      <c r="A622" s="55"/>
      <c r="B622" s="55" t="str">
        <f t="shared" si="2"/>
        <v>2024/7</v>
      </c>
      <c r="C622" s="31">
        <v>49.9</v>
      </c>
      <c r="D622" s="62">
        <v>45484</v>
      </c>
      <c r="E622" s="55" t="s">
        <v>9</v>
      </c>
      <c r="F622" s="63" t="s">
        <v>567</v>
      </c>
      <c r="J622" s="58"/>
      <c r="K622" s="55"/>
      <c r="L622" s="55"/>
    </row>
    <row r="623" spans="1:12" ht="13.2">
      <c r="A623" s="55"/>
      <c r="B623" s="55" t="str">
        <f t="shared" si="2"/>
        <v>2024/7</v>
      </c>
      <c r="C623" s="31">
        <v>249</v>
      </c>
      <c r="D623" s="62">
        <v>45484</v>
      </c>
      <c r="E623" s="55" t="s">
        <v>5</v>
      </c>
      <c r="F623" s="63" t="s">
        <v>347</v>
      </c>
      <c r="J623" s="58"/>
      <c r="K623" s="55"/>
      <c r="L623" s="55"/>
    </row>
    <row r="624" spans="1:12" ht="13.2">
      <c r="A624" s="55"/>
      <c r="B624" s="55" t="str">
        <f t="shared" si="2"/>
        <v>2024/7</v>
      </c>
      <c r="C624" s="31">
        <v>102.02</v>
      </c>
      <c r="D624" s="62">
        <v>45484</v>
      </c>
      <c r="E624" s="55" t="s">
        <v>9</v>
      </c>
      <c r="F624" s="63" t="s">
        <v>433</v>
      </c>
      <c r="J624" s="58"/>
      <c r="K624" s="55"/>
      <c r="L624" s="55"/>
    </row>
    <row r="625" spans="1:12" ht="13.2">
      <c r="A625" s="55"/>
      <c r="B625" s="55" t="str">
        <f t="shared" si="2"/>
        <v>2024/7</v>
      </c>
      <c r="C625" s="31">
        <v>400</v>
      </c>
      <c r="D625" s="62">
        <v>45484</v>
      </c>
      <c r="E625" s="55" t="s">
        <v>8</v>
      </c>
      <c r="F625" s="63" t="s">
        <v>573</v>
      </c>
      <c r="J625" s="58"/>
      <c r="K625" s="55"/>
      <c r="L625" s="55"/>
    </row>
    <row r="626" spans="1:12" ht="13.2">
      <c r="A626" s="55"/>
      <c r="B626" s="55" t="str">
        <f t="shared" si="2"/>
        <v>2024/7</v>
      </c>
      <c r="C626" s="31">
        <v>48</v>
      </c>
      <c r="D626" s="62">
        <v>45485</v>
      </c>
      <c r="E626" s="55" t="s">
        <v>9</v>
      </c>
      <c r="F626" s="63" t="s">
        <v>539</v>
      </c>
      <c r="J626" s="58"/>
      <c r="K626" s="55"/>
      <c r="L626" s="55"/>
    </row>
    <row r="627" spans="1:12" ht="13.2">
      <c r="A627" s="55"/>
      <c r="B627" s="55" t="str">
        <f t="shared" si="2"/>
        <v>2024/7</v>
      </c>
      <c r="C627" s="31">
        <v>692.4</v>
      </c>
      <c r="D627" s="62">
        <v>45490</v>
      </c>
      <c r="E627" s="55" t="s">
        <v>6</v>
      </c>
      <c r="F627" s="63" t="s">
        <v>574</v>
      </c>
      <c r="J627" s="58"/>
      <c r="K627" s="55"/>
      <c r="L627" s="55"/>
    </row>
    <row r="628" spans="1:12" ht="13.2">
      <c r="A628" s="55"/>
      <c r="B628" s="55" t="str">
        <f t="shared" si="2"/>
        <v>2024/7</v>
      </c>
      <c r="C628" s="31">
        <v>310.64</v>
      </c>
      <c r="D628" s="62">
        <v>45490</v>
      </c>
      <c r="E628" s="55" t="s">
        <v>6</v>
      </c>
      <c r="F628" s="63" t="s">
        <v>575</v>
      </c>
      <c r="J628" s="58"/>
      <c r="K628" s="55"/>
      <c r="L628" s="55"/>
    </row>
    <row r="629" spans="1:12" ht="13.2">
      <c r="A629" s="55"/>
      <c r="B629" s="55" t="str">
        <f t="shared" si="2"/>
        <v>2024/7</v>
      </c>
      <c r="C629" s="31">
        <v>40</v>
      </c>
      <c r="D629" s="62">
        <v>45492</v>
      </c>
      <c r="E629" s="55" t="s">
        <v>9</v>
      </c>
      <c r="F629" s="63" t="s">
        <v>457</v>
      </c>
      <c r="J629" s="58"/>
      <c r="K629" s="55"/>
      <c r="L629" s="55"/>
    </row>
    <row r="630" spans="1:12" ht="13.2">
      <c r="A630" s="55"/>
      <c r="B630" s="55" t="str">
        <f t="shared" si="2"/>
        <v>2024/7</v>
      </c>
      <c r="C630" s="31">
        <v>100</v>
      </c>
      <c r="D630" s="62">
        <v>45493</v>
      </c>
      <c r="E630" s="55" t="s">
        <v>2</v>
      </c>
      <c r="J630" s="58"/>
      <c r="K630" s="55"/>
      <c r="L630" s="55"/>
    </row>
    <row r="631" spans="1:12" ht="13.2">
      <c r="A631" s="55"/>
      <c r="B631" s="55" t="str">
        <f t="shared" si="2"/>
        <v>2024/8</v>
      </c>
      <c r="C631" s="31">
        <v>249</v>
      </c>
      <c r="D631" s="62">
        <v>45505</v>
      </c>
      <c r="E631" s="55" t="s">
        <v>5</v>
      </c>
      <c r="F631" s="63" t="s">
        <v>347</v>
      </c>
      <c r="J631" s="58"/>
      <c r="K631" s="55"/>
      <c r="L631" s="55"/>
    </row>
    <row r="632" spans="1:12" ht="13.2">
      <c r="A632" s="55"/>
      <c r="B632" s="55" t="str">
        <f t="shared" si="2"/>
        <v>2024/8</v>
      </c>
      <c r="C632" s="31">
        <f>35.19+217.7</f>
        <v>252.89</v>
      </c>
      <c r="D632" s="62">
        <v>45505</v>
      </c>
      <c r="E632" s="55" t="s">
        <v>9</v>
      </c>
      <c r="F632" s="63" t="s">
        <v>576</v>
      </c>
      <c r="J632" s="58"/>
      <c r="K632" s="55"/>
      <c r="L632" s="55"/>
    </row>
    <row r="633" spans="1:12" ht="13.2">
      <c r="A633" s="55"/>
      <c r="B633" s="55" t="str">
        <f t="shared" si="2"/>
        <v>2024/8</v>
      </c>
      <c r="C633" s="31">
        <v>400</v>
      </c>
      <c r="D633" s="62">
        <v>45508</v>
      </c>
      <c r="E633" s="55" t="s">
        <v>8</v>
      </c>
      <c r="F633" s="63" t="s">
        <v>577</v>
      </c>
      <c r="J633" s="58"/>
      <c r="K633" s="55"/>
      <c r="L633" s="55"/>
    </row>
    <row r="634" spans="1:12" ht="13.2">
      <c r="A634" s="55"/>
      <c r="B634" s="55" t="str">
        <f t="shared" si="2"/>
        <v>2024/8</v>
      </c>
      <c r="C634" s="31">
        <v>3200</v>
      </c>
      <c r="D634" s="62">
        <v>45509</v>
      </c>
      <c r="E634" s="55" t="s">
        <v>7</v>
      </c>
      <c r="J634" s="58"/>
      <c r="K634" s="55"/>
      <c r="L634" s="55"/>
    </row>
    <row r="635" spans="1:12" ht="13.2">
      <c r="A635" s="55"/>
      <c r="B635" s="55" t="str">
        <f t="shared" si="2"/>
        <v>2024/8</v>
      </c>
      <c r="C635" s="31">
        <v>200</v>
      </c>
      <c r="D635" s="62">
        <v>45512</v>
      </c>
      <c r="E635" s="55" t="s">
        <v>6</v>
      </c>
      <c r="F635" s="63" t="s">
        <v>364</v>
      </c>
      <c r="J635" s="58"/>
      <c r="K635" s="55"/>
      <c r="L635" s="55"/>
    </row>
    <row r="636" spans="1:12" ht="13.2">
      <c r="A636" s="55"/>
      <c r="B636" s="55" t="str">
        <f t="shared" si="2"/>
        <v>2024/8</v>
      </c>
      <c r="C636" s="31">
        <v>310.64</v>
      </c>
      <c r="D636" s="62">
        <v>45512</v>
      </c>
      <c r="E636" s="55" t="s">
        <v>6</v>
      </c>
      <c r="F636" s="63" t="s">
        <v>578</v>
      </c>
      <c r="J636" s="58"/>
      <c r="K636" s="55"/>
      <c r="L636" s="55"/>
    </row>
    <row r="637" spans="1:12" ht="13.2">
      <c r="A637" s="55"/>
      <c r="B637" s="55" t="str">
        <f t="shared" si="2"/>
        <v>2024/8</v>
      </c>
      <c r="C637" s="31">
        <v>185.78</v>
      </c>
      <c r="D637" s="62">
        <v>45512</v>
      </c>
      <c r="E637" s="55" t="s">
        <v>9</v>
      </c>
      <c r="F637" s="63" t="s">
        <v>445</v>
      </c>
      <c r="J637" s="58"/>
      <c r="K637" s="55"/>
      <c r="L637" s="55"/>
    </row>
    <row r="638" spans="1:12" ht="13.2">
      <c r="A638" s="55"/>
      <c r="B638" s="55" t="str">
        <f t="shared" si="2"/>
        <v>2024/8</v>
      </c>
      <c r="C638" s="31">
        <v>99.99</v>
      </c>
      <c r="D638" s="62">
        <v>45512</v>
      </c>
      <c r="E638" s="55" t="s">
        <v>9</v>
      </c>
      <c r="F638" s="63" t="s">
        <v>433</v>
      </c>
      <c r="J638" s="58"/>
      <c r="K638" s="55"/>
      <c r="L638" s="55"/>
    </row>
    <row r="639" spans="1:12" ht="13.2">
      <c r="A639" s="55"/>
      <c r="B639" s="55" t="str">
        <f t="shared" si="2"/>
        <v>2024/8</v>
      </c>
      <c r="C639" s="31">
        <v>753.26</v>
      </c>
      <c r="D639" s="62">
        <v>45512</v>
      </c>
      <c r="E639" s="55" t="s">
        <v>7</v>
      </c>
      <c r="F639" s="63" t="s">
        <v>412</v>
      </c>
      <c r="J639" s="58"/>
      <c r="K639" s="55"/>
      <c r="L639" s="55"/>
    </row>
    <row r="640" spans="1:12" ht="13.2">
      <c r="A640" s="55"/>
      <c r="B640" s="55" t="str">
        <f t="shared" si="2"/>
        <v>2024/8</v>
      </c>
      <c r="C640" s="31">
        <v>90</v>
      </c>
      <c r="D640" s="62">
        <v>45520</v>
      </c>
      <c r="E640" s="55" t="s">
        <v>9</v>
      </c>
      <c r="F640" s="63" t="s">
        <v>579</v>
      </c>
      <c r="J640" s="58"/>
      <c r="K640" s="55"/>
      <c r="L640" s="55"/>
    </row>
    <row r="641" spans="1:12" ht="13.2">
      <c r="A641" s="55"/>
      <c r="B641" s="55" t="str">
        <f t="shared" si="2"/>
        <v>2024/8</v>
      </c>
      <c r="C641" s="31">
        <v>72</v>
      </c>
      <c r="D641" s="62">
        <v>45521</v>
      </c>
      <c r="E641" s="55" t="s">
        <v>9</v>
      </c>
      <c r="F641" s="63" t="s">
        <v>379</v>
      </c>
      <c r="J641" s="58"/>
      <c r="K641" s="55"/>
      <c r="L641" s="55"/>
    </row>
    <row r="642" spans="1:12" ht="13.2">
      <c r="A642" s="55"/>
      <c r="B642" s="55" t="str">
        <f t="shared" si="2"/>
        <v>2024/8</v>
      </c>
      <c r="C642" s="31">
        <v>750</v>
      </c>
      <c r="D642" s="62">
        <v>45522</v>
      </c>
      <c r="E642" s="55" t="s">
        <v>8</v>
      </c>
      <c r="F642" s="63" t="s">
        <v>580</v>
      </c>
      <c r="J642" s="58"/>
      <c r="K642" s="55"/>
      <c r="L642" s="55"/>
    </row>
    <row r="643" spans="1:12" ht="13.2">
      <c r="A643" s="55"/>
      <c r="B643" s="55" t="str">
        <f t="shared" si="2"/>
        <v>2024/8</v>
      </c>
      <c r="C643" s="31">
        <v>52</v>
      </c>
      <c r="D643" s="62">
        <v>45522</v>
      </c>
      <c r="E643" s="55" t="s">
        <v>9</v>
      </c>
      <c r="F643" s="63" t="s">
        <v>510</v>
      </c>
      <c r="J643" s="58"/>
      <c r="K643" s="55"/>
      <c r="L643" s="55"/>
    </row>
    <row r="644" spans="1:12" ht="13.2">
      <c r="A644" s="55"/>
      <c r="B644" s="55" t="str">
        <f t="shared" si="2"/>
        <v>2024/8</v>
      </c>
      <c r="C644" s="31">
        <v>371.4</v>
      </c>
      <c r="D644" s="62">
        <v>45524</v>
      </c>
      <c r="E644" s="55" t="s">
        <v>6</v>
      </c>
      <c r="F644" s="63" t="s">
        <v>581</v>
      </c>
      <c r="J644" s="58"/>
      <c r="K644" s="55"/>
      <c r="L644" s="55"/>
    </row>
    <row r="645" spans="1:12" ht="13.2">
      <c r="A645" s="55"/>
      <c r="B645" s="55" t="str">
        <f t="shared" si="2"/>
        <v>2024/8</v>
      </c>
      <c r="C645" s="31">
        <v>49.9</v>
      </c>
      <c r="D645" s="62">
        <v>45531</v>
      </c>
      <c r="E645" s="55" t="s">
        <v>9</v>
      </c>
      <c r="F645" s="63" t="s">
        <v>567</v>
      </c>
      <c r="J645" s="58"/>
      <c r="K645" s="55"/>
      <c r="L645" s="55"/>
    </row>
    <row r="646" spans="1:12" ht="13.2">
      <c r="A646" s="55"/>
      <c r="B646" s="55" t="str">
        <f t="shared" si="2"/>
        <v>2024/8</v>
      </c>
      <c r="C646" s="31">
        <v>80</v>
      </c>
      <c r="D646" s="62">
        <v>45532</v>
      </c>
      <c r="E646" s="55" t="s">
        <v>2</v>
      </c>
      <c r="J646" s="58"/>
      <c r="K646" s="55"/>
      <c r="L646" s="55"/>
    </row>
    <row r="647" spans="1:12" ht="13.2">
      <c r="A647" s="55"/>
      <c r="B647" s="55" t="str">
        <f t="shared" si="2"/>
        <v>2024/9</v>
      </c>
      <c r="C647" s="66">
        <v>249</v>
      </c>
      <c r="D647" s="62">
        <v>45536</v>
      </c>
      <c r="E647" s="55" t="s">
        <v>5</v>
      </c>
      <c r="F647" s="63" t="s">
        <v>347</v>
      </c>
      <c r="J647" s="58"/>
      <c r="K647" s="55"/>
      <c r="L647" s="55"/>
    </row>
    <row r="648" spans="1:12" ht="13.2">
      <c r="A648" s="55"/>
      <c r="B648" s="55" t="str">
        <f t="shared" si="2"/>
        <v>2024/9</v>
      </c>
      <c r="C648" s="31">
        <v>49.9</v>
      </c>
      <c r="D648" s="62">
        <v>45537</v>
      </c>
      <c r="E648" s="55" t="s">
        <v>9</v>
      </c>
      <c r="F648" s="63" t="s">
        <v>567</v>
      </c>
      <c r="J648" s="58"/>
      <c r="K648" s="55"/>
      <c r="L648" s="55"/>
    </row>
    <row r="649" spans="1:12" ht="13.2">
      <c r="A649" s="55"/>
      <c r="B649" s="55" t="str">
        <f t="shared" si="2"/>
        <v>2024/9</v>
      </c>
      <c r="C649" s="31">
        <v>99.9</v>
      </c>
      <c r="D649" s="62">
        <v>45537</v>
      </c>
      <c r="E649" s="55" t="s">
        <v>9</v>
      </c>
      <c r="F649" s="63" t="s">
        <v>433</v>
      </c>
      <c r="J649" s="58"/>
      <c r="K649" s="71"/>
      <c r="L649" s="71"/>
    </row>
    <row r="650" spans="1:12" ht="13.2">
      <c r="A650" s="55"/>
      <c r="B650" s="55" t="str">
        <f t="shared" si="2"/>
        <v>2024/9</v>
      </c>
      <c r="C650" s="31">
        <v>400</v>
      </c>
      <c r="D650" s="62">
        <v>45537</v>
      </c>
      <c r="E650" s="55" t="s">
        <v>8</v>
      </c>
      <c r="F650" s="63" t="s">
        <v>582</v>
      </c>
      <c r="J650" s="58"/>
      <c r="K650" s="71"/>
      <c r="L650" s="71"/>
    </row>
    <row r="651" spans="1:12" ht="13.2">
      <c r="A651" s="55"/>
      <c r="B651" s="55" t="str">
        <f t="shared" si="2"/>
        <v>2024/9</v>
      </c>
      <c r="C651" s="31">
        <v>152.6</v>
      </c>
      <c r="D651" s="62">
        <v>45537</v>
      </c>
      <c r="E651" s="55" t="s">
        <v>9</v>
      </c>
      <c r="F651" s="63" t="s">
        <v>563</v>
      </c>
      <c r="J651" s="58"/>
      <c r="K651" s="71"/>
      <c r="L651" s="69"/>
    </row>
    <row r="652" spans="1:12" ht="13.2">
      <c r="A652" s="55"/>
      <c r="B652" s="55" t="str">
        <f t="shared" si="2"/>
        <v>2024/9</v>
      </c>
      <c r="C652" s="31">
        <v>233.4</v>
      </c>
      <c r="D652" s="62">
        <v>45537</v>
      </c>
      <c r="E652" s="55" t="s">
        <v>3</v>
      </c>
      <c r="F652" s="63" t="s">
        <v>337</v>
      </c>
      <c r="J652" s="58"/>
      <c r="K652" s="78"/>
      <c r="L652" s="69"/>
    </row>
    <row r="653" spans="1:12" ht="13.2">
      <c r="A653" s="55"/>
      <c r="B653" s="55" t="str">
        <f t="shared" si="2"/>
        <v>2024/9</v>
      </c>
      <c r="C653" s="31">
        <v>3200</v>
      </c>
      <c r="D653" s="62">
        <v>45540</v>
      </c>
      <c r="E653" s="55" t="s">
        <v>7</v>
      </c>
      <c r="J653" s="58"/>
      <c r="K653" s="71"/>
      <c r="L653" s="69"/>
    </row>
    <row r="654" spans="1:12" ht="13.2">
      <c r="A654" s="55"/>
      <c r="B654" s="55" t="str">
        <f t="shared" si="2"/>
        <v>2024/9</v>
      </c>
      <c r="C654" s="31">
        <v>600</v>
      </c>
      <c r="D654" s="62">
        <v>45541</v>
      </c>
      <c r="E654" s="55" t="s">
        <v>8</v>
      </c>
      <c r="F654" s="63" t="s">
        <v>583</v>
      </c>
      <c r="J654" s="58"/>
      <c r="K654" s="71"/>
      <c r="L654" s="69"/>
    </row>
    <row r="655" spans="1:12" ht="13.2">
      <c r="A655" s="55"/>
      <c r="B655" s="55" t="str">
        <f t="shared" si="2"/>
        <v>2024/9</v>
      </c>
      <c r="C655" s="31">
        <v>753.26</v>
      </c>
      <c r="D655" s="62">
        <v>45545</v>
      </c>
      <c r="E655" s="55" t="s">
        <v>7</v>
      </c>
      <c r="F655" s="63" t="s">
        <v>584</v>
      </c>
      <c r="J655" s="58"/>
      <c r="K655" s="71"/>
      <c r="L655" s="71"/>
    </row>
    <row r="656" spans="1:12" ht="13.2">
      <c r="A656" s="55"/>
      <c r="B656" s="55" t="str">
        <f t="shared" si="2"/>
        <v>2024/9</v>
      </c>
      <c r="C656" s="31">
        <v>310.64</v>
      </c>
      <c r="D656" s="62">
        <v>45545</v>
      </c>
      <c r="E656" s="55" t="s">
        <v>6</v>
      </c>
      <c r="F656" s="63" t="s">
        <v>585</v>
      </c>
      <c r="J656" s="58"/>
      <c r="K656" s="71"/>
      <c r="L656" s="69"/>
    </row>
    <row r="657" spans="1:12" ht="13.2">
      <c r="A657" s="55"/>
      <c r="B657" s="55" t="str">
        <f t="shared" si="2"/>
        <v>2024/9</v>
      </c>
      <c r="C657" s="31">
        <v>591.6</v>
      </c>
      <c r="D657" s="62">
        <v>45545</v>
      </c>
      <c r="E657" s="55" t="s">
        <v>6</v>
      </c>
      <c r="F657" s="63" t="s">
        <v>586</v>
      </c>
      <c r="J657" s="58"/>
      <c r="K657" s="71"/>
      <c r="L657" s="71"/>
    </row>
    <row r="658" spans="1:12" ht="13.2">
      <c r="A658" s="55"/>
      <c r="B658" s="55" t="str">
        <f t="shared" si="2"/>
        <v>2024/9</v>
      </c>
      <c r="C658" s="31">
        <v>170.86</v>
      </c>
      <c r="D658" s="62">
        <v>45545</v>
      </c>
      <c r="E658" s="55" t="s">
        <v>9</v>
      </c>
      <c r="F658" s="63" t="s">
        <v>445</v>
      </c>
      <c r="J658" s="58"/>
      <c r="K658" s="79"/>
      <c r="L658" s="69"/>
    </row>
    <row r="659" spans="1:12" ht="13.2">
      <c r="A659" s="55"/>
      <c r="B659" s="55" t="str">
        <f t="shared" si="2"/>
        <v>2024/9</v>
      </c>
      <c r="C659" s="31">
        <v>60</v>
      </c>
      <c r="D659" s="62">
        <v>45546</v>
      </c>
      <c r="E659" s="55" t="s">
        <v>9</v>
      </c>
      <c r="F659" s="63" t="s">
        <v>587</v>
      </c>
      <c r="J659" s="58"/>
      <c r="K659" s="69"/>
      <c r="L659" s="69"/>
    </row>
    <row r="660" spans="1:12" ht="13.2">
      <c r="A660" s="55"/>
      <c r="B660" s="55" t="str">
        <f t="shared" si="2"/>
        <v>2024/9</v>
      </c>
      <c r="C660" s="31">
        <v>52</v>
      </c>
      <c r="D660" s="62">
        <v>45554</v>
      </c>
      <c r="E660" s="55" t="s">
        <v>9</v>
      </c>
      <c r="F660" s="63" t="s">
        <v>501</v>
      </c>
      <c r="J660" s="58"/>
      <c r="K660" s="71"/>
      <c r="L660" s="69"/>
    </row>
    <row r="661" spans="1:12" ht="13.2">
      <c r="A661" s="55"/>
      <c r="B661" s="55" t="str">
        <f t="shared" si="2"/>
        <v>2024/9</v>
      </c>
      <c r="C661" s="31">
        <v>100</v>
      </c>
      <c r="D661" s="62">
        <v>45555</v>
      </c>
      <c r="E661" s="55" t="s">
        <v>2</v>
      </c>
      <c r="J661" s="58"/>
      <c r="K661" s="71"/>
      <c r="L661" s="69"/>
    </row>
    <row r="662" spans="1:12" ht="13.2">
      <c r="A662" s="55"/>
      <c r="B662" s="55" t="str">
        <f t="shared" si="2"/>
        <v>2024/9</v>
      </c>
      <c r="C662" s="31">
        <v>10</v>
      </c>
      <c r="D662" s="62">
        <v>45556</v>
      </c>
      <c r="E662" s="55" t="s">
        <v>9</v>
      </c>
      <c r="F662" s="63" t="s">
        <v>588</v>
      </c>
      <c r="J662" s="58"/>
      <c r="K662" s="79"/>
      <c r="L662" s="69"/>
    </row>
    <row r="663" spans="1:12" ht="13.2">
      <c r="A663" s="55"/>
      <c r="B663" s="55" t="str">
        <f t="shared" si="2"/>
        <v>2024/9</v>
      </c>
      <c r="C663" s="31">
        <v>79.900000000000006</v>
      </c>
      <c r="D663" s="62">
        <v>45560</v>
      </c>
      <c r="E663" s="55" t="s">
        <v>9</v>
      </c>
      <c r="F663" s="63" t="s">
        <v>589</v>
      </c>
      <c r="J663" s="58"/>
      <c r="K663" s="55"/>
      <c r="L663" s="55"/>
    </row>
    <row r="664" spans="1:12" ht="13.2">
      <c r="A664" s="55"/>
      <c r="B664" s="55" t="str">
        <f t="shared" si="2"/>
        <v>2024/9</v>
      </c>
      <c r="C664" s="31">
        <v>200</v>
      </c>
      <c r="D664" s="62">
        <v>45561</v>
      </c>
      <c r="E664" s="55" t="s">
        <v>6</v>
      </c>
      <c r="F664" s="63" t="s">
        <v>475</v>
      </c>
      <c r="J664" s="58"/>
      <c r="K664" s="55"/>
      <c r="L664" s="55"/>
    </row>
    <row r="665" spans="1:12" ht="13.2">
      <c r="A665" s="55"/>
      <c r="B665" s="55" t="str">
        <f t="shared" si="2"/>
        <v>2024/9</v>
      </c>
      <c r="C665" s="31">
        <v>55.95</v>
      </c>
      <c r="D665" s="62">
        <v>45563</v>
      </c>
      <c r="E665" s="55" t="s">
        <v>9</v>
      </c>
      <c r="F665" s="63" t="s">
        <v>590</v>
      </c>
      <c r="J665" s="58"/>
      <c r="K665" s="55"/>
      <c r="L665" s="55"/>
    </row>
    <row r="666" spans="1:12" ht="13.2">
      <c r="A666" s="55"/>
      <c r="B666" s="80" t="str">
        <f t="shared" si="2"/>
        <v>2024/10</v>
      </c>
      <c r="C666" s="31">
        <v>249</v>
      </c>
      <c r="D666" s="62">
        <v>45566</v>
      </c>
      <c r="E666" s="55" t="s">
        <v>5</v>
      </c>
      <c r="F666" s="63" t="s">
        <v>347</v>
      </c>
      <c r="J666" s="58"/>
      <c r="K666" s="55"/>
      <c r="L666" s="55"/>
    </row>
    <row r="667" spans="1:12" ht="13.2">
      <c r="A667" s="55"/>
      <c r="B667" s="55" t="str">
        <f t="shared" si="2"/>
        <v>2024/10</v>
      </c>
      <c r="C667" s="31">
        <v>450</v>
      </c>
      <c r="D667" s="62">
        <v>45568</v>
      </c>
      <c r="E667" s="55" t="s">
        <v>8</v>
      </c>
      <c r="F667" s="63" t="s">
        <v>591</v>
      </c>
      <c r="J667" s="58"/>
      <c r="K667" s="55"/>
      <c r="L667" s="55"/>
    </row>
    <row r="668" spans="1:12" ht="13.2">
      <c r="A668" s="55"/>
      <c r="B668" s="55" t="str">
        <f t="shared" si="2"/>
        <v>2024/10</v>
      </c>
      <c r="C668" s="31">
        <v>3200</v>
      </c>
      <c r="D668" s="62">
        <v>45570</v>
      </c>
      <c r="E668" s="55" t="s">
        <v>7</v>
      </c>
      <c r="J668" s="58"/>
      <c r="K668" s="55"/>
      <c r="L668" s="55"/>
    </row>
    <row r="669" spans="1:12" ht="13.2">
      <c r="A669" s="55"/>
      <c r="B669" s="55" t="str">
        <f t="shared" si="2"/>
        <v>2024/10</v>
      </c>
      <c r="C669" s="31">
        <v>262.19</v>
      </c>
      <c r="D669" s="62">
        <v>45573</v>
      </c>
      <c r="E669" s="55" t="s">
        <v>9</v>
      </c>
      <c r="F669" s="63" t="s">
        <v>445</v>
      </c>
      <c r="J669" s="58"/>
      <c r="K669" s="55"/>
      <c r="L669" s="55"/>
    </row>
    <row r="670" spans="1:12" ht="13.2">
      <c r="A670" s="55"/>
      <c r="B670" s="55" t="str">
        <f t="shared" si="2"/>
        <v>2024/10</v>
      </c>
      <c r="C670" s="31">
        <v>753.26</v>
      </c>
      <c r="D670" s="62">
        <v>45573</v>
      </c>
      <c r="E670" s="55" t="s">
        <v>7</v>
      </c>
      <c r="J670" s="58"/>
      <c r="K670" s="55"/>
      <c r="L670" s="55"/>
    </row>
    <row r="671" spans="1:12" ht="13.2">
      <c r="A671" s="55"/>
      <c r="B671" s="55" t="str">
        <f t="shared" si="2"/>
        <v>2024/10</v>
      </c>
      <c r="C671" s="31">
        <v>310.64</v>
      </c>
      <c r="D671" s="62">
        <v>45573</v>
      </c>
      <c r="E671" s="55" t="s">
        <v>6</v>
      </c>
      <c r="F671" s="63" t="s">
        <v>578</v>
      </c>
      <c r="J671" s="58"/>
      <c r="K671" s="55"/>
      <c r="L671" s="55"/>
    </row>
    <row r="672" spans="1:12" ht="13.2">
      <c r="A672" s="55"/>
      <c r="B672" s="55" t="str">
        <f t="shared" si="2"/>
        <v>2024/10</v>
      </c>
      <c r="C672" s="31">
        <v>376.21</v>
      </c>
      <c r="D672" s="62">
        <v>45573</v>
      </c>
      <c r="E672" s="55" t="s">
        <v>6</v>
      </c>
      <c r="F672" s="63" t="s">
        <v>592</v>
      </c>
      <c r="J672" s="58"/>
      <c r="K672" s="55"/>
      <c r="L672" s="55"/>
    </row>
    <row r="673" spans="1:12" ht="13.2">
      <c r="A673" s="55"/>
      <c r="B673" s="55" t="str">
        <f t="shared" si="2"/>
        <v>2024/10</v>
      </c>
      <c r="C673" s="31">
        <v>200</v>
      </c>
      <c r="D673" s="62">
        <v>45573</v>
      </c>
      <c r="E673" s="55" t="s">
        <v>6</v>
      </c>
      <c r="F673" s="63" t="s">
        <v>475</v>
      </c>
      <c r="J673" s="58"/>
      <c r="K673" s="55"/>
      <c r="L673" s="55"/>
    </row>
    <row r="674" spans="1:12" ht="13.2">
      <c r="A674" s="55"/>
      <c r="B674" s="55" t="str">
        <f t="shared" si="2"/>
        <v>2024/10</v>
      </c>
      <c r="C674" s="31">
        <v>400</v>
      </c>
      <c r="D674" s="62">
        <v>45573</v>
      </c>
      <c r="E674" s="55" t="s">
        <v>8</v>
      </c>
      <c r="F674" s="63" t="s">
        <v>577</v>
      </c>
      <c r="J674" s="58"/>
      <c r="K674" s="55"/>
      <c r="L674" s="55"/>
    </row>
    <row r="675" spans="1:12" ht="13.2">
      <c r="A675" s="55"/>
      <c r="B675" s="55" t="str">
        <f t="shared" si="2"/>
        <v>2024/10</v>
      </c>
      <c r="C675" s="31">
        <v>49.9</v>
      </c>
      <c r="D675" s="62">
        <v>45574</v>
      </c>
      <c r="E675" s="55" t="s">
        <v>9</v>
      </c>
      <c r="F675" s="63" t="s">
        <v>567</v>
      </c>
      <c r="J675" s="58"/>
      <c r="K675" s="55"/>
      <c r="L675" s="55"/>
    </row>
    <row r="676" spans="1:12" ht="13.2">
      <c r="A676" s="55"/>
      <c r="B676" s="55" t="str">
        <f t="shared" si="2"/>
        <v>2024/10</v>
      </c>
      <c r="C676" s="31">
        <v>99.99</v>
      </c>
      <c r="D676" s="62">
        <v>45574</v>
      </c>
      <c r="E676" s="55" t="s">
        <v>9</v>
      </c>
      <c r="F676" s="63" t="s">
        <v>433</v>
      </c>
      <c r="J676" s="58"/>
      <c r="K676" s="55"/>
      <c r="L676" s="55"/>
    </row>
    <row r="677" spans="1:12" ht="13.2">
      <c r="A677" s="55"/>
      <c r="B677" s="55" t="str">
        <f t="shared" si="2"/>
        <v>2024/10</v>
      </c>
      <c r="C677" s="31">
        <v>60</v>
      </c>
      <c r="D677" s="62">
        <v>45576</v>
      </c>
      <c r="E677" s="55" t="s">
        <v>9</v>
      </c>
      <c r="F677" s="63" t="s">
        <v>593</v>
      </c>
      <c r="J677" s="58"/>
      <c r="K677" s="55"/>
      <c r="L677" s="55"/>
    </row>
    <row r="678" spans="1:12" ht="13.2">
      <c r="A678" s="55"/>
      <c r="B678" s="55" t="str">
        <f t="shared" si="2"/>
        <v>2024/10</v>
      </c>
      <c r="C678" s="31">
        <f>165.8+79.9+74.99</f>
        <v>320.69</v>
      </c>
      <c r="D678" s="62">
        <v>45580</v>
      </c>
      <c r="E678" s="55" t="s">
        <v>9</v>
      </c>
      <c r="F678" s="63" t="s">
        <v>317</v>
      </c>
      <c r="J678" s="58"/>
      <c r="K678" s="55"/>
      <c r="L678" s="55"/>
    </row>
    <row r="679" spans="1:12" ht="13.2">
      <c r="A679" s="55"/>
      <c r="B679" s="55" t="str">
        <f t="shared" si="2"/>
        <v>2024/10</v>
      </c>
      <c r="C679" s="31">
        <v>53.04</v>
      </c>
      <c r="D679" s="62">
        <v>45583</v>
      </c>
      <c r="E679" s="55" t="s">
        <v>9</v>
      </c>
      <c r="F679" s="63" t="s">
        <v>372</v>
      </c>
      <c r="J679" s="58"/>
      <c r="K679" s="55"/>
      <c r="L679" s="55"/>
    </row>
    <row r="680" spans="1:12" ht="13.2">
      <c r="A680" s="55"/>
      <c r="B680" s="55" t="str">
        <f t="shared" si="2"/>
        <v>2024/10</v>
      </c>
      <c r="C680" s="31">
        <v>57.9</v>
      </c>
      <c r="D680" s="62">
        <v>45584</v>
      </c>
      <c r="E680" s="55" t="s">
        <v>9</v>
      </c>
      <c r="F680" s="63" t="s">
        <v>594</v>
      </c>
      <c r="J680" s="58"/>
      <c r="K680" s="55"/>
      <c r="L680" s="55"/>
    </row>
    <row r="681" spans="1:12" ht="13.2">
      <c r="A681" s="55"/>
      <c r="B681" s="55" t="str">
        <f t="shared" si="2"/>
        <v>2024/10</v>
      </c>
      <c r="C681" s="31">
        <v>8016</v>
      </c>
      <c r="D681" s="62">
        <v>45585</v>
      </c>
      <c r="E681" s="55" t="s">
        <v>3</v>
      </c>
      <c r="F681" s="63" t="s">
        <v>595</v>
      </c>
      <c r="J681" s="58"/>
      <c r="K681" s="55"/>
      <c r="L681" s="55"/>
    </row>
    <row r="682" spans="1:12" ht="13.2">
      <c r="A682" s="55"/>
      <c r="B682" s="55" t="str">
        <f t="shared" si="2"/>
        <v>2024/10</v>
      </c>
      <c r="C682" s="31">
        <v>45.89</v>
      </c>
      <c r="D682" s="62">
        <v>45586</v>
      </c>
      <c r="E682" s="55" t="s">
        <v>3</v>
      </c>
      <c r="F682" s="63" t="s">
        <v>596</v>
      </c>
      <c r="J682" s="58"/>
      <c r="K682" s="55"/>
      <c r="L682" s="55"/>
    </row>
    <row r="683" spans="1:12" ht="13.2">
      <c r="A683" s="55"/>
      <c r="B683" s="55" t="str">
        <f t="shared" si="2"/>
        <v>2024/10</v>
      </c>
      <c r="C683" s="31">
        <v>100</v>
      </c>
      <c r="D683" s="62">
        <v>45587</v>
      </c>
      <c r="E683" s="55" t="s">
        <v>2</v>
      </c>
      <c r="J683" s="58"/>
      <c r="K683" s="55"/>
      <c r="L683" s="55"/>
    </row>
    <row r="684" spans="1:12" ht="13.2">
      <c r="A684" s="55"/>
      <c r="B684" s="80" t="str">
        <f t="shared" si="2"/>
        <v>2024/11</v>
      </c>
      <c r="C684" s="74">
        <v>400</v>
      </c>
      <c r="D684" s="62">
        <v>45600</v>
      </c>
      <c r="E684" s="55" t="s">
        <v>8</v>
      </c>
      <c r="F684" s="63" t="s">
        <v>597</v>
      </c>
      <c r="J684" s="58"/>
      <c r="K684" s="55"/>
      <c r="L684" s="55"/>
    </row>
    <row r="685" spans="1:12" ht="13.2">
      <c r="A685" s="55"/>
      <c r="B685" s="55" t="str">
        <f t="shared" si="2"/>
        <v>2024/11</v>
      </c>
      <c r="C685" s="31">
        <v>307.89</v>
      </c>
      <c r="D685" s="62">
        <v>45601</v>
      </c>
      <c r="E685" s="55" t="s">
        <v>9</v>
      </c>
      <c r="F685" s="63" t="s">
        <v>445</v>
      </c>
      <c r="J685" s="58"/>
      <c r="K685" s="55"/>
      <c r="L685" s="55"/>
    </row>
    <row r="686" spans="1:12" ht="13.2">
      <c r="A686" s="55"/>
      <c r="B686" s="55" t="str">
        <f t="shared" si="2"/>
        <v>2024/11</v>
      </c>
      <c r="C686" s="31">
        <v>99.99</v>
      </c>
      <c r="D686" s="62">
        <v>45601</v>
      </c>
      <c r="E686" s="55" t="s">
        <v>9</v>
      </c>
      <c r="F686" s="63" t="s">
        <v>433</v>
      </c>
      <c r="J686" s="58"/>
      <c r="K686" s="55"/>
      <c r="L686" s="55"/>
    </row>
    <row r="687" spans="1:12" ht="13.2">
      <c r="A687" s="55"/>
      <c r="B687" s="55" t="str">
        <f t="shared" si="2"/>
        <v>2024/11</v>
      </c>
      <c r="C687" s="31">
        <v>249</v>
      </c>
      <c r="D687" s="62">
        <v>45601</v>
      </c>
      <c r="E687" s="55" t="s">
        <v>5</v>
      </c>
      <c r="F687" s="63" t="s">
        <v>325</v>
      </c>
      <c r="J687" s="58"/>
      <c r="K687" s="55"/>
      <c r="L687" s="55"/>
    </row>
    <row r="688" spans="1:12" ht="13.2">
      <c r="A688" s="55"/>
      <c r="B688" s="55" t="str">
        <f t="shared" si="2"/>
        <v>2024/11</v>
      </c>
      <c r="C688" s="31">
        <v>3200</v>
      </c>
      <c r="D688" s="62">
        <v>45601</v>
      </c>
      <c r="E688" s="55" t="s">
        <v>7</v>
      </c>
      <c r="J688" s="58"/>
      <c r="K688" s="55"/>
      <c r="L688" s="55"/>
    </row>
    <row r="689" spans="1:12" ht="13.2">
      <c r="A689" s="55"/>
      <c r="B689" s="55" t="str">
        <f t="shared" si="2"/>
        <v>2024/11</v>
      </c>
      <c r="C689" s="31">
        <v>753.26</v>
      </c>
      <c r="D689" s="62">
        <v>45602</v>
      </c>
      <c r="E689" s="55" t="s">
        <v>7</v>
      </c>
      <c r="F689" s="63" t="s">
        <v>412</v>
      </c>
      <c r="J689" s="58"/>
      <c r="K689" s="55"/>
      <c r="L689" s="55"/>
    </row>
    <row r="690" spans="1:12" ht="13.2">
      <c r="A690" s="55"/>
      <c r="B690" s="55" t="str">
        <f t="shared" si="2"/>
        <v>2024/11</v>
      </c>
      <c r="C690" s="31">
        <v>450</v>
      </c>
      <c r="D690" s="62">
        <v>45603</v>
      </c>
      <c r="E690" s="55" t="s">
        <v>8</v>
      </c>
      <c r="F690" s="63" t="s">
        <v>598</v>
      </c>
      <c r="J690" s="58"/>
      <c r="K690" s="55"/>
      <c r="L690" s="55"/>
    </row>
    <row r="691" spans="1:12" ht="13.2">
      <c r="A691" s="55"/>
      <c r="B691" s="55" t="str">
        <f t="shared" si="2"/>
        <v>2024/11</v>
      </c>
      <c r="C691" s="31">
        <v>60</v>
      </c>
      <c r="D691" s="62">
        <v>45604</v>
      </c>
      <c r="E691" s="55" t="s">
        <v>9</v>
      </c>
      <c r="F691" s="63" t="s">
        <v>599</v>
      </c>
      <c r="J691" s="58"/>
      <c r="K691" s="55"/>
      <c r="L691" s="55"/>
    </row>
    <row r="692" spans="1:12" ht="13.2">
      <c r="A692" s="55"/>
      <c r="B692" s="55" t="str">
        <f t="shared" si="2"/>
        <v>2024/11</v>
      </c>
      <c r="C692" s="31">
        <f>420+196.92+110+79.9</f>
        <v>806.81999999999994</v>
      </c>
      <c r="D692" s="62">
        <v>45607</v>
      </c>
      <c r="E692" s="55" t="s">
        <v>9</v>
      </c>
      <c r="F692" s="63" t="s">
        <v>600</v>
      </c>
      <c r="J692" s="58"/>
      <c r="K692" s="55"/>
      <c r="L692" s="55"/>
    </row>
    <row r="693" spans="1:12" ht="13.2">
      <c r="A693" s="55"/>
      <c r="B693" s="55" t="str">
        <f t="shared" si="2"/>
        <v>2024/11</v>
      </c>
      <c r="C693" s="31">
        <v>36.9</v>
      </c>
      <c r="D693" s="62">
        <v>45608</v>
      </c>
      <c r="E693" s="55" t="s">
        <v>9</v>
      </c>
      <c r="F693" s="63" t="s">
        <v>601</v>
      </c>
      <c r="J693" s="58"/>
      <c r="K693" s="55"/>
      <c r="L693" s="55"/>
    </row>
    <row r="694" spans="1:12" ht="13.2">
      <c r="A694" s="55"/>
      <c r="B694" s="55" t="str">
        <f t="shared" si="2"/>
        <v>2024/11</v>
      </c>
      <c r="C694" s="31">
        <v>49.9</v>
      </c>
      <c r="D694" s="62">
        <v>45609</v>
      </c>
      <c r="E694" s="55" t="s">
        <v>9</v>
      </c>
      <c r="F694" s="63" t="s">
        <v>567</v>
      </c>
      <c r="J694" s="58"/>
      <c r="K694" s="55"/>
      <c r="L694" s="55"/>
    </row>
    <row r="695" spans="1:12" ht="13.2">
      <c r="A695" s="55"/>
      <c r="B695" s="55" t="str">
        <f t="shared" si="2"/>
        <v>2024/11</v>
      </c>
      <c r="C695" s="31">
        <v>733.2</v>
      </c>
      <c r="D695" s="62">
        <v>45610</v>
      </c>
      <c r="E695" s="55" t="s">
        <v>6</v>
      </c>
      <c r="F695" s="63" t="s">
        <v>602</v>
      </c>
      <c r="J695" s="58"/>
      <c r="K695" s="55"/>
      <c r="L695" s="55"/>
    </row>
    <row r="696" spans="1:12" ht="13.2">
      <c r="A696" s="55"/>
      <c r="B696" s="55" t="str">
        <f t="shared" si="2"/>
        <v>2024/11</v>
      </c>
      <c r="C696" s="31">
        <v>310.64</v>
      </c>
      <c r="D696" s="62">
        <v>45611</v>
      </c>
      <c r="E696" s="55" t="s">
        <v>6</v>
      </c>
      <c r="F696" s="63" t="s">
        <v>603</v>
      </c>
      <c r="J696" s="58"/>
      <c r="K696" s="55"/>
      <c r="L696" s="55"/>
    </row>
    <row r="697" spans="1:12" ht="13.2">
      <c r="A697" s="55"/>
      <c r="B697" s="55" t="str">
        <f t="shared" si="2"/>
        <v>2024/11</v>
      </c>
      <c r="C697" s="31">
        <v>200</v>
      </c>
      <c r="D697" s="62">
        <v>45612</v>
      </c>
      <c r="E697" s="55" t="s">
        <v>6</v>
      </c>
      <c r="F697" s="63" t="s">
        <v>364</v>
      </c>
      <c r="J697" s="58"/>
      <c r="K697" s="55"/>
      <c r="L697" s="55"/>
    </row>
    <row r="698" spans="1:12" ht="13.2">
      <c r="A698" s="55"/>
      <c r="B698" s="55" t="str">
        <f t="shared" si="2"/>
        <v>2024/11</v>
      </c>
      <c r="C698" s="31">
        <v>41.97</v>
      </c>
      <c r="D698" s="62">
        <v>45613</v>
      </c>
      <c r="E698" s="55" t="s">
        <v>9</v>
      </c>
      <c r="F698" s="63" t="s">
        <v>604</v>
      </c>
      <c r="J698" s="58"/>
      <c r="K698" s="55"/>
      <c r="L698" s="55"/>
    </row>
    <row r="699" spans="1:12" ht="13.2">
      <c r="A699" s="55"/>
      <c r="B699" s="55" t="str">
        <f t="shared" si="2"/>
        <v>2024/11</v>
      </c>
      <c r="C699" s="31">
        <f>18+28</f>
        <v>46</v>
      </c>
      <c r="D699" s="62">
        <v>45613</v>
      </c>
      <c r="E699" s="55" t="s">
        <v>9</v>
      </c>
      <c r="F699" s="63" t="s">
        <v>605</v>
      </c>
      <c r="J699" s="58"/>
      <c r="K699" s="55"/>
      <c r="L699" s="55"/>
    </row>
    <row r="700" spans="1:12" ht="13.2">
      <c r="A700" s="55"/>
      <c r="B700" s="55" t="str">
        <f t="shared" si="2"/>
        <v>2024/11</v>
      </c>
      <c r="C700" s="31">
        <v>53.04</v>
      </c>
      <c r="D700" s="62">
        <v>45620</v>
      </c>
      <c r="E700" s="55" t="s">
        <v>9</v>
      </c>
      <c r="F700" s="63" t="s">
        <v>372</v>
      </c>
      <c r="J700" s="58"/>
      <c r="K700" s="55"/>
      <c r="L700" s="55"/>
    </row>
    <row r="701" spans="1:12" ht="13.2">
      <c r="A701" s="55"/>
      <c r="B701" s="55" t="str">
        <f t="shared" si="2"/>
        <v>2024/11</v>
      </c>
      <c r="C701" s="31">
        <v>100</v>
      </c>
      <c r="D701" s="62">
        <v>45620</v>
      </c>
      <c r="E701" s="55" t="s">
        <v>2</v>
      </c>
      <c r="J701" s="58"/>
      <c r="K701" s="55"/>
      <c r="L701" s="55"/>
    </row>
    <row r="702" spans="1:12" ht="13.2">
      <c r="A702" s="55"/>
      <c r="B702" s="55" t="str">
        <f t="shared" si="2"/>
        <v>2024/11</v>
      </c>
      <c r="C702" s="31">
        <f>84+16.8</f>
        <v>100.8</v>
      </c>
      <c r="D702" s="62">
        <v>45622</v>
      </c>
      <c r="E702" s="55" t="s">
        <v>9</v>
      </c>
      <c r="F702" s="63" t="s">
        <v>606</v>
      </c>
      <c r="J702" s="58"/>
      <c r="K702" s="55"/>
      <c r="L702" s="55"/>
    </row>
    <row r="703" spans="1:12" ht="13.2">
      <c r="A703" s="55"/>
      <c r="B703" s="55" t="str">
        <f t="shared" si="2"/>
        <v>2024/11</v>
      </c>
      <c r="C703" s="31">
        <v>184.9</v>
      </c>
      <c r="D703" s="62">
        <v>45625</v>
      </c>
      <c r="E703" s="55" t="s">
        <v>9</v>
      </c>
      <c r="F703" s="63" t="s">
        <v>509</v>
      </c>
      <c r="J703" s="81"/>
      <c r="K703" s="71"/>
      <c r="L703" s="55"/>
    </row>
    <row r="704" spans="1:12" ht="13.2">
      <c r="A704" s="55"/>
      <c r="B704" s="80" t="str">
        <f t="shared" si="2"/>
        <v>2024/12</v>
      </c>
      <c r="C704" s="31">
        <v>249</v>
      </c>
      <c r="D704" s="62">
        <v>45630</v>
      </c>
      <c r="E704" s="55" t="s">
        <v>5</v>
      </c>
      <c r="J704" s="81"/>
      <c r="K704" s="71"/>
      <c r="L704" s="55"/>
    </row>
    <row r="705" spans="1:12" ht="13.2">
      <c r="A705" s="55"/>
      <c r="B705" s="80" t="str">
        <f t="shared" si="2"/>
        <v>2024/12</v>
      </c>
      <c r="C705" s="31">
        <v>200</v>
      </c>
      <c r="D705" s="62">
        <v>45630</v>
      </c>
      <c r="E705" s="55" t="s">
        <v>8</v>
      </c>
      <c r="F705" s="63" t="s">
        <v>607</v>
      </c>
      <c r="J705" s="81"/>
      <c r="K705" s="71"/>
      <c r="L705" s="55"/>
    </row>
    <row r="706" spans="1:12" ht="13.2">
      <c r="A706" s="55"/>
      <c r="B706" s="55" t="str">
        <f t="shared" si="2"/>
        <v>2024/12</v>
      </c>
      <c r="C706" s="31">
        <v>99.99</v>
      </c>
      <c r="D706" s="62">
        <v>45631</v>
      </c>
      <c r="E706" s="55" t="s">
        <v>9</v>
      </c>
      <c r="F706" s="63" t="s">
        <v>433</v>
      </c>
      <c r="J706" s="81"/>
      <c r="K706" s="82"/>
      <c r="L706" s="55"/>
    </row>
    <row r="707" spans="1:12" ht="13.2">
      <c r="A707" s="55"/>
      <c r="B707" s="55" t="str">
        <f t="shared" si="2"/>
        <v>2024/12</v>
      </c>
      <c r="C707" s="31">
        <v>214.67</v>
      </c>
      <c r="D707" s="62">
        <v>45631</v>
      </c>
      <c r="E707" s="55" t="s">
        <v>9</v>
      </c>
      <c r="F707" s="63" t="s">
        <v>445</v>
      </c>
      <c r="J707" s="81"/>
      <c r="K707" s="71"/>
      <c r="L707" s="55"/>
    </row>
    <row r="708" spans="1:12" ht="13.2">
      <c r="A708" s="55"/>
      <c r="B708" s="55" t="str">
        <f t="shared" si="2"/>
        <v>2024/12</v>
      </c>
      <c r="C708" s="31">
        <v>753.26</v>
      </c>
      <c r="D708" s="62">
        <v>45631</v>
      </c>
      <c r="E708" s="55" t="s">
        <v>7</v>
      </c>
      <c r="F708" s="63" t="s">
        <v>412</v>
      </c>
      <c r="J708" s="81"/>
      <c r="K708" s="71"/>
      <c r="L708" s="55"/>
    </row>
    <row r="709" spans="1:12" ht="13.2">
      <c r="A709" s="55"/>
      <c r="B709" s="55" t="str">
        <f t="shared" si="2"/>
        <v>2024/12</v>
      </c>
      <c r="C709" s="31">
        <v>3200</v>
      </c>
      <c r="D709" s="62">
        <v>45631</v>
      </c>
      <c r="E709" s="55" t="s">
        <v>7</v>
      </c>
      <c r="J709" s="81"/>
      <c r="K709" s="71"/>
      <c r="L709" s="55"/>
    </row>
    <row r="710" spans="1:12" ht="13.2">
      <c r="A710" s="55"/>
      <c r="B710" s="55" t="str">
        <f t="shared" si="2"/>
        <v>2024/12</v>
      </c>
      <c r="C710" s="31">
        <v>49.9</v>
      </c>
      <c r="D710" s="62">
        <v>45631</v>
      </c>
      <c r="E710" s="55" t="s">
        <v>9</v>
      </c>
      <c r="F710" s="63" t="s">
        <v>567</v>
      </c>
      <c r="J710" s="81"/>
      <c r="K710" s="71"/>
      <c r="L710" s="2"/>
    </row>
    <row r="711" spans="1:12" ht="13.2">
      <c r="A711" s="55"/>
      <c r="B711" s="55" t="str">
        <f t="shared" si="2"/>
        <v>2024/12</v>
      </c>
      <c r="C711" s="31">
        <v>150</v>
      </c>
      <c r="D711" s="62">
        <v>45631</v>
      </c>
      <c r="E711" s="55" t="s">
        <v>8</v>
      </c>
      <c r="F711" s="63" t="s">
        <v>608</v>
      </c>
      <c r="J711" s="81"/>
      <c r="K711" s="71"/>
      <c r="L711" s="55"/>
    </row>
    <row r="712" spans="1:12" ht="13.2">
      <c r="A712" s="55"/>
      <c r="B712" s="55" t="str">
        <f t="shared" si="2"/>
        <v>2024/12</v>
      </c>
      <c r="C712" s="31">
        <f>125+116.47+140.47</f>
        <v>381.94</v>
      </c>
      <c r="D712" s="62">
        <v>45636</v>
      </c>
      <c r="E712" s="55" t="s">
        <v>9</v>
      </c>
      <c r="F712" s="63" t="s">
        <v>609</v>
      </c>
      <c r="J712" s="81"/>
      <c r="K712" s="79"/>
      <c r="L712" s="55"/>
    </row>
    <row r="713" spans="1:12" ht="13.2">
      <c r="A713" s="55"/>
      <c r="B713" s="55" t="str">
        <f t="shared" si="2"/>
        <v>2024/12</v>
      </c>
      <c r="C713" s="31">
        <v>200</v>
      </c>
      <c r="D713" s="62">
        <v>45637</v>
      </c>
      <c r="E713" s="55" t="s">
        <v>6</v>
      </c>
      <c r="F713" s="63" t="s">
        <v>327</v>
      </c>
      <c r="J713" s="58"/>
      <c r="K713" s="55"/>
      <c r="L713" s="55"/>
    </row>
    <row r="714" spans="1:12" ht="13.2">
      <c r="A714" s="55"/>
      <c r="B714" s="55" t="str">
        <f t="shared" si="2"/>
        <v>2024/12</v>
      </c>
      <c r="C714" s="31">
        <v>353.68</v>
      </c>
      <c r="D714" s="62">
        <v>45639</v>
      </c>
      <c r="E714" s="55" t="s">
        <v>6</v>
      </c>
      <c r="F714" s="63" t="s">
        <v>610</v>
      </c>
      <c r="J714" s="58"/>
      <c r="K714" s="55"/>
      <c r="L714" s="55"/>
    </row>
    <row r="715" spans="1:12" ht="13.2">
      <c r="A715" s="55"/>
      <c r="B715" s="55" t="str">
        <f t="shared" si="2"/>
        <v>2024/12</v>
      </c>
      <c r="C715" s="31">
        <v>80</v>
      </c>
      <c r="D715" s="62">
        <v>45640</v>
      </c>
      <c r="E715" s="55" t="s">
        <v>2</v>
      </c>
      <c r="F715" s="63"/>
      <c r="J715" s="58"/>
      <c r="K715" s="55"/>
      <c r="L715" s="55"/>
    </row>
    <row r="716" spans="1:12" ht="13.2">
      <c r="A716" s="55"/>
      <c r="B716" s="55" t="str">
        <f t="shared" si="2"/>
        <v>2024/12</v>
      </c>
      <c r="C716" s="31">
        <v>315.76</v>
      </c>
      <c r="D716" s="62">
        <v>45653</v>
      </c>
      <c r="E716" s="55" t="s">
        <v>6</v>
      </c>
      <c r="F716" s="63" t="s">
        <v>611</v>
      </c>
      <c r="J716" s="58"/>
      <c r="K716" s="55"/>
      <c r="L716" s="55"/>
    </row>
    <row r="717" spans="1:12" ht="13.2">
      <c r="A717" s="55"/>
      <c r="B717" s="55" t="str">
        <f t="shared" si="2"/>
        <v>2024/12</v>
      </c>
      <c r="C717" s="31">
        <v>1600</v>
      </c>
      <c r="D717" s="62">
        <v>45654</v>
      </c>
      <c r="E717" s="55" t="s">
        <v>10</v>
      </c>
      <c r="F717" s="63" t="s">
        <v>612</v>
      </c>
      <c r="J717" s="58"/>
      <c r="K717" s="55"/>
      <c r="L717" s="55"/>
    </row>
    <row r="718" spans="1:12" ht="13.2">
      <c r="A718" s="55"/>
      <c r="B718" s="75" t="str">
        <f t="shared" si="2"/>
        <v>2025/1</v>
      </c>
      <c r="C718" s="31">
        <v>249</v>
      </c>
      <c r="D718" s="62">
        <v>45661</v>
      </c>
      <c r="E718" s="55" t="s">
        <v>5</v>
      </c>
      <c r="J718" s="58"/>
      <c r="K718" s="71"/>
      <c r="L718" s="55"/>
    </row>
    <row r="719" spans="1:12" ht="13.2">
      <c r="A719" s="55"/>
      <c r="B719" s="80" t="str">
        <f t="shared" si="2"/>
        <v>2025/1</v>
      </c>
      <c r="C719" s="31">
        <v>90</v>
      </c>
      <c r="D719" s="62">
        <v>45662</v>
      </c>
      <c r="E719" s="55" t="s">
        <v>9</v>
      </c>
      <c r="F719" s="63" t="s">
        <v>613</v>
      </c>
      <c r="J719" s="58"/>
      <c r="K719" s="71"/>
      <c r="L719" s="55"/>
    </row>
    <row r="720" spans="1:12" ht="13.2">
      <c r="A720" s="55"/>
      <c r="B720" s="80" t="str">
        <f t="shared" si="2"/>
        <v>2025/1</v>
      </c>
      <c r="C720" s="31">
        <v>480</v>
      </c>
      <c r="D720" s="62">
        <v>45662</v>
      </c>
      <c r="E720" s="55" t="s">
        <v>8</v>
      </c>
      <c r="F720" s="63" t="s">
        <v>577</v>
      </c>
      <c r="J720" s="58"/>
      <c r="K720" s="55"/>
      <c r="L720" s="55"/>
    </row>
    <row r="721" spans="1:12" ht="13.2">
      <c r="A721" s="55"/>
      <c r="B721" s="55" t="str">
        <f t="shared" si="2"/>
        <v>2025/1</v>
      </c>
      <c r="C721" s="31">
        <v>3200</v>
      </c>
      <c r="D721" s="62">
        <v>45662</v>
      </c>
      <c r="E721" s="55" t="s">
        <v>7</v>
      </c>
      <c r="J721" s="58"/>
      <c r="K721" s="83"/>
      <c r="L721" s="55"/>
    </row>
    <row r="722" spans="1:12" ht="13.2">
      <c r="A722" s="55"/>
      <c r="B722" s="55" t="str">
        <f t="shared" si="2"/>
        <v>2025/1</v>
      </c>
      <c r="C722" s="31">
        <v>753.26</v>
      </c>
      <c r="D722" s="62">
        <v>45663</v>
      </c>
      <c r="E722" s="55" t="s">
        <v>7</v>
      </c>
      <c r="F722" s="63" t="s">
        <v>530</v>
      </c>
      <c r="J722" s="58"/>
      <c r="K722" s="55"/>
      <c r="L722" s="55"/>
    </row>
    <row r="723" spans="1:12" ht="13.2">
      <c r="A723" s="55"/>
      <c r="B723" s="55" t="str">
        <f t="shared" si="2"/>
        <v>2025/1</v>
      </c>
      <c r="C723" s="31">
        <v>222.42</v>
      </c>
      <c r="D723" s="62">
        <v>45663</v>
      </c>
      <c r="E723" s="55" t="s">
        <v>9</v>
      </c>
      <c r="F723" s="63" t="s">
        <v>445</v>
      </c>
      <c r="J723" s="58"/>
      <c r="K723" s="55"/>
      <c r="L723" s="55"/>
    </row>
    <row r="724" spans="1:12" ht="13.2">
      <c r="A724" s="55"/>
      <c r="B724" s="55" t="str">
        <f t="shared" si="2"/>
        <v>2025/1</v>
      </c>
      <c r="C724" s="31">
        <v>99.99</v>
      </c>
      <c r="D724" s="62">
        <v>45663</v>
      </c>
      <c r="E724" s="55" t="s">
        <v>9</v>
      </c>
      <c r="F724" s="63" t="s">
        <v>433</v>
      </c>
      <c r="J724" s="58"/>
      <c r="K724" s="55"/>
      <c r="L724" s="55"/>
    </row>
    <row r="725" spans="1:12" ht="13.2">
      <c r="A725" s="55"/>
      <c r="B725" s="55" t="str">
        <f t="shared" si="2"/>
        <v>2025/1</v>
      </c>
      <c r="C725" s="31">
        <v>53.14</v>
      </c>
      <c r="D725" s="62">
        <v>45663</v>
      </c>
      <c r="E725" s="55" t="s">
        <v>9</v>
      </c>
      <c r="F725" s="63" t="s">
        <v>614</v>
      </c>
      <c r="J725" s="58"/>
      <c r="K725" s="55"/>
      <c r="L725" s="55"/>
    </row>
    <row r="726" spans="1:12" ht="13.2">
      <c r="A726" s="55"/>
      <c r="B726" s="55" t="str">
        <f t="shared" si="2"/>
        <v>2025/1</v>
      </c>
      <c r="C726" s="31">
        <v>270</v>
      </c>
      <c r="D726" s="62">
        <v>45663</v>
      </c>
      <c r="E726" s="55" t="s">
        <v>9</v>
      </c>
      <c r="F726" s="63" t="s">
        <v>615</v>
      </c>
      <c r="J726" s="58"/>
      <c r="K726" s="55"/>
      <c r="L726" s="55"/>
    </row>
    <row r="727" spans="1:12" ht="13.2">
      <c r="A727" s="55"/>
      <c r="B727" s="55" t="str">
        <f t="shared" si="2"/>
        <v>2025/1</v>
      </c>
      <c r="C727" s="31">
        <v>535.64</v>
      </c>
      <c r="D727" s="62">
        <v>45663</v>
      </c>
      <c r="E727" s="55" t="s">
        <v>6</v>
      </c>
      <c r="F727" s="63" t="s">
        <v>531</v>
      </c>
      <c r="J727" s="58"/>
      <c r="K727" s="55"/>
      <c r="L727" s="55"/>
    </row>
    <row r="728" spans="1:12" ht="13.2">
      <c r="A728" s="55"/>
      <c r="B728" s="55" t="str">
        <f t="shared" si="2"/>
        <v>2025/1</v>
      </c>
      <c r="C728" s="31">
        <v>749</v>
      </c>
      <c r="D728" s="62">
        <v>45664</v>
      </c>
      <c r="E728" s="55" t="s">
        <v>9</v>
      </c>
      <c r="F728" s="63" t="s">
        <v>616</v>
      </c>
      <c r="J728" s="58"/>
      <c r="K728" s="55"/>
      <c r="L728" s="55"/>
    </row>
    <row r="729" spans="1:12" ht="13.2">
      <c r="A729" s="55"/>
      <c r="B729" s="55" t="str">
        <f t="shared" si="2"/>
        <v>2025/1</v>
      </c>
      <c r="C729" s="31">
        <v>200</v>
      </c>
      <c r="D729" s="62">
        <v>45664</v>
      </c>
      <c r="E729" s="55" t="s">
        <v>6</v>
      </c>
      <c r="F729" s="63" t="s">
        <v>327</v>
      </c>
      <c r="J729" s="58"/>
      <c r="K729" s="55"/>
      <c r="L729" s="55"/>
    </row>
    <row r="730" spans="1:12" ht="13.2">
      <c r="A730" s="55"/>
      <c r="B730" s="55" t="str">
        <f t="shared" si="2"/>
        <v>2025/1</v>
      </c>
      <c r="C730" s="31">
        <f>117+60</f>
        <v>177</v>
      </c>
      <c r="D730" s="62">
        <v>45665</v>
      </c>
      <c r="E730" s="55" t="s">
        <v>9</v>
      </c>
      <c r="F730" s="63" t="s">
        <v>606</v>
      </c>
      <c r="J730" s="58"/>
      <c r="K730" s="55"/>
      <c r="L730" s="55"/>
    </row>
    <row r="731" spans="1:12" ht="13.2">
      <c r="A731" s="55"/>
      <c r="B731" s="55" t="str">
        <f t="shared" si="2"/>
        <v>2025/1</v>
      </c>
      <c r="C731" s="31">
        <v>11.76</v>
      </c>
      <c r="D731" s="62">
        <v>45672</v>
      </c>
      <c r="E731" s="55" t="s">
        <v>9</v>
      </c>
      <c r="F731" s="63" t="s">
        <v>617</v>
      </c>
      <c r="J731" s="58"/>
      <c r="K731" s="55"/>
      <c r="L731" s="55"/>
    </row>
    <row r="732" spans="1:12" ht="13.2">
      <c r="A732" s="55"/>
      <c r="B732" s="55" t="str">
        <f t="shared" si="2"/>
        <v>2025/1</v>
      </c>
      <c r="C732" s="31">
        <v>511.79</v>
      </c>
      <c r="D732" s="62">
        <v>45673</v>
      </c>
      <c r="E732" s="55" t="s">
        <v>6</v>
      </c>
      <c r="F732" s="63" t="s">
        <v>610</v>
      </c>
      <c r="J732" s="58"/>
      <c r="K732" s="55"/>
      <c r="L732" s="55"/>
    </row>
    <row r="733" spans="1:12" ht="13.2">
      <c r="A733" s="55"/>
      <c r="B733" s="55" t="str">
        <f t="shared" si="2"/>
        <v>2025/1</v>
      </c>
      <c r="C733" s="31">
        <v>310.64</v>
      </c>
      <c r="D733" s="62">
        <v>45673</v>
      </c>
      <c r="E733" s="55" t="s">
        <v>6</v>
      </c>
      <c r="F733" s="63" t="s">
        <v>611</v>
      </c>
      <c r="J733" s="58"/>
      <c r="K733" s="55"/>
      <c r="L733" s="55"/>
    </row>
    <row r="734" spans="1:12" ht="13.2">
      <c r="A734" s="55"/>
      <c r="B734" s="55" t="str">
        <f t="shared" si="2"/>
        <v>2025/1</v>
      </c>
      <c r="C734" s="31">
        <v>49.9</v>
      </c>
      <c r="D734" s="62">
        <v>45673</v>
      </c>
      <c r="E734" s="55" t="s">
        <v>9</v>
      </c>
      <c r="F734" s="63" t="s">
        <v>567</v>
      </c>
      <c r="J734" s="58"/>
      <c r="K734" s="55"/>
      <c r="L734" s="55"/>
    </row>
    <row r="735" spans="1:12" ht="13.2">
      <c r="A735" s="55"/>
      <c r="B735" s="55" t="str">
        <f t="shared" si="2"/>
        <v>2025/1</v>
      </c>
      <c r="C735" s="31">
        <v>52</v>
      </c>
      <c r="D735" s="62">
        <v>45674</v>
      </c>
      <c r="E735" s="55" t="s">
        <v>9</v>
      </c>
      <c r="F735" s="63" t="s">
        <v>618</v>
      </c>
      <c r="J735" s="58"/>
      <c r="K735" s="55"/>
      <c r="L735" s="55"/>
    </row>
    <row r="736" spans="1:12" ht="13.2">
      <c r="A736" s="55"/>
      <c r="B736" s="55" t="str">
        <f t="shared" si="2"/>
        <v>2025/1</v>
      </c>
      <c r="C736" s="31">
        <v>733</v>
      </c>
      <c r="D736" s="62">
        <v>45681</v>
      </c>
      <c r="E736" s="55" t="s">
        <v>9</v>
      </c>
      <c r="F736" s="63" t="s">
        <v>619</v>
      </c>
      <c r="J736" s="58"/>
      <c r="K736" s="55"/>
      <c r="L736" s="55"/>
    </row>
    <row r="737" spans="1:12" ht="13.2">
      <c r="A737" s="55"/>
      <c r="B737" s="55" t="str">
        <f t="shared" si="2"/>
        <v>2025/1</v>
      </c>
      <c r="C737" s="31">
        <v>50</v>
      </c>
      <c r="D737" s="62">
        <v>45686</v>
      </c>
      <c r="E737" s="55" t="s">
        <v>2</v>
      </c>
      <c r="J737" s="58"/>
      <c r="K737" s="55"/>
      <c r="L737" s="55"/>
    </row>
    <row r="738" spans="1:12" ht="13.2">
      <c r="A738" s="55"/>
      <c r="B738" s="80" t="str">
        <f t="shared" si="2"/>
        <v>2025/2</v>
      </c>
      <c r="C738" s="31">
        <v>299</v>
      </c>
      <c r="D738" s="62">
        <v>45689</v>
      </c>
      <c r="E738" s="55" t="s">
        <v>5</v>
      </c>
      <c r="J738" s="58"/>
      <c r="K738" s="55"/>
      <c r="L738" s="55"/>
    </row>
    <row r="739" spans="1:12" ht="13.2">
      <c r="A739" s="55"/>
      <c r="B739" s="55" t="str">
        <f t="shared" si="2"/>
        <v>2025/2</v>
      </c>
      <c r="C739" s="31">
        <v>60</v>
      </c>
      <c r="D739" s="62">
        <v>45690</v>
      </c>
      <c r="E739" s="55" t="s">
        <v>9</v>
      </c>
      <c r="F739" s="63" t="s">
        <v>620</v>
      </c>
      <c r="J739" s="58"/>
      <c r="K739" s="55"/>
      <c r="L739" s="55"/>
    </row>
    <row r="740" spans="1:12" ht="13.2">
      <c r="A740" s="55"/>
      <c r="B740" s="55" t="str">
        <f t="shared" si="2"/>
        <v>2025/2</v>
      </c>
      <c r="C740" s="31">
        <v>480</v>
      </c>
      <c r="D740" s="62">
        <v>45691</v>
      </c>
      <c r="E740" s="55" t="s">
        <v>8</v>
      </c>
      <c r="F740" s="63" t="s">
        <v>517</v>
      </c>
      <c r="J740" s="58"/>
      <c r="K740" s="55"/>
      <c r="L740" s="55"/>
    </row>
    <row r="741" spans="1:12" ht="13.2">
      <c r="A741" s="55"/>
      <c r="B741" s="55" t="str">
        <f t="shared" si="2"/>
        <v>2025/2</v>
      </c>
      <c r="C741" s="31">
        <v>49.9</v>
      </c>
      <c r="D741" s="62">
        <v>45692</v>
      </c>
      <c r="E741" s="55" t="s">
        <v>9</v>
      </c>
      <c r="F741" s="63" t="s">
        <v>567</v>
      </c>
      <c r="J741" s="58"/>
      <c r="K741" s="55"/>
      <c r="L741" s="55"/>
    </row>
    <row r="742" spans="1:12" ht="13.2">
      <c r="A742" s="55"/>
      <c r="B742" s="55" t="str">
        <f t="shared" si="2"/>
        <v>2025/2</v>
      </c>
      <c r="C742" s="31">
        <v>3800</v>
      </c>
      <c r="D742" s="62">
        <v>45693</v>
      </c>
      <c r="E742" s="55" t="s">
        <v>7</v>
      </c>
      <c r="J742" s="58"/>
      <c r="K742" s="55"/>
      <c r="L742" s="55"/>
    </row>
    <row r="743" spans="1:12" ht="13.2">
      <c r="A743" s="55"/>
      <c r="B743" s="55" t="str">
        <f t="shared" si="2"/>
        <v>2025/2</v>
      </c>
      <c r="C743" s="31">
        <v>392.09</v>
      </c>
      <c r="D743" s="62">
        <v>45694</v>
      </c>
      <c r="E743" s="55" t="s">
        <v>3</v>
      </c>
      <c r="F743" s="63" t="s">
        <v>621</v>
      </c>
      <c r="J743" s="58"/>
      <c r="K743" s="55"/>
      <c r="L743" s="55"/>
    </row>
    <row r="744" spans="1:12" ht="13.2">
      <c r="A744" s="55"/>
      <c r="B744" s="55" t="str">
        <f t="shared" si="2"/>
        <v>2025/2</v>
      </c>
      <c r="C744" s="31">
        <v>753.26</v>
      </c>
      <c r="D744" s="62">
        <v>45698</v>
      </c>
      <c r="E744" s="55" t="s">
        <v>7</v>
      </c>
      <c r="J744" s="58"/>
      <c r="K744" s="55"/>
      <c r="L744" s="55"/>
    </row>
    <row r="745" spans="1:12" ht="13.2">
      <c r="A745" s="55"/>
      <c r="B745" s="55" t="str">
        <f t="shared" si="2"/>
        <v>2025/2</v>
      </c>
      <c r="C745" s="31">
        <v>99.99</v>
      </c>
      <c r="D745" s="62">
        <v>45698</v>
      </c>
      <c r="E745" s="55" t="s">
        <v>9</v>
      </c>
      <c r="F745" s="63" t="s">
        <v>433</v>
      </c>
      <c r="J745" s="58"/>
      <c r="K745" s="55"/>
      <c r="L745" s="55"/>
    </row>
    <row r="746" spans="1:12" ht="13.2">
      <c r="A746" s="55"/>
      <c r="B746" s="55" t="str">
        <f t="shared" si="2"/>
        <v>2025/2</v>
      </c>
      <c r="C746" s="31">
        <v>200</v>
      </c>
      <c r="D746" s="62">
        <v>45698</v>
      </c>
      <c r="E746" s="55" t="s">
        <v>6</v>
      </c>
      <c r="F746" s="63" t="s">
        <v>475</v>
      </c>
      <c r="J746" s="58"/>
      <c r="K746" s="55"/>
      <c r="L746" s="55"/>
    </row>
    <row r="747" spans="1:12" ht="13.2">
      <c r="A747" s="55"/>
      <c r="B747" s="55" t="str">
        <f t="shared" si="2"/>
        <v>2025/2</v>
      </c>
      <c r="C747" s="31">
        <f>310.64+375.6</f>
        <v>686.24</v>
      </c>
      <c r="D747" s="62">
        <v>45698</v>
      </c>
      <c r="E747" s="55" t="s">
        <v>6</v>
      </c>
      <c r="F747" s="63" t="s">
        <v>622</v>
      </c>
      <c r="J747" s="58"/>
      <c r="K747" s="55"/>
      <c r="L747" s="55"/>
    </row>
    <row r="748" spans="1:12" ht="13.2">
      <c r="A748" s="55"/>
      <c r="B748" s="55" t="str">
        <f t="shared" si="2"/>
        <v>2025/2</v>
      </c>
      <c r="C748" s="31">
        <v>98.79</v>
      </c>
      <c r="D748" s="62">
        <v>45699</v>
      </c>
      <c r="E748" s="55" t="s">
        <v>9</v>
      </c>
      <c r="F748" s="63" t="s">
        <v>445</v>
      </c>
      <c r="J748" s="58"/>
      <c r="K748" s="55"/>
      <c r="L748" s="55"/>
    </row>
    <row r="749" spans="1:12" ht="13.2">
      <c r="A749" s="55"/>
      <c r="B749" s="55" t="str">
        <f t="shared" si="2"/>
        <v>2025/2</v>
      </c>
      <c r="C749" s="31">
        <v>450</v>
      </c>
      <c r="D749" s="62">
        <v>45700</v>
      </c>
      <c r="E749" s="55" t="s">
        <v>8</v>
      </c>
      <c r="F749" s="63" t="s">
        <v>623</v>
      </c>
      <c r="J749" s="58"/>
      <c r="K749" s="55"/>
      <c r="L749" s="55"/>
    </row>
    <row r="750" spans="1:12" ht="13.2">
      <c r="A750" s="55"/>
      <c r="B750" s="55" t="str">
        <f t="shared" si="2"/>
        <v>2025/2</v>
      </c>
      <c r="C750" s="31">
        <f>35.7+55</f>
        <v>90.7</v>
      </c>
      <c r="D750" s="62">
        <v>45705</v>
      </c>
      <c r="E750" s="55" t="s">
        <v>9</v>
      </c>
      <c r="F750" s="63" t="s">
        <v>523</v>
      </c>
      <c r="J750" s="58"/>
      <c r="K750" s="55"/>
      <c r="L750" s="55"/>
    </row>
    <row r="751" spans="1:12" ht="13.2">
      <c r="A751" s="55"/>
      <c r="B751" s="55" t="str">
        <f t="shared" si="2"/>
        <v>2025/2</v>
      </c>
      <c r="C751" s="31">
        <v>1020.24</v>
      </c>
      <c r="D751" s="62">
        <v>45707</v>
      </c>
      <c r="E751" s="55" t="s">
        <v>7</v>
      </c>
      <c r="F751" s="63" t="s">
        <v>624</v>
      </c>
      <c r="J751" s="58"/>
      <c r="K751" s="55"/>
      <c r="L751" s="55"/>
    </row>
    <row r="752" spans="1:12" ht="13.2">
      <c r="A752" s="55"/>
      <c r="B752" s="55" t="str">
        <f t="shared" si="2"/>
        <v>2025/2</v>
      </c>
      <c r="C752" s="31">
        <v>53.35</v>
      </c>
      <c r="D752" s="62">
        <v>45707</v>
      </c>
      <c r="E752" s="55" t="s">
        <v>9</v>
      </c>
      <c r="F752" s="63" t="s">
        <v>539</v>
      </c>
      <c r="J752" s="58"/>
      <c r="K752" s="55"/>
      <c r="L752" s="55"/>
    </row>
    <row r="753" spans="1:12" ht="13.2">
      <c r="A753" s="55"/>
      <c r="B753" s="55" t="str">
        <f t="shared" si="2"/>
        <v>2025/2</v>
      </c>
      <c r="C753" s="31">
        <v>30</v>
      </c>
      <c r="D753" s="62">
        <v>45708</v>
      </c>
      <c r="E753" s="55" t="s">
        <v>9</v>
      </c>
      <c r="F753" s="63" t="s">
        <v>625</v>
      </c>
      <c r="J753" s="58"/>
      <c r="K753" s="55"/>
      <c r="L753" s="55"/>
    </row>
    <row r="754" spans="1:12" ht="13.2">
      <c r="A754" s="55"/>
      <c r="B754" s="55" t="str">
        <f t="shared" si="2"/>
        <v>2025/2</v>
      </c>
      <c r="C754" s="31">
        <v>633</v>
      </c>
      <c r="D754" s="62">
        <v>45712</v>
      </c>
      <c r="E754" s="55" t="s">
        <v>9</v>
      </c>
      <c r="F754" s="63" t="s">
        <v>626</v>
      </c>
      <c r="H754" s="63" t="s">
        <v>627</v>
      </c>
      <c r="J754" s="58"/>
      <c r="K754" s="55"/>
      <c r="L754" s="55"/>
    </row>
    <row r="755" spans="1:12" ht="13.2">
      <c r="A755" s="55"/>
      <c r="B755" s="55" t="str">
        <f t="shared" si="2"/>
        <v>2025/2</v>
      </c>
      <c r="C755" s="31">
        <v>64.709999999999994</v>
      </c>
      <c r="D755" s="62">
        <v>45716</v>
      </c>
      <c r="E755" s="55" t="s">
        <v>2</v>
      </c>
      <c r="J755" s="58"/>
      <c r="K755" s="55"/>
      <c r="L755" s="55"/>
    </row>
    <row r="756" spans="1:12" ht="13.2">
      <c r="A756" s="55"/>
      <c r="B756" s="80" t="str">
        <f t="shared" si="2"/>
        <v>2025/3</v>
      </c>
      <c r="C756" s="31">
        <v>299</v>
      </c>
      <c r="D756" s="62">
        <v>45717</v>
      </c>
      <c r="E756" s="55" t="s">
        <v>5</v>
      </c>
      <c r="F756" s="63" t="s">
        <v>325</v>
      </c>
      <c r="J756" s="58"/>
      <c r="K756" s="55"/>
      <c r="L756" s="55"/>
    </row>
    <row r="757" spans="1:12" ht="13.2">
      <c r="A757" s="55"/>
      <c r="B757" s="55" t="str">
        <f t="shared" si="2"/>
        <v>2025/3</v>
      </c>
      <c r="C757" s="31">
        <v>49.9</v>
      </c>
      <c r="D757" s="62">
        <v>45718</v>
      </c>
      <c r="E757" s="55" t="s">
        <v>9</v>
      </c>
      <c r="F757" s="63" t="s">
        <v>567</v>
      </c>
      <c r="J757" s="58"/>
      <c r="K757" s="55"/>
      <c r="L757" s="55"/>
    </row>
    <row r="758" spans="1:12" ht="13.2">
      <c r="A758" s="55"/>
      <c r="B758" s="55" t="str">
        <f t="shared" si="2"/>
        <v>2025/3</v>
      </c>
      <c r="C758" s="31">
        <v>360</v>
      </c>
      <c r="D758" s="62">
        <v>45719</v>
      </c>
      <c r="E758" s="55" t="s">
        <v>8</v>
      </c>
      <c r="F758" s="63" t="s">
        <v>517</v>
      </c>
      <c r="J758" s="58"/>
      <c r="K758" s="55"/>
      <c r="L758" s="55"/>
    </row>
    <row r="759" spans="1:12" ht="13.2">
      <c r="A759" s="55"/>
      <c r="B759" s="55" t="str">
        <f t="shared" si="2"/>
        <v>2025/3</v>
      </c>
      <c r="C759" s="31">
        <v>99.99</v>
      </c>
      <c r="D759" s="62">
        <v>45719</v>
      </c>
      <c r="E759" s="55" t="s">
        <v>9</v>
      </c>
      <c r="F759" s="63" t="s">
        <v>433</v>
      </c>
      <c r="J759" s="58"/>
      <c r="K759" s="55"/>
      <c r="L759" s="55"/>
    </row>
    <row r="760" spans="1:12" ht="13.2">
      <c r="A760" s="55"/>
      <c r="B760" s="55" t="str">
        <f t="shared" si="2"/>
        <v>2025/3</v>
      </c>
      <c r="C760" s="31">
        <f>33.98+76.5+157.62</f>
        <v>268.10000000000002</v>
      </c>
      <c r="D760" s="62">
        <v>45720</v>
      </c>
      <c r="E760" s="55" t="s">
        <v>3</v>
      </c>
      <c r="F760" s="63" t="s">
        <v>337</v>
      </c>
      <c r="J760" s="58"/>
      <c r="K760" s="55"/>
      <c r="L760" s="55"/>
    </row>
    <row r="761" spans="1:12" ht="13.2">
      <c r="A761" s="55"/>
      <c r="B761" s="55" t="str">
        <f t="shared" si="2"/>
        <v>2025/3</v>
      </c>
      <c r="C761" s="31">
        <v>753.26</v>
      </c>
      <c r="D761" s="62">
        <v>45720</v>
      </c>
      <c r="E761" s="55" t="s">
        <v>7</v>
      </c>
      <c r="F761" s="63" t="s">
        <v>412</v>
      </c>
      <c r="J761" s="58"/>
      <c r="K761" s="55"/>
      <c r="L761" s="55"/>
    </row>
    <row r="762" spans="1:12" ht="13.2">
      <c r="A762" s="55"/>
      <c r="B762" s="55" t="str">
        <f t="shared" si="2"/>
        <v>2025/3</v>
      </c>
      <c r="C762" s="31">
        <v>3500</v>
      </c>
      <c r="D762" s="62">
        <v>45721</v>
      </c>
      <c r="E762" s="55" t="s">
        <v>7</v>
      </c>
      <c r="J762" s="58"/>
      <c r="K762" s="55"/>
      <c r="L762" s="55"/>
    </row>
    <row r="763" spans="1:12" ht="13.2">
      <c r="A763" s="55"/>
      <c r="B763" s="55" t="str">
        <f t="shared" si="2"/>
        <v>2025/3</v>
      </c>
      <c r="C763" s="31">
        <f>310.64+494.34</f>
        <v>804.98</v>
      </c>
      <c r="D763" s="62">
        <v>45722</v>
      </c>
      <c r="E763" s="55" t="s">
        <v>6</v>
      </c>
      <c r="F763" s="63" t="s">
        <v>628</v>
      </c>
      <c r="J763" s="58"/>
      <c r="K763" s="55"/>
      <c r="L763" s="55"/>
    </row>
    <row r="764" spans="1:12" ht="13.2">
      <c r="A764" s="55"/>
      <c r="B764" s="55" t="str">
        <f t="shared" si="2"/>
        <v>2025/3</v>
      </c>
      <c r="C764" s="31">
        <v>60</v>
      </c>
      <c r="D764" s="62">
        <v>45726</v>
      </c>
      <c r="E764" s="55" t="s">
        <v>9</v>
      </c>
      <c r="F764" s="63" t="s">
        <v>629</v>
      </c>
      <c r="J764" s="58"/>
      <c r="K764" s="55"/>
      <c r="L764" s="55"/>
    </row>
    <row r="765" spans="1:12" ht="13.2">
      <c r="A765" s="55"/>
      <c r="B765" s="55" t="str">
        <f t="shared" si="2"/>
        <v>2025/3</v>
      </c>
      <c r="C765" s="31">
        <v>290</v>
      </c>
      <c r="D765" s="62">
        <v>45731</v>
      </c>
      <c r="E765" s="55" t="s">
        <v>5</v>
      </c>
      <c r="F765" s="63" t="s">
        <v>630</v>
      </c>
      <c r="J765" s="58"/>
      <c r="K765" s="55"/>
      <c r="L765" s="55"/>
    </row>
    <row r="766" spans="1:12" ht="13.2">
      <c r="A766" s="55"/>
      <c r="B766" s="55" t="str">
        <f t="shared" si="2"/>
        <v>2025/3</v>
      </c>
      <c r="C766" s="31">
        <v>450</v>
      </c>
      <c r="D766" s="62">
        <v>45732</v>
      </c>
      <c r="E766" s="55" t="s">
        <v>8</v>
      </c>
      <c r="F766" s="63" t="s">
        <v>631</v>
      </c>
      <c r="J766" s="58"/>
      <c r="K766" s="55"/>
      <c r="L766" s="55"/>
    </row>
    <row r="767" spans="1:12" ht="13.2">
      <c r="A767" s="55"/>
      <c r="B767" s="55" t="str">
        <f t="shared" si="2"/>
        <v>2025/3</v>
      </c>
      <c r="C767" s="31">
        <v>215</v>
      </c>
      <c r="D767" s="62">
        <v>45733</v>
      </c>
      <c r="E767" s="55" t="s">
        <v>6</v>
      </c>
      <c r="F767" s="63" t="s">
        <v>475</v>
      </c>
      <c r="J767" s="58"/>
      <c r="K767" s="55"/>
      <c r="L767" s="55"/>
    </row>
    <row r="768" spans="1:12" ht="13.2">
      <c r="A768" s="55"/>
      <c r="B768" s="55" t="str">
        <f t="shared" ref="B768:B1022" si="3">IF(D768&gt;0, CONCATENATE(YEAR(D768),"/",MONTH(D768)),"")</f>
        <v>2025/3</v>
      </c>
      <c r="C768" s="31">
        <v>212.35</v>
      </c>
      <c r="D768" s="62">
        <v>45733</v>
      </c>
      <c r="E768" s="55" t="s">
        <v>9</v>
      </c>
      <c r="F768" s="63" t="s">
        <v>445</v>
      </c>
      <c r="J768" s="58"/>
      <c r="K768" s="55"/>
      <c r="L768" s="55"/>
    </row>
    <row r="769" spans="1:12" ht="13.2">
      <c r="A769" s="55"/>
      <c r="B769" s="55" t="str">
        <f t="shared" si="3"/>
        <v>2025/3</v>
      </c>
      <c r="C769" s="31">
        <v>65</v>
      </c>
      <c r="D769" s="62">
        <v>45734</v>
      </c>
      <c r="E769" s="55" t="s">
        <v>9</v>
      </c>
      <c r="F769" s="63" t="s">
        <v>563</v>
      </c>
      <c r="J769" s="58"/>
      <c r="K769" s="55"/>
      <c r="L769" s="55"/>
    </row>
    <row r="770" spans="1:12" ht="13.2">
      <c r="A770" s="55"/>
      <c r="B770" s="55" t="str">
        <f t="shared" si="3"/>
        <v>2025/3</v>
      </c>
      <c r="C770" s="31">
        <v>53.06</v>
      </c>
      <c r="D770" s="62">
        <v>45739</v>
      </c>
      <c r="E770" s="55" t="s">
        <v>9</v>
      </c>
      <c r="F770" s="63" t="s">
        <v>632</v>
      </c>
      <c r="J770" s="58"/>
      <c r="K770" s="55"/>
      <c r="L770" s="55"/>
    </row>
    <row r="771" spans="1:12" ht="13.2">
      <c r="A771" s="55"/>
      <c r="B771" s="55" t="str">
        <f t="shared" si="3"/>
        <v>2025/3</v>
      </c>
      <c r="C771" s="31">
        <v>108.36</v>
      </c>
      <c r="D771" s="62">
        <v>45744</v>
      </c>
      <c r="E771" s="55" t="s">
        <v>3</v>
      </c>
      <c r="F771" s="63" t="s">
        <v>633</v>
      </c>
      <c r="J771" s="58"/>
      <c r="K771" s="55"/>
      <c r="L771" s="55"/>
    </row>
    <row r="772" spans="1:12" ht="13.2">
      <c r="A772" s="55"/>
      <c r="B772" s="55" t="str">
        <f t="shared" si="3"/>
        <v>2025/3</v>
      </c>
      <c r="C772" s="31">
        <v>80</v>
      </c>
      <c r="D772" s="62">
        <v>45745</v>
      </c>
      <c r="E772" s="55" t="s">
        <v>2</v>
      </c>
      <c r="F772" s="63"/>
      <c r="J772" s="58"/>
      <c r="K772" s="55"/>
      <c r="L772" s="55"/>
    </row>
    <row r="773" spans="1:12" ht="13.2">
      <c r="A773" s="55"/>
      <c r="B773" s="80" t="str">
        <f t="shared" si="3"/>
        <v>2025/4</v>
      </c>
      <c r="C773" s="31">
        <v>215</v>
      </c>
      <c r="D773" s="62">
        <v>45749</v>
      </c>
      <c r="E773" s="55" t="s">
        <v>6</v>
      </c>
      <c r="F773" s="63" t="s">
        <v>475</v>
      </c>
      <c r="J773" s="58"/>
      <c r="K773" s="55"/>
      <c r="L773" s="55"/>
    </row>
    <row r="774" spans="1:12" ht="13.2">
      <c r="A774" s="55"/>
      <c r="B774" s="55" t="str">
        <f t="shared" si="3"/>
        <v>2025/4</v>
      </c>
      <c r="C774" s="31">
        <v>299</v>
      </c>
      <c r="D774" s="62">
        <v>45749</v>
      </c>
      <c r="E774" s="55" t="s">
        <v>5</v>
      </c>
      <c r="F774" s="63" t="s">
        <v>347</v>
      </c>
      <c r="J774" s="58"/>
      <c r="K774" s="55"/>
      <c r="L774" s="55"/>
    </row>
    <row r="775" spans="1:12" ht="13.2">
      <c r="A775" s="55"/>
      <c r="B775" s="55" t="str">
        <f t="shared" si="3"/>
        <v>2025/4</v>
      </c>
      <c r="C775" s="31">
        <v>3500</v>
      </c>
      <c r="D775" s="62">
        <v>45750</v>
      </c>
      <c r="E775" s="55" t="s">
        <v>7</v>
      </c>
      <c r="J775" s="58"/>
      <c r="K775" s="55"/>
      <c r="L775" s="55"/>
    </row>
    <row r="776" spans="1:12" ht="13.2">
      <c r="A776" s="55"/>
      <c r="B776" s="55" t="str">
        <f t="shared" si="3"/>
        <v>2025/4</v>
      </c>
      <c r="C776" s="31">
        <v>873.79</v>
      </c>
      <c r="D776" s="62">
        <v>45750</v>
      </c>
      <c r="E776" s="55" t="s">
        <v>7</v>
      </c>
      <c r="F776" s="63" t="s">
        <v>412</v>
      </c>
      <c r="J776" s="58"/>
      <c r="K776" s="55"/>
      <c r="L776" s="55"/>
    </row>
    <row r="777" spans="1:12" ht="13.2">
      <c r="A777" s="55"/>
      <c r="B777" s="55" t="str">
        <f t="shared" si="3"/>
        <v>2025/4</v>
      </c>
      <c r="C777" s="31">
        <v>1000</v>
      </c>
      <c r="D777" s="62">
        <v>45750</v>
      </c>
      <c r="E777" s="55" t="s">
        <v>8</v>
      </c>
      <c r="F777" s="63" t="s">
        <v>634</v>
      </c>
      <c r="J777" s="58"/>
      <c r="K777" s="55"/>
      <c r="L777" s="55"/>
    </row>
    <row r="778" spans="1:12" ht="13.2">
      <c r="A778" s="55"/>
      <c r="B778" s="55" t="str">
        <f t="shared" si="3"/>
        <v>2025/4</v>
      </c>
      <c r="C778" s="31">
        <v>244.59</v>
      </c>
      <c r="D778" s="62">
        <v>45751</v>
      </c>
      <c r="E778" s="55" t="s">
        <v>9</v>
      </c>
      <c r="F778" s="63" t="s">
        <v>445</v>
      </c>
      <c r="J778" s="58"/>
      <c r="K778" s="55"/>
      <c r="L778" s="55"/>
    </row>
    <row r="779" spans="1:12" ht="13.2">
      <c r="A779" s="55"/>
      <c r="B779" s="55" t="str">
        <f t="shared" si="3"/>
        <v>2025/4</v>
      </c>
      <c r="C779" s="31">
        <f>40+30</f>
        <v>70</v>
      </c>
      <c r="D779" s="62">
        <v>45754</v>
      </c>
      <c r="E779" s="55" t="s">
        <v>9</v>
      </c>
      <c r="F779" s="63" t="s">
        <v>593</v>
      </c>
      <c r="J779" s="58"/>
      <c r="K779" s="55"/>
      <c r="L779" s="55"/>
    </row>
    <row r="780" spans="1:12" ht="13.2">
      <c r="A780" s="55"/>
      <c r="B780" s="55" t="str">
        <f t="shared" si="3"/>
        <v>2025/4</v>
      </c>
      <c r="C780" s="31">
        <v>38.46</v>
      </c>
      <c r="D780" s="62">
        <v>45754</v>
      </c>
      <c r="E780" s="55" t="s">
        <v>9</v>
      </c>
      <c r="F780" s="63" t="s">
        <v>635</v>
      </c>
      <c r="J780" s="58"/>
      <c r="K780" s="55"/>
      <c r="L780" s="55"/>
    </row>
    <row r="781" spans="1:12" ht="13.2">
      <c r="A781" s="55"/>
      <c r="B781" s="55" t="str">
        <f t="shared" si="3"/>
        <v>2025/4</v>
      </c>
      <c r="C781" s="31">
        <f>310.64+346.8</f>
        <v>657.44</v>
      </c>
      <c r="D781" s="62">
        <v>45758</v>
      </c>
      <c r="E781" s="55" t="s">
        <v>6</v>
      </c>
      <c r="F781" s="63" t="s">
        <v>636</v>
      </c>
      <c r="J781" s="58"/>
      <c r="K781" s="55"/>
      <c r="L781" s="55"/>
    </row>
    <row r="782" spans="1:12" ht="13.2">
      <c r="A782" s="55"/>
      <c r="B782" s="55" t="str">
        <f t="shared" si="3"/>
        <v>2025/4</v>
      </c>
      <c r="C782" s="31">
        <v>102.02</v>
      </c>
      <c r="D782" s="62">
        <v>45758</v>
      </c>
      <c r="E782" s="55" t="s">
        <v>9</v>
      </c>
      <c r="F782" s="63" t="s">
        <v>433</v>
      </c>
      <c r="J782" s="58"/>
      <c r="K782" s="55"/>
      <c r="L782" s="55"/>
    </row>
    <row r="783" spans="1:12" ht="13.2">
      <c r="A783" s="55"/>
      <c r="B783" s="55" t="str">
        <f t="shared" si="3"/>
        <v>2025/4</v>
      </c>
      <c r="C783" s="31">
        <v>70</v>
      </c>
      <c r="D783" s="62">
        <v>45758</v>
      </c>
      <c r="E783" s="55" t="s">
        <v>2</v>
      </c>
      <c r="J783" s="58"/>
      <c r="K783" s="55"/>
      <c r="L783" s="55"/>
    </row>
    <row r="784" spans="1:12" ht="13.2">
      <c r="A784" s="55"/>
      <c r="B784" s="55" t="str">
        <f t="shared" si="3"/>
        <v>2025/4</v>
      </c>
      <c r="C784" s="31">
        <v>49.9</v>
      </c>
      <c r="D784" s="62">
        <v>45759</v>
      </c>
      <c r="E784" s="55" t="s">
        <v>9</v>
      </c>
      <c r="F784" s="63" t="s">
        <v>567</v>
      </c>
      <c r="J784" s="58"/>
      <c r="K784" s="55"/>
      <c r="L784" s="55"/>
    </row>
    <row r="785" spans="1:12" ht="13.2">
      <c r="A785" s="55"/>
      <c r="B785" s="55" t="str">
        <f t="shared" si="3"/>
        <v>2025/4</v>
      </c>
      <c r="C785" s="31">
        <v>53.19</v>
      </c>
      <c r="D785" s="62">
        <v>45763</v>
      </c>
      <c r="E785" s="55" t="s">
        <v>9</v>
      </c>
      <c r="F785" s="63" t="s">
        <v>372</v>
      </c>
      <c r="J785" s="58"/>
      <c r="K785" s="55"/>
      <c r="L785" s="55"/>
    </row>
    <row r="786" spans="1:12" ht="13.2">
      <c r="A786" s="55"/>
      <c r="B786" s="55" t="str">
        <f t="shared" si="3"/>
        <v>2025/4</v>
      </c>
      <c r="C786" s="31">
        <v>108.43</v>
      </c>
      <c r="D786" s="62">
        <v>45770</v>
      </c>
      <c r="E786" s="55" t="s">
        <v>9</v>
      </c>
      <c r="F786" s="63" t="s">
        <v>563</v>
      </c>
      <c r="J786" s="58"/>
      <c r="K786" s="55"/>
      <c r="L786" s="55"/>
    </row>
    <row r="787" spans="1:12" ht="13.2">
      <c r="A787" s="55"/>
      <c r="B787" s="55" t="str">
        <f t="shared" si="3"/>
        <v>2025/4</v>
      </c>
      <c r="C787" s="31">
        <v>10</v>
      </c>
      <c r="D787" s="62">
        <v>45773</v>
      </c>
      <c r="E787" s="55" t="s">
        <v>9</v>
      </c>
      <c r="F787" s="63" t="s">
        <v>637</v>
      </c>
      <c r="J787" s="58"/>
      <c r="K787" s="55"/>
      <c r="L787" s="55"/>
    </row>
    <row r="788" spans="1:12" ht="13.2">
      <c r="A788" s="55"/>
      <c r="B788" s="80" t="str">
        <f t="shared" si="3"/>
        <v>2025/5</v>
      </c>
      <c r="C788" s="31">
        <v>299</v>
      </c>
      <c r="D788" s="62">
        <v>45779</v>
      </c>
      <c r="E788" s="55" t="s">
        <v>5</v>
      </c>
      <c r="F788" s="63" t="s">
        <v>347</v>
      </c>
      <c r="J788" s="58"/>
      <c r="K788" s="71"/>
      <c r="L788" s="55"/>
    </row>
    <row r="789" spans="1:12" ht="13.2">
      <c r="A789" s="55"/>
      <c r="B789" s="55" t="str">
        <f t="shared" si="3"/>
        <v>2025/5</v>
      </c>
      <c r="C789" s="31">
        <v>49.9</v>
      </c>
      <c r="D789" s="62">
        <v>45780</v>
      </c>
      <c r="E789" s="55" t="s">
        <v>9</v>
      </c>
      <c r="F789" s="63" t="s">
        <v>567</v>
      </c>
      <c r="J789" s="58"/>
      <c r="K789" s="82"/>
      <c r="L789" s="55"/>
    </row>
    <row r="790" spans="1:12" ht="13.2">
      <c r="A790" s="55"/>
      <c r="B790" s="55" t="str">
        <f t="shared" si="3"/>
        <v>2025/5</v>
      </c>
      <c r="C790" s="31">
        <v>23.48</v>
      </c>
      <c r="D790" s="62">
        <v>45781</v>
      </c>
      <c r="E790" s="55" t="s">
        <v>9</v>
      </c>
      <c r="F790" s="63" t="s">
        <v>638</v>
      </c>
      <c r="J790" s="58"/>
      <c r="K790" s="71"/>
      <c r="L790" s="55"/>
    </row>
    <row r="791" spans="1:12" ht="13.2">
      <c r="A791" s="55"/>
      <c r="B791" s="55" t="str">
        <f t="shared" si="3"/>
        <v>2025/5</v>
      </c>
      <c r="C791" s="31">
        <v>187.1</v>
      </c>
      <c r="D791" s="62">
        <v>45782</v>
      </c>
      <c r="E791" s="55" t="s">
        <v>9</v>
      </c>
      <c r="F791" s="63" t="s">
        <v>445</v>
      </c>
      <c r="J791" s="58"/>
      <c r="K791" s="71"/>
      <c r="L791" s="55"/>
    </row>
    <row r="792" spans="1:12" ht="13.2">
      <c r="A792" s="55"/>
      <c r="B792" s="55" t="str">
        <f t="shared" si="3"/>
        <v>2025/5</v>
      </c>
      <c r="C792" s="31">
        <v>99.99</v>
      </c>
      <c r="D792" s="62">
        <v>45782</v>
      </c>
      <c r="E792" s="55" t="s">
        <v>9</v>
      </c>
      <c r="F792" s="63" t="s">
        <v>433</v>
      </c>
      <c r="J792" s="58"/>
      <c r="K792" s="71"/>
      <c r="L792" s="55"/>
    </row>
    <row r="793" spans="1:12" ht="13.2">
      <c r="A793" s="55"/>
      <c r="B793" s="55" t="str">
        <f t="shared" si="3"/>
        <v>2025/5</v>
      </c>
      <c r="C793" s="31">
        <v>3500</v>
      </c>
      <c r="D793" s="62">
        <v>45782</v>
      </c>
      <c r="E793" s="55" t="s">
        <v>7</v>
      </c>
      <c r="J793" s="58"/>
      <c r="K793" s="71"/>
      <c r="L793" s="2"/>
    </row>
    <row r="794" spans="1:12" ht="13.2">
      <c r="A794" s="55"/>
      <c r="B794" s="55" t="str">
        <f t="shared" si="3"/>
        <v>2025/5</v>
      </c>
      <c r="C794" s="31">
        <v>873.79</v>
      </c>
      <c r="D794" s="62">
        <v>45782</v>
      </c>
      <c r="E794" s="55" t="s">
        <v>7</v>
      </c>
      <c r="J794" s="58"/>
      <c r="K794" s="71"/>
      <c r="L794" s="55"/>
    </row>
    <row r="795" spans="1:12" ht="13.2">
      <c r="A795" s="55"/>
      <c r="B795" s="55" t="str">
        <f t="shared" si="3"/>
        <v>2025/5</v>
      </c>
      <c r="C795" s="31">
        <v>80</v>
      </c>
      <c r="D795" s="62">
        <v>45783</v>
      </c>
      <c r="E795" s="55" t="s">
        <v>2</v>
      </c>
      <c r="J795" s="58"/>
      <c r="K795" s="79"/>
      <c r="L795" s="55"/>
    </row>
    <row r="796" spans="1:12" ht="13.2">
      <c r="A796" s="55"/>
      <c r="B796" s="55" t="str">
        <f t="shared" si="3"/>
        <v>2025/5</v>
      </c>
      <c r="C796" s="31">
        <v>109</v>
      </c>
      <c r="D796" s="62">
        <v>45784</v>
      </c>
      <c r="E796" s="55" t="s">
        <v>9</v>
      </c>
      <c r="F796" s="63" t="s">
        <v>639</v>
      </c>
      <c r="J796" s="58"/>
      <c r="K796" s="55"/>
      <c r="L796" s="55"/>
    </row>
    <row r="797" spans="1:12" ht="13.2">
      <c r="A797" s="55"/>
      <c r="B797" s="55" t="str">
        <f t="shared" si="3"/>
        <v>2025/5</v>
      </c>
      <c r="C797" s="31">
        <f>41.44+30</f>
        <v>71.44</v>
      </c>
      <c r="D797" s="62">
        <v>45786</v>
      </c>
      <c r="E797" s="55" t="s">
        <v>9</v>
      </c>
      <c r="F797" s="63" t="s">
        <v>640</v>
      </c>
      <c r="J797" s="58"/>
      <c r="K797" s="55"/>
      <c r="L797" s="55"/>
    </row>
    <row r="798" spans="1:12" ht="13.2">
      <c r="A798" s="55"/>
      <c r="B798" s="55" t="str">
        <f t="shared" si="3"/>
        <v>2025/5</v>
      </c>
      <c r="C798" s="31">
        <f>310.64+301.79</f>
        <v>612.43000000000006</v>
      </c>
      <c r="D798" s="62">
        <v>45788</v>
      </c>
      <c r="E798" s="55" t="s">
        <v>6</v>
      </c>
      <c r="F798" s="63" t="s">
        <v>641</v>
      </c>
      <c r="J798" s="58"/>
      <c r="K798" s="55"/>
      <c r="L798" s="55"/>
    </row>
    <row r="799" spans="1:12" ht="13.2">
      <c r="A799" s="55"/>
      <c r="B799" s="55" t="str">
        <f t="shared" si="3"/>
        <v>2025/5</v>
      </c>
      <c r="C799" s="31">
        <v>800</v>
      </c>
      <c r="D799" s="62">
        <v>45789</v>
      </c>
      <c r="E799" s="55" t="s">
        <v>8</v>
      </c>
      <c r="F799" s="63" t="s">
        <v>642</v>
      </c>
      <c r="J799" s="58"/>
      <c r="K799" s="55"/>
      <c r="L799" s="55"/>
    </row>
    <row r="800" spans="1:12" ht="13.2">
      <c r="A800" s="55"/>
      <c r="B800" s="55" t="str">
        <f t="shared" si="3"/>
        <v>2025/5</v>
      </c>
      <c r="C800" s="31">
        <v>28.48</v>
      </c>
      <c r="D800" s="62">
        <v>45790</v>
      </c>
      <c r="E800" s="55" t="s">
        <v>9</v>
      </c>
      <c r="F800" s="63" t="s">
        <v>643</v>
      </c>
      <c r="J800" s="58"/>
      <c r="K800" s="55"/>
      <c r="L800" s="55"/>
    </row>
    <row r="801" spans="1:12" ht="13.2">
      <c r="A801" s="55"/>
      <c r="B801" s="55" t="str">
        <f t="shared" si="3"/>
        <v>2025/5</v>
      </c>
      <c r="C801" s="31">
        <v>52</v>
      </c>
      <c r="D801" s="62">
        <v>45791</v>
      </c>
      <c r="E801" s="55" t="s">
        <v>9</v>
      </c>
      <c r="F801" s="63" t="s">
        <v>354</v>
      </c>
      <c r="J801" s="58"/>
      <c r="K801" s="55"/>
      <c r="L801" s="55"/>
    </row>
    <row r="802" spans="1:12" ht="13.2">
      <c r="A802" s="55"/>
      <c r="B802" s="55" t="str">
        <f t="shared" si="3"/>
        <v>2025/5</v>
      </c>
      <c r="C802" s="31">
        <v>18.91</v>
      </c>
      <c r="D802" s="62">
        <v>45796</v>
      </c>
      <c r="E802" s="55" t="s">
        <v>9</v>
      </c>
      <c r="F802" s="63" t="s">
        <v>644</v>
      </c>
      <c r="J802" s="58"/>
      <c r="K802" s="55"/>
      <c r="L802" s="55"/>
    </row>
    <row r="803" spans="1:12" ht="13.2">
      <c r="A803" s="55"/>
      <c r="B803" s="55" t="str">
        <f t="shared" si="3"/>
        <v>2025/5</v>
      </c>
      <c r="C803" s="31">
        <v>215</v>
      </c>
      <c r="D803" s="62">
        <v>45807</v>
      </c>
      <c r="E803" s="55" t="s">
        <v>6</v>
      </c>
      <c r="F803" s="63" t="s">
        <v>364</v>
      </c>
      <c r="J803" s="58"/>
      <c r="K803" s="55"/>
      <c r="L803" s="55"/>
    </row>
    <row r="804" spans="1:12" ht="13.2">
      <c r="A804" s="55"/>
      <c r="B804" s="84" t="str">
        <f t="shared" si="3"/>
        <v>2025/6</v>
      </c>
      <c r="C804" s="31">
        <v>299</v>
      </c>
      <c r="D804" s="62">
        <v>45809</v>
      </c>
      <c r="E804" s="55" t="s">
        <v>5</v>
      </c>
      <c r="F804" s="63" t="s">
        <v>347</v>
      </c>
      <c r="J804" s="58"/>
      <c r="K804" s="55"/>
      <c r="L804" s="55"/>
    </row>
    <row r="805" spans="1:12" ht="13.2">
      <c r="A805" s="55"/>
      <c r="B805" s="55" t="str">
        <f t="shared" si="3"/>
        <v>2025/6</v>
      </c>
      <c r="C805" s="31">
        <v>150</v>
      </c>
      <c r="D805" s="62">
        <v>45810</v>
      </c>
      <c r="E805" s="55" t="s">
        <v>9</v>
      </c>
      <c r="F805" s="63" t="s">
        <v>645</v>
      </c>
      <c r="J805" s="58"/>
      <c r="K805" s="55"/>
      <c r="L805" s="55"/>
    </row>
    <row r="806" spans="1:12" ht="13.2">
      <c r="A806" s="55"/>
      <c r="B806" s="55" t="str">
        <f t="shared" si="3"/>
        <v>2025/6</v>
      </c>
      <c r="C806" s="31">
        <v>208.73</v>
      </c>
      <c r="D806" s="62">
        <v>45810</v>
      </c>
      <c r="E806" s="55" t="s">
        <v>9</v>
      </c>
      <c r="F806" s="63" t="s">
        <v>445</v>
      </c>
      <c r="J806" s="58"/>
      <c r="K806" s="55"/>
      <c r="L806" s="55"/>
    </row>
    <row r="807" spans="1:12" ht="13.2">
      <c r="A807" s="55"/>
      <c r="B807" s="55" t="str">
        <f t="shared" si="3"/>
        <v>2025/6</v>
      </c>
      <c r="C807" s="31">
        <v>99.99</v>
      </c>
      <c r="D807" s="62">
        <v>45810</v>
      </c>
      <c r="E807" s="55" t="s">
        <v>9</v>
      </c>
      <c r="F807" s="63" t="s">
        <v>433</v>
      </c>
      <c r="J807" s="58"/>
      <c r="K807" s="55"/>
      <c r="L807" s="55"/>
    </row>
    <row r="808" spans="1:12" ht="13.2">
      <c r="A808" s="55"/>
      <c r="B808" s="55" t="str">
        <f t="shared" si="3"/>
        <v>2025/6</v>
      </c>
      <c r="C808" s="31">
        <v>873.79</v>
      </c>
      <c r="D808" s="62">
        <v>45811</v>
      </c>
      <c r="E808" s="55" t="s">
        <v>7</v>
      </c>
      <c r="F808" s="63" t="s">
        <v>412</v>
      </c>
      <c r="J808" s="58"/>
      <c r="K808" s="55"/>
      <c r="L808" s="55"/>
    </row>
    <row r="809" spans="1:12" ht="13.2">
      <c r="A809" s="55"/>
      <c r="B809" s="55" t="str">
        <f t="shared" si="3"/>
        <v>2025/6</v>
      </c>
      <c r="C809" s="31">
        <v>3500</v>
      </c>
      <c r="D809" s="62">
        <v>45812</v>
      </c>
      <c r="E809" s="55" t="s">
        <v>7</v>
      </c>
      <c r="J809" s="58"/>
      <c r="K809" s="55"/>
      <c r="L809" s="55"/>
    </row>
    <row r="810" spans="1:12" ht="13.2">
      <c r="A810" s="55"/>
      <c r="B810" s="55" t="str">
        <f t="shared" si="3"/>
        <v>2025/6</v>
      </c>
      <c r="C810" s="31">
        <v>66.900000000000006</v>
      </c>
      <c r="D810" s="62">
        <v>45813</v>
      </c>
      <c r="E810" s="55" t="s">
        <v>9</v>
      </c>
      <c r="F810" s="63" t="s">
        <v>567</v>
      </c>
      <c r="J810" s="58"/>
      <c r="K810" s="55"/>
      <c r="L810" s="55"/>
    </row>
    <row r="811" spans="1:12" ht="13.2">
      <c r="A811" s="55"/>
      <c r="B811" s="55" t="str">
        <f t="shared" si="3"/>
        <v>2025/6</v>
      </c>
      <c r="C811" s="31">
        <v>215</v>
      </c>
      <c r="D811" s="62">
        <v>45813</v>
      </c>
      <c r="E811" s="55" t="s">
        <v>6</v>
      </c>
      <c r="F811" s="63" t="s">
        <v>364</v>
      </c>
      <c r="J811" s="58"/>
      <c r="K811" s="55"/>
      <c r="L811" s="55"/>
    </row>
    <row r="812" spans="1:12" ht="13.2">
      <c r="A812" s="55"/>
      <c r="B812" s="55" t="str">
        <f t="shared" si="3"/>
        <v>2025/6</v>
      </c>
      <c r="C812" s="31">
        <f>30+5.6+6.8</f>
        <v>42.4</v>
      </c>
      <c r="D812" s="62">
        <v>45814</v>
      </c>
      <c r="E812" s="55" t="s">
        <v>9</v>
      </c>
      <c r="F812" s="63" t="s">
        <v>646</v>
      </c>
      <c r="J812" s="58"/>
      <c r="K812" s="55"/>
      <c r="L812" s="55"/>
    </row>
    <row r="813" spans="1:12" ht="13.2">
      <c r="A813" s="55"/>
      <c r="B813" s="55" t="str">
        <f t="shared" si="3"/>
        <v>2025/6</v>
      </c>
      <c r="C813" s="31">
        <v>600</v>
      </c>
      <c r="D813" s="62">
        <v>45814</v>
      </c>
      <c r="E813" s="55" t="s">
        <v>8</v>
      </c>
      <c r="F813" s="63" t="s">
        <v>647</v>
      </c>
      <c r="J813" s="58"/>
      <c r="K813" s="55"/>
      <c r="L813" s="55"/>
    </row>
    <row r="814" spans="1:12" ht="13.2">
      <c r="A814" s="55"/>
      <c r="B814" s="55" t="str">
        <f t="shared" si="3"/>
        <v>2025/6</v>
      </c>
      <c r="C814" s="31">
        <v>180</v>
      </c>
      <c r="D814" s="62">
        <v>45815</v>
      </c>
      <c r="E814" s="55" t="s">
        <v>9</v>
      </c>
      <c r="F814" s="63" t="s">
        <v>648</v>
      </c>
      <c r="J814" s="58"/>
      <c r="K814" s="55"/>
      <c r="L814" s="55"/>
    </row>
    <row r="815" spans="1:12" ht="13.2">
      <c r="A815" s="55"/>
      <c r="B815" s="55" t="str">
        <f t="shared" si="3"/>
        <v>2025/6</v>
      </c>
      <c r="C815" s="31">
        <v>4</v>
      </c>
      <c r="D815" s="62">
        <v>45819</v>
      </c>
      <c r="E815" s="55" t="s">
        <v>9</v>
      </c>
      <c r="F815" s="63" t="s">
        <v>649</v>
      </c>
      <c r="J815" s="58"/>
      <c r="K815" s="55"/>
      <c r="L815" s="55"/>
    </row>
    <row r="816" spans="1:12" ht="13.2">
      <c r="A816" s="55"/>
      <c r="B816" s="55" t="str">
        <f t="shared" si="3"/>
        <v>2025/6</v>
      </c>
      <c r="C816" s="31">
        <f>180+333.96</f>
        <v>513.96</v>
      </c>
      <c r="D816" s="62">
        <v>45824</v>
      </c>
      <c r="E816" s="55" t="s">
        <v>6</v>
      </c>
      <c r="F816" s="63" t="s">
        <v>641</v>
      </c>
      <c r="J816" s="58"/>
      <c r="K816" s="55"/>
      <c r="L816" s="55"/>
    </row>
    <row r="817" spans="1:12" ht="13.2">
      <c r="A817" s="55"/>
      <c r="B817" s="55" t="str">
        <f t="shared" si="3"/>
        <v>2025/6</v>
      </c>
      <c r="C817" s="31">
        <v>52</v>
      </c>
      <c r="D817" s="62">
        <v>45824</v>
      </c>
      <c r="E817" s="55" t="s">
        <v>9</v>
      </c>
      <c r="F817" s="63" t="s">
        <v>510</v>
      </c>
      <c r="J817" s="58"/>
      <c r="K817" s="55"/>
      <c r="L817" s="55"/>
    </row>
    <row r="818" spans="1:12" ht="13.2">
      <c r="A818" s="55"/>
      <c r="B818" s="55" t="str">
        <f t="shared" si="3"/>
        <v>2025/6</v>
      </c>
      <c r="C818" s="31">
        <v>450</v>
      </c>
      <c r="D818" s="62">
        <v>45824</v>
      </c>
      <c r="E818" s="55" t="s">
        <v>9</v>
      </c>
      <c r="F818" s="63" t="s">
        <v>650</v>
      </c>
      <c r="J818" s="58"/>
      <c r="K818" s="71"/>
      <c r="L818" s="55"/>
    </row>
    <row r="819" spans="1:12" ht="13.2">
      <c r="A819" s="55"/>
      <c r="B819" s="55" t="str">
        <f t="shared" si="3"/>
        <v>2025/6</v>
      </c>
      <c r="C819" s="31">
        <v>256.44</v>
      </c>
      <c r="D819" s="62">
        <v>45832</v>
      </c>
      <c r="E819" s="55" t="s">
        <v>9</v>
      </c>
      <c r="F819" s="63" t="s">
        <v>651</v>
      </c>
      <c r="J819" s="58"/>
      <c r="K819" s="71"/>
      <c r="L819" s="55"/>
    </row>
    <row r="820" spans="1:12" ht="13.2">
      <c r="A820" s="55"/>
      <c r="B820" s="55" t="str">
        <f t="shared" si="3"/>
        <v>2025/6</v>
      </c>
      <c r="C820" s="31">
        <v>20</v>
      </c>
      <c r="D820" s="62">
        <v>45832</v>
      </c>
      <c r="E820" s="55" t="s">
        <v>9</v>
      </c>
      <c r="F820" s="63" t="s">
        <v>652</v>
      </c>
      <c r="J820" s="58"/>
      <c r="K820" s="71"/>
      <c r="L820" s="55"/>
    </row>
    <row r="821" spans="1:12" ht="13.2">
      <c r="A821" s="55"/>
      <c r="B821" s="55" t="str">
        <f t="shared" si="3"/>
        <v>2025/6</v>
      </c>
      <c r="C821" s="31">
        <v>80</v>
      </c>
      <c r="D821" s="62">
        <v>45835</v>
      </c>
      <c r="E821" s="55" t="s">
        <v>2</v>
      </c>
      <c r="J821" s="58"/>
      <c r="K821" s="71"/>
      <c r="L821" s="55"/>
    </row>
    <row r="822" spans="1:12" ht="13.2">
      <c r="A822" s="55"/>
      <c r="B822" s="55" t="str">
        <f t="shared" si="3"/>
        <v/>
      </c>
      <c r="C822" s="31"/>
      <c r="D822" s="62"/>
      <c r="E822" s="55"/>
      <c r="J822" s="58"/>
      <c r="K822" s="82"/>
      <c r="L822" s="55"/>
    </row>
    <row r="823" spans="1:12" ht="13.2">
      <c r="A823" s="55"/>
      <c r="B823" s="55" t="str">
        <f t="shared" si="3"/>
        <v>2025/7</v>
      </c>
      <c r="C823" s="31">
        <v>299</v>
      </c>
      <c r="D823" s="62">
        <v>45839</v>
      </c>
      <c r="E823" s="55" t="s">
        <v>5</v>
      </c>
      <c r="F823" s="63" t="s">
        <v>653</v>
      </c>
      <c r="J823" s="58"/>
      <c r="K823" s="71"/>
      <c r="L823" s="55"/>
    </row>
    <row r="824" spans="1:12" ht="13.2">
      <c r="A824" s="55"/>
      <c r="B824" s="55" t="str">
        <f t="shared" si="3"/>
        <v>2025/7</v>
      </c>
      <c r="C824" s="31">
        <v>3500</v>
      </c>
      <c r="D824" s="62">
        <v>45840</v>
      </c>
      <c r="E824" s="55" t="s">
        <v>7</v>
      </c>
      <c r="J824" s="58"/>
      <c r="K824" s="71"/>
      <c r="L824" s="55"/>
    </row>
    <row r="825" spans="1:12" ht="13.2">
      <c r="A825" s="55"/>
      <c r="B825" s="55" t="str">
        <f t="shared" si="3"/>
        <v>2025/7</v>
      </c>
      <c r="C825" s="31"/>
      <c r="D825" s="62">
        <v>45841</v>
      </c>
      <c r="E825" s="55" t="s">
        <v>7</v>
      </c>
      <c r="F825" s="63" t="s">
        <v>412</v>
      </c>
      <c r="J825" s="58"/>
      <c r="K825" s="71"/>
      <c r="L825" s="55"/>
    </row>
    <row r="826" spans="1:12" ht="13.2">
      <c r="A826" s="55"/>
      <c r="B826" s="55" t="str">
        <f t="shared" si="3"/>
        <v>2025/7</v>
      </c>
      <c r="C826" s="31">
        <v>66.900000000000006</v>
      </c>
      <c r="D826" s="62">
        <v>45842</v>
      </c>
      <c r="E826" s="55" t="s">
        <v>9</v>
      </c>
      <c r="F826" s="63" t="s">
        <v>567</v>
      </c>
      <c r="J826" s="58"/>
      <c r="K826" s="71"/>
      <c r="L826" s="2"/>
    </row>
    <row r="827" spans="1:12" ht="13.2">
      <c r="A827" s="55"/>
      <c r="B827" s="55" t="str">
        <f t="shared" si="3"/>
        <v/>
      </c>
      <c r="C827" s="31"/>
      <c r="D827" s="62"/>
      <c r="E827" s="55"/>
      <c r="J827" s="58"/>
      <c r="K827" s="71"/>
      <c r="L827" s="55"/>
    </row>
    <row r="828" spans="1:12" ht="13.2">
      <c r="A828" s="55"/>
      <c r="B828" s="55" t="str">
        <f t="shared" si="3"/>
        <v/>
      </c>
      <c r="C828" s="31"/>
      <c r="D828" s="62"/>
      <c r="E828" s="55"/>
      <c r="J828" s="58"/>
      <c r="K828" s="79"/>
      <c r="L828" s="55"/>
    </row>
    <row r="829" spans="1:12" ht="13.2">
      <c r="A829" s="55"/>
      <c r="B829" s="55" t="str">
        <f t="shared" si="3"/>
        <v/>
      </c>
      <c r="C829" s="31"/>
      <c r="D829" s="62"/>
      <c r="E829" s="55"/>
      <c r="J829" s="58"/>
      <c r="K829" s="55"/>
      <c r="L829" s="55"/>
    </row>
    <row r="830" spans="1:12" ht="13.2">
      <c r="A830" s="55"/>
      <c r="B830" s="55" t="str">
        <f t="shared" si="3"/>
        <v/>
      </c>
      <c r="C830" s="31"/>
      <c r="D830" s="62"/>
      <c r="E830" s="55"/>
      <c r="J830" s="58"/>
      <c r="K830" s="55"/>
      <c r="L830" s="55"/>
    </row>
    <row r="831" spans="1:12" ht="13.2">
      <c r="A831" s="55"/>
      <c r="B831" s="55" t="str">
        <f t="shared" si="3"/>
        <v/>
      </c>
      <c r="C831" s="31"/>
      <c r="D831" s="62"/>
      <c r="E831" s="55"/>
      <c r="J831" s="58"/>
      <c r="K831" s="55"/>
      <c r="L831" s="55"/>
    </row>
    <row r="832" spans="1:12" ht="13.2">
      <c r="A832" s="55"/>
      <c r="B832" s="55" t="str">
        <f t="shared" si="3"/>
        <v/>
      </c>
      <c r="C832" s="31"/>
      <c r="D832" s="62"/>
      <c r="E832" s="55"/>
      <c r="J832" s="58"/>
      <c r="K832" s="55"/>
      <c r="L832" s="55"/>
    </row>
    <row r="833" spans="1:15" ht="13.2">
      <c r="A833" s="55"/>
      <c r="B833" s="55" t="str">
        <f t="shared" si="3"/>
        <v/>
      </c>
      <c r="C833" s="31"/>
      <c r="D833" s="62"/>
      <c r="E833" s="55"/>
      <c r="J833" s="58"/>
      <c r="K833" s="55"/>
      <c r="L833" s="55"/>
    </row>
    <row r="834" spans="1:15" ht="13.2">
      <c r="A834" s="55"/>
      <c r="B834" s="55" t="str">
        <f t="shared" si="3"/>
        <v/>
      </c>
      <c r="C834" s="31"/>
      <c r="D834" s="62"/>
      <c r="E834" s="55"/>
      <c r="J834" s="58"/>
      <c r="K834" s="55"/>
      <c r="L834" s="55"/>
    </row>
    <row r="835" spans="1:15" ht="13.2">
      <c r="A835" s="55"/>
      <c r="B835" s="55" t="str">
        <f t="shared" si="3"/>
        <v>2025/8</v>
      </c>
      <c r="C835" s="31">
        <v>299</v>
      </c>
      <c r="D835" s="62">
        <v>45870</v>
      </c>
      <c r="E835" s="55" t="s">
        <v>5</v>
      </c>
      <c r="F835" s="63" t="s">
        <v>325</v>
      </c>
      <c r="J835" s="58"/>
      <c r="K835" s="55"/>
      <c r="L835" s="55"/>
    </row>
    <row r="836" spans="1:15" ht="13.2">
      <c r="A836" s="55"/>
      <c r="B836" s="55" t="str">
        <f t="shared" si="3"/>
        <v>2025/8</v>
      </c>
      <c r="C836" s="31">
        <v>3500</v>
      </c>
      <c r="D836" s="62">
        <v>45871</v>
      </c>
      <c r="E836" s="55" t="s">
        <v>7</v>
      </c>
      <c r="J836" s="58"/>
      <c r="K836" s="55"/>
      <c r="L836" s="55"/>
    </row>
    <row r="837" spans="1:15" ht="13.2">
      <c r="A837" s="55"/>
      <c r="B837" s="55" t="str">
        <f t="shared" si="3"/>
        <v>2025/8</v>
      </c>
      <c r="C837" s="31"/>
      <c r="D837" s="62">
        <v>45872</v>
      </c>
      <c r="E837" s="55" t="s">
        <v>7</v>
      </c>
      <c r="F837" s="63" t="s">
        <v>412</v>
      </c>
      <c r="J837" s="58"/>
      <c r="K837" s="55"/>
      <c r="L837" s="55"/>
    </row>
    <row r="838" spans="1:15" ht="13.2">
      <c r="A838" s="55"/>
      <c r="B838" s="55" t="str">
        <f t="shared" si="3"/>
        <v>2025/8</v>
      </c>
      <c r="C838" s="31">
        <v>66.900000000000006</v>
      </c>
      <c r="D838" s="62">
        <v>45873</v>
      </c>
      <c r="E838" s="55" t="s">
        <v>9</v>
      </c>
      <c r="F838" s="63" t="s">
        <v>567</v>
      </c>
      <c r="J838" s="58"/>
      <c r="K838" s="55"/>
      <c r="L838" s="55"/>
    </row>
    <row r="839" spans="1:15" ht="13.2">
      <c r="A839" s="55"/>
      <c r="B839" s="55" t="str">
        <f t="shared" si="3"/>
        <v/>
      </c>
      <c r="C839" s="31"/>
      <c r="D839" s="62"/>
      <c r="E839" s="55"/>
      <c r="J839" s="58"/>
      <c r="K839" s="55"/>
      <c r="L839" s="55"/>
    </row>
    <row r="840" spans="1:15" ht="13.2">
      <c r="A840" s="55"/>
      <c r="B840" s="55" t="str">
        <f t="shared" si="3"/>
        <v/>
      </c>
      <c r="C840" s="31"/>
      <c r="D840" s="62"/>
      <c r="E840" s="55"/>
      <c r="J840" s="58"/>
      <c r="K840" s="55"/>
      <c r="L840" s="55"/>
    </row>
    <row r="841" spans="1:15" ht="13.2">
      <c r="A841" s="55"/>
      <c r="B841" s="55" t="str">
        <f t="shared" si="3"/>
        <v/>
      </c>
      <c r="C841" s="31"/>
      <c r="D841" s="62"/>
      <c r="E841" s="55"/>
      <c r="J841" s="58"/>
      <c r="K841" s="55"/>
      <c r="L841" s="55"/>
    </row>
    <row r="842" spans="1:15" ht="13.2">
      <c r="A842" s="55"/>
      <c r="B842" s="55" t="str">
        <f t="shared" si="3"/>
        <v/>
      </c>
      <c r="C842" s="31"/>
      <c r="D842" s="62"/>
      <c r="E842" s="55"/>
      <c r="J842" s="58"/>
      <c r="K842" s="55"/>
      <c r="L842" s="55"/>
    </row>
    <row r="843" spans="1:15" ht="13.2">
      <c r="A843" s="55"/>
      <c r="B843" s="55" t="str">
        <f t="shared" si="3"/>
        <v/>
      </c>
      <c r="C843" s="31"/>
      <c r="D843" s="62"/>
      <c r="E843" s="55"/>
      <c r="J843" s="58"/>
      <c r="K843" s="55"/>
      <c r="L843" s="55"/>
    </row>
    <row r="844" spans="1:15" ht="13.2">
      <c r="A844" s="55"/>
      <c r="B844" s="55" t="str">
        <f t="shared" si="3"/>
        <v/>
      </c>
      <c r="C844" s="31"/>
      <c r="D844" s="62"/>
      <c r="E844" s="55"/>
      <c r="J844" s="58"/>
      <c r="K844" s="55" t="s">
        <v>457</v>
      </c>
      <c r="L844" s="55">
        <v>6.27</v>
      </c>
      <c r="O844" s="63" t="s">
        <v>654</v>
      </c>
    </row>
    <row r="845" spans="1:15" ht="13.2">
      <c r="A845" s="55"/>
      <c r="B845" s="55" t="str">
        <f t="shared" si="3"/>
        <v/>
      </c>
      <c r="C845" s="31"/>
      <c r="D845" s="62"/>
      <c r="E845" s="55"/>
      <c r="J845" s="58"/>
      <c r="K845" s="55" t="s">
        <v>655</v>
      </c>
      <c r="L845" s="55"/>
    </row>
    <row r="846" spans="1:15" ht="13.2">
      <c r="A846" s="55"/>
      <c r="B846" s="55" t="str">
        <f t="shared" si="3"/>
        <v/>
      </c>
      <c r="C846" s="31"/>
      <c r="D846" s="62"/>
      <c r="E846" s="55"/>
      <c r="J846" s="58"/>
      <c r="K846" s="71" t="s">
        <v>656</v>
      </c>
      <c r="L846" s="55"/>
    </row>
    <row r="847" spans="1:15" ht="13.2">
      <c r="A847" s="55"/>
      <c r="B847" s="55" t="str">
        <f t="shared" si="3"/>
        <v/>
      </c>
      <c r="C847" s="31"/>
      <c r="D847" s="62"/>
      <c r="E847" s="55"/>
      <c r="J847" s="58"/>
      <c r="K847" s="71" t="s">
        <v>545</v>
      </c>
      <c r="L847" s="55"/>
    </row>
    <row r="848" spans="1:15" ht="13.2">
      <c r="A848" s="55"/>
      <c r="B848" s="55" t="str">
        <f t="shared" si="3"/>
        <v/>
      </c>
      <c r="C848" s="31"/>
      <c r="D848" s="62"/>
      <c r="E848" s="55"/>
      <c r="J848" s="58"/>
      <c r="K848" s="82" t="s">
        <v>657</v>
      </c>
      <c r="L848" s="55"/>
    </row>
    <row r="849" spans="1:12" ht="13.2">
      <c r="A849" s="55"/>
      <c r="B849" s="55" t="str">
        <f t="shared" si="3"/>
        <v>2025/9</v>
      </c>
      <c r="C849" s="31">
        <v>299</v>
      </c>
      <c r="D849" s="62">
        <v>45901</v>
      </c>
      <c r="E849" s="55" t="s">
        <v>5</v>
      </c>
      <c r="F849" s="63" t="s">
        <v>347</v>
      </c>
      <c r="J849" s="58"/>
      <c r="K849" s="71" t="s">
        <v>658</v>
      </c>
      <c r="L849" s="55"/>
    </row>
    <row r="850" spans="1:12" ht="13.2">
      <c r="A850" s="55"/>
      <c r="B850" s="55" t="str">
        <f t="shared" si="3"/>
        <v>2025/9</v>
      </c>
      <c r="C850" s="31">
        <v>3500</v>
      </c>
      <c r="D850" s="62">
        <v>45902</v>
      </c>
      <c r="E850" s="55" t="s">
        <v>7</v>
      </c>
      <c r="J850" s="58"/>
      <c r="K850" s="71" t="s">
        <v>659</v>
      </c>
      <c r="L850" s="55"/>
    </row>
    <row r="851" spans="1:12" ht="13.2">
      <c r="A851" s="55"/>
      <c r="B851" s="55" t="str">
        <f t="shared" si="3"/>
        <v>2025/9</v>
      </c>
      <c r="C851" s="31"/>
      <c r="D851" s="62">
        <v>45903</v>
      </c>
      <c r="E851" s="55" t="s">
        <v>7</v>
      </c>
      <c r="F851" s="63" t="s">
        <v>412</v>
      </c>
      <c r="J851" s="58"/>
      <c r="K851" s="71" t="s">
        <v>660</v>
      </c>
      <c r="L851" s="55"/>
    </row>
    <row r="852" spans="1:12" ht="13.2">
      <c r="A852" s="55"/>
      <c r="B852" s="55" t="str">
        <f t="shared" si="3"/>
        <v>2025/9</v>
      </c>
      <c r="C852" s="31">
        <v>66.900000000000006</v>
      </c>
      <c r="D852" s="62">
        <v>45904</v>
      </c>
      <c r="E852" s="55" t="s">
        <v>9</v>
      </c>
      <c r="F852" s="63" t="s">
        <v>567</v>
      </c>
      <c r="J852" s="58"/>
      <c r="K852" s="71" t="s">
        <v>661</v>
      </c>
      <c r="L852" s="2" t="s">
        <v>7</v>
      </c>
    </row>
    <row r="853" spans="1:12" ht="13.2">
      <c r="A853" s="55"/>
      <c r="B853" s="55" t="str">
        <f t="shared" si="3"/>
        <v/>
      </c>
      <c r="C853" s="31"/>
      <c r="D853" s="62"/>
      <c r="E853" s="55"/>
      <c r="J853" s="58"/>
      <c r="K853" s="71" t="s">
        <v>662</v>
      </c>
      <c r="L853" s="55"/>
    </row>
    <row r="854" spans="1:12" ht="13.2">
      <c r="A854" s="55"/>
      <c r="B854" s="55" t="str">
        <f t="shared" si="3"/>
        <v/>
      </c>
      <c r="C854" s="31"/>
      <c r="D854" s="62"/>
      <c r="E854" s="55"/>
      <c r="J854" s="58"/>
      <c r="K854" s="79" t="s">
        <v>663</v>
      </c>
      <c r="L854" s="55"/>
    </row>
    <row r="855" spans="1:12" ht="13.2">
      <c r="A855" s="55"/>
      <c r="B855" s="55" t="str">
        <f t="shared" si="3"/>
        <v/>
      </c>
      <c r="C855" s="31"/>
      <c r="D855" s="62"/>
      <c r="E855" s="55"/>
      <c r="J855" s="58"/>
      <c r="K855" s="55"/>
      <c r="L855" s="55"/>
    </row>
    <row r="856" spans="1:12" ht="13.2">
      <c r="A856" s="55"/>
      <c r="B856" s="55" t="str">
        <f t="shared" si="3"/>
        <v/>
      </c>
      <c r="C856" s="31"/>
      <c r="D856" s="62"/>
      <c r="E856" s="55"/>
      <c r="J856" s="58"/>
      <c r="K856" s="55"/>
      <c r="L856" s="55"/>
    </row>
    <row r="857" spans="1:12" ht="13.2">
      <c r="A857" s="55"/>
      <c r="B857" s="55" t="str">
        <f t="shared" si="3"/>
        <v/>
      </c>
      <c r="C857" s="31"/>
      <c r="D857" s="62"/>
      <c r="E857" s="55"/>
      <c r="J857" s="58"/>
      <c r="K857" s="55"/>
      <c r="L857" s="55"/>
    </row>
    <row r="858" spans="1:12" ht="13.2">
      <c r="A858" s="55"/>
      <c r="B858" s="55" t="str">
        <f t="shared" si="3"/>
        <v/>
      </c>
      <c r="C858" s="31"/>
      <c r="D858" s="62"/>
      <c r="E858" s="55"/>
      <c r="J858" s="58"/>
      <c r="K858" s="55"/>
      <c r="L858" s="55"/>
    </row>
    <row r="859" spans="1:12" ht="13.2">
      <c r="A859" s="55"/>
      <c r="B859" s="55" t="str">
        <f t="shared" si="3"/>
        <v/>
      </c>
      <c r="C859" s="31"/>
      <c r="D859" s="62"/>
      <c r="E859" s="55"/>
      <c r="J859" s="58"/>
      <c r="K859" s="55"/>
      <c r="L859" s="55"/>
    </row>
    <row r="860" spans="1:12" ht="13.2">
      <c r="A860" s="55"/>
      <c r="B860" s="55" t="str">
        <f t="shared" si="3"/>
        <v/>
      </c>
      <c r="C860" s="31"/>
      <c r="D860" s="62"/>
      <c r="E860" s="55"/>
      <c r="J860" s="58"/>
      <c r="K860" s="55"/>
      <c r="L860" s="55"/>
    </row>
    <row r="861" spans="1:12" ht="13.2">
      <c r="A861" s="55"/>
      <c r="B861" s="55" t="str">
        <f t="shared" si="3"/>
        <v/>
      </c>
      <c r="C861" s="31"/>
      <c r="D861" s="62"/>
      <c r="E861" s="55"/>
      <c r="J861" s="58"/>
      <c r="K861" s="55"/>
      <c r="L861" s="55"/>
    </row>
    <row r="862" spans="1:12" ht="13.2">
      <c r="A862" s="55"/>
      <c r="B862" s="55" t="str">
        <f t="shared" si="3"/>
        <v/>
      </c>
      <c r="C862" s="31"/>
      <c r="D862" s="62"/>
      <c r="E862" s="55"/>
      <c r="J862" s="58"/>
      <c r="K862" s="55"/>
      <c r="L862" s="55"/>
    </row>
    <row r="863" spans="1:12" ht="13.2">
      <c r="A863" s="55"/>
      <c r="B863" s="84" t="str">
        <f t="shared" si="3"/>
        <v>2025/10</v>
      </c>
      <c r="C863" s="31">
        <v>299</v>
      </c>
      <c r="D863" s="62">
        <v>45931</v>
      </c>
      <c r="E863" s="55" t="s">
        <v>5</v>
      </c>
      <c r="F863" s="63" t="s">
        <v>325</v>
      </c>
      <c r="J863" s="58"/>
      <c r="K863" s="55"/>
      <c r="L863" s="55"/>
    </row>
    <row r="864" spans="1:12" ht="13.2">
      <c r="A864" s="55"/>
      <c r="B864" s="55" t="str">
        <f t="shared" si="3"/>
        <v>2025/10</v>
      </c>
      <c r="C864" s="31">
        <v>3500</v>
      </c>
      <c r="D864" s="62">
        <v>45932</v>
      </c>
      <c r="E864" s="55" t="s">
        <v>7</v>
      </c>
      <c r="J864" s="58"/>
      <c r="K864" s="55"/>
      <c r="L864" s="55"/>
    </row>
    <row r="865" spans="1:12" ht="13.2">
      <c r="A865" s="55"/>
      <c r="B865" s="55" t="str">
        <f t="shared" si="3"/>
        <v>2025/10</v>
      </c>
      <c r="C865" s="31">
        <v>887.36</v>
      </c>
      <c r="D865" s="62">
        <v>45933</v>
      </c>
      <c r="E865" s="55" t="s">
        <v>7</v>
      </c>
      <c r="F865" s="63" t="s">
        <v>664</v>
      </c>
      <c r="J865" s="58"/>
      <c r="K865" s="55"/>
      <c r="L865" s="55"/>
    </row>
    <row r="866" spans="1:12" ht="13.2">
      <c r="A866" s="55"/>
      <c r="B866" s="55" t="str">
        <f t="shared" si="3"/>
        <v>2025/10</v>
      </c>
      <c r="C866" s="31">
        <v>279.99</v>
      </c>
      <c r="D866" s="62">
        <v>45934</v>
      </c>
      <c r="E866" s="55" t="s">
        <v>9</v>
      </c>
      <c r="F866" s="63" t="s">
        <v>445</v>
      </c>
      <c r="J866" s="58"/>
      <c r="K866" s="55"/>
      <c r="L866" s="55"/>
    </row>
    <row r="867" spans="1:12" ht="13.2">
      <c r="A867" s="55"/>
      <c r="B867" s="55" t="str">
        <f t="shared" si="3"/>
        <v>2025/10</v>
      </c>
      <c r="C867" s="31" t="s">
        <v>665</v>
      </c>
      <c r="D867" s="62">
        <v>45934</v>
      </c>
      <c r="E867" s="55" t="s">
        <v>9</v>
      </c>
      <c r="F867" s="63" t="s">
        <v>567</v>
      </c>
      <c r="J867" s="58"/>
      <c r="K867" s="55"/>
      <c r="L867" s="55"/>
    </row>
    <row r="868" spans="1:12" ht="13.2">
      <c r="A868" s="55"/>
      <c r="B868" s="55" t="str">
        <f t="shared" si="3"/>
        <v>2025/10</v>
      </c>
      <c r="C868" s="31">
        <v>296.39999999999998</v>
      </c>
      <c r="D868" s="62">
        <v>45936</v>
      </c>
      <c r="E868" s="55" t="s">
        <v>6</v>
      </c>
      <c r="F868" s="63" t="s">
        <v>666</v>
      </c>
      <c r="J868" s="58"/>
      <c r="K868" s="55"/>
      <c r="L868" s="55"/>
    </row>
    <row r="869" spans="1:12" ht="13.2">
      <c r="A869" s="55"/>
      <c r="B869" s="55" t="str">
        <f t="shared" si="3"/>
        <v>2025/10</v>
      </c>
      <c r="C869" s="31">
        <v>215</v>
      </c>
      <c r="D869" s="62">
        <v>45937</v>
      </c>
      <c r="E869" s="55" t="s">
        <v>6</v>
      </c>
      <c r="F869" s="63" t="s">
        <v>327</v>
      </c>
      <c r="J869" s="58"/>
      <c r="K869" s="55"/>
      <c r="L869" s="55"/>
    </row>
    <row r="870" spans="1:12" ht="13.2">
      <c r="A870" s="55"/>
      <c r="B870" s="55" t="str">
        <f t="shared" si="3"/>
        <v>2025/10</v>
      </c>
      <c r="C870" s="31">
        <v>99.99</v>
      </c>
      <c r="D870" s="62">
        <v>45939</v>
      </c>
      <c r="E870" s="55" t="s">
        <v>9</v>
      </c>
      <c r="F870" s="63" t="s">
        <v>433</v>
      </c>
      <c r="J870" s="58"/>
      <c r="K870" s="55"/>
      <c r="L870" s="55"/>
    </row>
    <row r="871" spans="1:12" ht="13.2">
      <c r="A871" s="55"/>
      <c r="B871" s="55" t="str">
        <f t="shared" si="3"/>
        <v>2025/10</v>
      </c>
      <c r="C871" s="31">
        <v>1000</v>
      </c>
      <c r="D871" s="62">
        <v>45939</v>
      </c>
      <c r="E871" s="55" t="s">
        <v>8</v>
      </c>
      <c r="J871" s="58"/>
      <c r="K871" s="55"/>
      <c r="L871" s="55"/>
    </row>
    <row r="872" spans="1:12" ht="13.2">
      <c r="A872" s="55"/>
      <c r="B872" s="55" t="str">
        <f t="shared" si="3"/>
        <v>2025/10</v>
      </c>
      <c r="C872" s="31">
        <v>56.13</v>
      </c>
      <c r="D872" s="62">
        <v>45939</v>
      </c>
      <c r="E872" s="55" t="s">
        <v>9</v>
      </c>
      <c r="F872" s="63" t="s">
        <v>667</v>
      </c>
      <c r="J872" s="58"/>
      <c r="K872" s="55"/>
      <c r="L872" s="55"/>
    </row>
    <row r="873" spans="1:12" ht="13.2">
      <c r="A873" s="55"/>
      <c r="B873" s="55" t="str">
        <f t="shared" si="3"/>
        <v>2025/10</v>
      </c>
      <c r="C873" s="31">
        <v>46.54</v>
      </c>
      <c r="D873" s="62">
        <v>45940</v>
      </c>
      <c r="E873" s="55" t="s">
        <v>9</v>
      </c>
      <c r="F873" s="63" t="s">
        <v>457</v>
      </c>
      <c r="J873" s="58"/>
      <c r="K873" s="55"/>
      <c r="L873" s="55"/>
    </row>
    <row r="874" spans="1:12" ht="13.2">
      <c r="A874" s="55"/>
      <c r="B874" s="55" t="str">
        <f t="shared" si="3"/>
        <v>2025/10</v>
      </c>
      <c r="C874" s="31">
        <v>13.84</v>
      </c>
      <c r="D874" s="62">
        <v>45943</v>
      </c>
      <c r="E874" s="55" t="s">
        <v>5</v>
      </c>
      <c r="F874" s="63" t="s">
        <v>668</v>
      </c>
      <c r="J874" s="58"/>
      <c r="K874" s="55"/>
      <c r="L874" s="55"/>
    </row>
    <row r="875" spans="1:12" ht="13.2">
      <c r="A875" s="55"/>
      <c r="B875" s="55" t="str">
        <f t="shared" si="3"/>
        <v>2025/10</v>
      </c>
      <c r="C875" s="31">
        <f>15.99+55.89</f>
        <v>71.88</v>
      </c>
      <c r="D875" s="62">
        <v>45947</v>
      </c>
      <c r="E875" s="55" t="s">
        <v>9</v>
      </c>
      <c r="F875" s="63" t="s">
        <v>563</v>
      </c>
      <c r="J875" s="58"/>
      <c r="K875" s="55"/>
      <c r="L875" s="55"/>
    </row>
    <row r="876" spans="1:12" ht="13.2">
      <c r="A876" s="55"/>
      <c r="B876" s="55" t="str">
        <f t="shared" si="3"/>
        <v>2025/10</v>
      </c>
      <c r="C876" s="31">
        <f>19.9+79.99</f>
        <v>99.889999999999986</v>
      </c>
      <c r="D876" s="62">
        <v>45951</v>
      </c>
      <c r="E876" s="55" t="s">
        <v>9</v>
      </c>
      <c r="F876" s="63" t="s">
        <v>669</v>
      </c>
      <c r="J876" s="58"/>
      <c r="K876" s="55"/>
      <c r="L876" s="55"/>
    </row>
    <row r="877" spans="1:12" ht="13.2">
      <c r="A877" s="55"/>
      <c r="B877" s="55" t="str">
        <f t="shared" si="3"/>
        <v>2025/10</v>
      </c>
      <c r="C877" s="31">
        <v>80</v>
      </c>
      <c r="D877" s="62">
        <v>45951</v>
      </c>
      <c r="E877" s="55" t="s">
        <v>2</v>
      </c>
      <c r="J877" s="58"/>
      <c r="K877" s="55"/>
      <c r="L877" s="55"/>
    </row>
    <row r="878" spans="1:12" ht="13.2">
      <c r="A878" s="55"/>
      <c r="B878" s="55" t="str">
        <f t="shared" si="3"/>
        <v>2025/10</v>
      </c>
      <c r="C878" s="31">
        <v>107</v>
      </c>
      <c r="D878" s="62">
        <v>45952</v>
      </c>
      <c r="E878" s="55" t="s">
        <v>9</v>
      </c>
      <c r="F878" s="63" t="s">
        <v>670</v>
      </c>
      <c r="J878" s="58"/>
      <c r="K878" s="55"/>
      <c r="L878" s="55"/>
    </row>
    <row r="879" spans="1:12" ht="13.2">
      <c r="A879" s="55"/>
      <c r="B879" s="55" t="str">
        <f t="shared" si="3"/>
        <v>2025/10</v>
      </c>
      <c r="C879" s="31">
        <v>168.88</v>
      </c>
      <c r="D879" s="62">
        <v>45953</v>
      </c>
      <c r="E879" s="55" t="s">
        <v>9</v>
      </c>
      <c r="F879" s="63" t="s">
        <v>671</v>
      </c>
      <c r="J879" s="58"/>
      <c r="K879" s="55"/>
      <c r="L879" s="55"/>
    </row>
    <row r="880" spans="1:12" ht="13.2">
      <c r="A880" s="55"/>
      <c r="B880" s="55" t="str">
        <f t="shared" si="3"/>
        <v>2025/10</v>
      </c>
      <c r="C880" s="31">
        <v>47.5</v>
      </c>
      <c r="D880" s="62">
        <v>45954</v>
      </c>
      <c r="E880" s="55" t="s">
        <v>9</v>
      </c>
      <c r="F880" s="63" t="s">
        <v>457</v>
      </c>
      <c r="J880" s="58"/>
      <c r="K880" s="55"/>
      <c r="L880" s="55"/>
    </row>
    <row r="881" spans="1:12" ht="13.2">
      <c r="A881" s="55"/>
      <c r="B881" s="55" t="str">
        <f t="shared" si="3"/>
        <v>2025/10</v>
      </c>
      <c r="C881" s="31">
        <v>195</v>
      </c>
      <c r="D881" s="62">
        <v>45955</v>
      </c>
      <c r="E881" s="55" t="s">
        <v>5</v>
      </c>
      <c r="F881" s="63" t="s">
        <v>672</v>
      </c>
      <c r="J881" s="58"/>
      <c r="K881" s="55"/>
      <c r="L881" s="55"/>
    </row>
    <row r="882" spans="1:12" ht="13.2">
      <c r="A882" s="55"/>
      <c r="B882" s="84" t="str">
        <f t="shared" si="3"/>
        <v>2025/11</v>
      </c>
      <c r="C882" s="31">
        <v>299</v>
      </c>
      <c r="D882" s="62">
        <v>45962</v>
      </c>
      <c r="E882" s="55" t="s">
        <v>5</v>
      </c>
      <c r="F882" s="63" t="s">
        <v>347</v>
      </c>
      <c r="J882" s="58"/>
      <c r="K882" s="55"/>
      <c r="L882" s="55"/>
    </row>
    <row r="883" spans="1:12" ht="13.2">
      <c r="A883" s="55"/>
      <c r="B883" s="55" t="str">
        <f t="shared" si="3"/>
        <v>2025/11</v>
      </c>
      <c r="C883" s="31">
        <v>35.729999999999997</v>
      </c>
      <c r="D883" s="62">
        <v>45963</v>
      </c>
      <c r="E883" s="55" t="s">
        <v>9</v>
      </c>
      <c r="F883" s="63" t="s">
        <v>669</v>
      </c>
      <c r="J883" s="58"/>
      <c r="K883" s="55"/>
      <c r="L883" s="55"/>
    </row>
    <row r="884" spans="1:12" ht="13.2">
      <c r="A884" s="55"/>
      <c r="B884" s="55" t="str">
        <f t="shared" si="3"/>
        <v>2025/11</v>
      </c>
      <c r="C884" s="31">
        <v>3500</v>
      </c>
      <c r="D884" s="62">
        <v>45964</v>
      </c>
      <c r="E884" s="55" t="s">
        <v>7</v>
      </c>
      <c r="J884" s="58"/>
      <c r="K884" s="55"/>
      <c r="L884" s="55"/>
    </row>
    <row r="885" spans="1:12" ht="13.2">
      <c r="A885" s="55"/>
      <c r="B885" s="55" t="str">
        <f t="shared" si="3"/>
        <v>2025/11</v>
      </c>
      <c r="C885" s="31"/>
      <c r="D885" s="62">
        <v>45965</v>
      </c>
      <c r="E885" s="55" t="s">
        <v>7</v>
      </c>
      <c r="F885" s="63" t="s">
        <v>412</v>
      </c>
      <c r="J885" s="58"/>
      <c r="K885" s="55"/>
      <c r="L885" s="55"/>
    </row>
    <row r="886" spans="1:12" ht="13.2">
      <c r="A886" s="55"/>
      <c r="B886" s="55" t="str">
        <f t="shared" si="3"/>
        <v>2025/11</v>
      </c>
      <c r="C886" s="31">
        <v>66.900000000000006</v>
      </c>
      <c r="D886" s="62">
        <v>45966</v>
      </c>
      <c r="E886" s="55" t="s">
        <v>9</v>
      </c>
      <c r="F886" s="63" t="s">
        <v>567</v>
      </c>
      <c r="J886" s="58"/>
      <c r="K886" s="55"/>
      <c r="L886" s="55"/>
    </row>
    <row r="887" spans="1:12" ht="13.2">
      <c r="A887" s="55"/>
      <c r="B887" s="55" t="str">
        <f t="shared" si="3"/>
        <v>2025/11</v>
      </c>
      <c r="C887" s="31">
        <v>183.2</v>
      </c>
      <c r="D887" s="62">
        <v>45967</v>
      </c>
      <c r="E887" s="55" t="s">
        <v>9</v>
      </c>
      <c r="F887" s="63" t="s">
        <v>673</v>
      </c>
      <c r="J887" s="58"/>
      <c r="K887" s="55"/>
      <c r="L887" s="55"/>
    </row>
    <row r="888" spans="1:12" ht="13.2">
      <c r="A888" s="55"/>
      <c r="B888" s="55" t="str">
        <f t="shared" si="3"/>
        <v/>
      </c>
      <c r="C888" s="31"/>
      <c r="D888" s="62"/>
      <c r="E888" s="55"/>
      <c r="J888" s="58"/>
      <c r="K888" s="55"/>
      <c r="L888" s="55"/>
    </row>
    <row r="889" spans="1:12" ht="13.2">
      <c r="A889" s="55"/>
      <c r="B889" s="55" t="str">
        <f t="shared" si="3"/>
        <v/>
      </c>
      <c r="C889" s="31"/>
      <c r="D889" s="62"/>
      <c r="E889" s="55"/>
      <c r="J889" s="58"/>
      <c r="K889" s="55"/>
      <c r="L889" s="55"/>
    </row>
    <row r="890" spans="1:12" ht="13.2">
      <c r="A890" s="55"/>
      <c r="B890" s="55" t="str">
        <f t="shared" si="3"/>
        <v/>
      </c>
      <c r="C890" s="31"/>
      <c r="D890" s="62"/>
      <c r="E890" s="55"/>
      <c r="J890" s="58"/>
      <c r="K890" s="55"/>
      <c r="L890" s="55"/>
    </row>
    <row r="891" spans="1:12" ht="13.2">
      <c r="A891" s="55"/>
      <c r="B891" s="55" t="str">
        <f t="shared" si="3"/>
        <v/>
      </c>
      <c r="C891" s="31"/>
      <c r="D891" s="62"/>
      <c r="E891" s="55"/>
      <c r="J891" s="58"/>
      <c r="K891" s="55"/>
      <c r="L891" s="55"/>
    </row>
    <row r="892" spans="1:12" ht="13.2">
      <c r="A892" s="55"/>
      <c r="B892" s="55" t="str">
        <f t="shared" si="3"/>
        <v/>
      </c>
      <c r="C892" s="31"/>
      <c r="D892" s="62"/>
      <c r="E892" s="55"/>
      <c r="J892" s="58"/>
      <c r="K892" s="55"/>
      <c r="L892" s="55"/>
    </row>
    <row r="893" spans="1:12" ht="13.2">
      <c r="A893" s="55"/>
      <c r="B893" s="55" t="str">
        <f t="shared" si="3"/>
        <v/>
      </c>
      <c r="C893" s="31"/>
      <c r="D893" s="62"/>
      <c r="E893" s="55"/>
      <c r="J893" s="58"/>
      <c r="K893" s="55"/>
      <c r="L893" s="55"/>
    </row>
    <row r="894" spans="1:12" ht="13.2">
      <c r="A894" s="55"/>
      <c r="B894" s="55" t="str">
        <f t="shared" si="3"/>
        <v/>
      </c>
      <c r="C894" s="31"/>
      <c r="D894" s="62"/>
      <c r="E894" s="55"/>
      <c r="J894" s="58"/>
      <c r="K894" s="55"/>
      <c r="L894" s="55"/>
    </row>
    <row r="895" spans="1:12" ht="13.2">
      <c r="A895" s="55"/>
      <c r="B895" s="55" t="str">
        <f t="shared" si="3"/>
        <v/>
      </c>
      <c r="C895" s="31"/>
      <c r="D895" s="62"/>
      <c r="E895" s="55"/>
      <c r="J895" s="58"/>
      <c r="K895" s="55"/>
      <c r="L895" s="55"/>
    </row>
    <row r="896" spans="1:12" ht="13.2">
      <c r="A896" s="55"/>
      <c r="B896" s="55" t="str">
        <f t="shared" si="3"/>
        <v/>
      </c>
      <c r="C896" s="31"/>
      <c r="D896" s="62"/>
      <c r="E896" s="55"/>
      <c r="J896" s="58"/>
      <c r="K896" s="55"/>
      <c r="L896" s="55"/>
    </row>
    <row r="897" spans="1:12" ht="13.2">
      <c r="A897" s="55"/>
      <c r="B897" s="55" t="str">
        <f t="shared" si="3"/>
        <v/>
      </c>
      <c r="C897" s="31"/>
      <c r="D897" s="62"/>
      <c r="E897" s="55"/>
      <c r="J897" s="58"/>
      <c r="K897" s="55"/>
      <c r="L897" s="55"/>
    </row>
    <row r="898" spans="1:12" ht="13.2">
      <c r="A898" s="55"/>
      <c r="B898" s="55" t="str">
        <f t="shared" si="3"/>
        <v/>
      </c>
      <c r="C898" s="31"/>
      <c r="D898" s="62"/>
      <c r="E898" s="55"/>
      <c r="J898" s="58"/>
      <c r="K898" s="55"/>
      <c r="L898" s="55"/>
    </row>
    <row r="899" spans="1:12" ht="13.2">
      <c r="A899" s="55"/>
      <c r="B899" s="55" t="str">
        <f t="shared" si="3"/>
        <v/>
      </c>
      <c r="C899" s="31"/>
      <c r="D899" s="62"/>
      <c r="E899" s="55"/>
      <c r="J899" s="58"/>
      <c r="K899" s="55"/>
      <c r="L899" s="55"/>
    </row>
    <row r="900" spans="1:12" ht="13.2">
      <c r="A900" s="55"/>
      <c r="B900" s="55" t="str">
        <f t="shared" si="3"/>
        <v/>
      </c>
      <c r="C900" s="31"/>
      <c r="D900" s="62"/>
      <c r="E900" s="55"/>
      <c r="J900" s="58"/>
      <c r="K900" s="55"/>
      <c r="L900" s="55"/>
    </row>
    <row r="901" spans="1:12" ht="13.2">
      <c r="A901" s="55"/>
      <c r="B901" s="55" t="str">
        <f t="shared" si="3"/>
        <v/>
      </c>
      <c r="C901" s="31"/>
      <c r="D901" s="62"/>
      <c r="E901" s="55"/>
      <c r="J901" s="58"/>
      <c r="K901" s="55"/>
      <c r="L901" s="55"/>
    </row>
    <row r="902" spans="1:12" ht="13.2">
      <c r="A902" s="55"/>
      <c r="B902" s="55" t="str">
        <f t="shared" si="3"/>
        <v/>
      </c>
      <c r="C902" s="31"/>
      <c r="D902" s="62"/>
      <c r="E902" s="55"/>
      <c r="J902" s="58"/>
      <c r="K902" s="55"/>
      <c r="L902" s="55"/>
    </row>
    <row r="903" spans="1:12" ht="13.2">
      <c r="A903" s="55"/>
      <c r="B903" s="55" t="str">
        <f t="shared" si="3"/>
        <v/>
      </c>
      <c r="C903" s="31"/>
      <c r="D903" s="62"/>
      <c r="E903" s="55"/>
      <c r="J903" s="58"/>
      <c r="K903" s="55"/>
      <c r="L903" s="55"/>
    </row>
    <row r="904" spans="1:12" ht="13.2">
      <c r="A904" s="55"/>
      <c r="B904" s="55" t="str">
        <f t="shared" si="3"/>
        <v/>
      </c>
      <c r="C904" s="31"/>
      <c r="D904" s="62"/>
      <c r="E904" s="55"/>
      <c r="J904" s="58"/>
      <c r="K904" s="55"/>
      <c r="L904" s="55"/>
    </row>
    <row r="905" spans="1:12" ht="13.2">
      <c r="A905" s="55"/>
      <c r="B905" s="55" t="str">
        <f t="shared" si="3"/>
        <v/>
      </c>
      <c r="C905" s="31"/>
      <c r="D905" s="62"/>
      <c r="E905" s="55"/>
      <c r="J905" s="58"/>
      <c r="K905" s="55"/>
      <c r="L905" s="55"/>
    </row>
    <row r="906" spans="1:12" ht="13.2">
      <c r="A906" s="55"/>
      <c r="B906" s="55" t="str">
        <f t="shared" si="3"/>
        <v/>
      </c>
      <c r="C906" s="31"/>
      <c r="D906" s="62"/>
      <c r="E906" s="55"/>
      <c r="J906" s="58"/>
      <c r="K906" s="55"/>
      <c r="L906" s="55"/>
    </row>
    <row r="907" spans="1:12" ht="13.2">
      <c r="A907" s="55"/>
      <c r="B907" s="55" t="str">
        <f t="shared" si="3"/>
        <v/>
      </c>
      <c r="C907" s="31"/>
      <c r="D907" s="62"/>
      <c r="E907" s="55"/>
      <c r="J907" s="58"/>
      <c r="K907" s="55"/>
      <c r="L907" s="55"/>
    </row>
    <row r="908" spans="1:12" ht="13.2">
      <c r="A908" s="55"/>
      <c r="B908" s="55" t="str">
        <f t="shared" si="3"/>
        <v/>
      </c>
      <c r="C908" s="31"/>
      <c r="D908" s="62"/>
      <c r="E908" s="55"/>
      <c r="J908" s="58"/>
      <c r="K908" s="55"/>
      <c r="L908" s="55"/>
    </row>
    <row r="909" spans="1:12" ht="13.2">
      <c r="A909" s="55"/>
      <c r="B909" s="55" t="str">
        <f t="shared" si="3"/>
        <v/>
      </c>
      <c r="C909" s="31"/>
      <c r="D909" s="62"/>
      <c r="E909" s="55"/>
      <c r="J909" s="58"/>
      <c r="K909" s="55"/>
      <c r="L909" s="55"/>
    </row>
    <row r="910" spans="1:12" ht="13.2">
      <c r="A910" s="55"/>
      <c r="B910" s="55" t="str">
        <f t="shared" si="3"/>
        <v/>
      </c>
      <c r="C910" s="31"/>
      <c r="D910" s="62"/>
      <c r="E910" s="55"/>
      <c r="J910" s="58"/>
      <c r="K910" s="55"/>
      <c r="L910" s="55"/>
    </row>
    <row r="911" spans="1:12" ht="13.2">
      <c r="A911" s="55"/>
      <c r="B911" s="55" t="str">
        <f t="shared" si="3"/>
        <v/>
      </c>
      <c r="C911" s="31"/>
      <c r="D911" s="62"/>
      <c r="E911" s="55"/>
      <c r="J911" s="58"/>
      <c r="K911" s="55"/>
      <c r="L911" s="55"/>
    </row>
    <row r="912" spans="1:12" ht="13.2">
      <c r="A912" s="55"/>
      <c r="B912" s="55" t="str">
        <f t="shared" si="3"/>
        <v/>
      </c>
      <c r="C912" s="31"/>
      <c r="D912" s="62"/>
      <c r="E912" s="55"/>
      <c r="J912" s="58"/>
      <c r="K912" s="55"/>
      <c r="L912" s="55"/>
    </row>
    <row r="913" spans="1:12" ht="13.2">
      <c r="A913" s="55"/>
      <c r="B913" s="55" t="str">
        <f t="shared" si="3"/>
        <v/>
      </c>
      <c r="C913" s="31"/>
      <c r="D913" s="62"/>
      <c r="E913" s="55"/>
      <c r="J913" s="58"/>
      <c r="K913" s="55"/>
      <c r="L913" s="55"/>
    </row>
    <row r="914" spans="1:12" ht="13.2">
      <c r="A914" s="55"/>
      <c r="B914" s="55" t="str">
        <f t="shared" si="3"/>
        <v/>
      </c>
      <c r="C914" s="31"/>
      <c r="D914" s="62"/>
      <c r="E914" s="55"/>
      <c r="J914" s="58"/>
      <c r="K914" s="55"/>
      <c r="L914" s="55"/>
    </row>
    <row r="915" spans="1:12" ht="13.2">
      <c r="A915" s="55"/>
      <c r="B915" s="55" t="str">
        <f t="shared" si="3"/>
        <v/>
      </c>
      <c r="C915" s="31"/>
      <c r="D915" s="62"/>
      <c r="E915" s="55"/>
      <c r="J915" s="58"/>
      <c r="K915" s="55"/>
      <c r="L915" s="55"/>
    </row>
    <row r="916" spans="1:12" ht="13.2">
      <c r="A916" s="55"/>
      <c r="B916" s="55" t="str">
        <f t="shared" si="3"/>
        <v/>
      </c>
      <c r="C916" s="31"/>
      <c r="D916" s="62"/>
      <c r="E916" s="55"/>
      <c r="J916" s="58"/>
      <c r="K916" s="55"/>
      <c r="L916" s="55"/>
    </row>
    <row r="917" spans="1:12" ht="13.2">
      <c r="A917" s="55"/>
      <c r="B917" s="55" t="str">
        <f t="shared" si="3"/>
        <v/>
      </c>
      <c r="C917" s="31"/>
      <c r="D917" s="62"/>
      <c r="E917" s="55"/>
      <c r="J917" s="58"/>
      <c r="K917" s="55"/>
      <c r="L917" s="55"/>
    </row>
    <row r="918" spans="1:12" ht="13.2">
      <c r="A918" s="55"/>
      <c r="B918" s="55" t="str">
        <f t="shared" si="3"/>
        <v/>
      </c>
      <c r="C918" s="31"/>
      <c r="D918" s="62"/>
      <c r="E918" s="55"/>
      <c r="J918" s="58"/>
      <c r="K918" s="55"/>
      <c r="L918" s="55"/>
    </row>
    <row r="919" spans="1:12" ht="13.2">
      <c r="A919" s="55"/>
      <c r="B919" s="55" t="str">
        <f t="shared" si="3"/>
        <v/>
      </c>
      <c r="C919" s="31"/>
      <c r="D919" s="62"/>
      <c r="E919" s="55"/>
      <c r="J919" s="58"/>
      <c r="K919" s="55"/>
      <c r="L919" s="55"/>
    </row>
    <row r="920" spans="1:12" ht="13.2">
      <c r="A920" s="55"/>
      <c r="B920" s="55" t="str">
        <f t="shared" si="3"/>
        <v/>
      </c>
      <c r="C920" s="31"/>
      <c r="D920" s="62"/>
      <c r="E920" s="55"/>
      <c r="J920" s="58"/>
      <c r="K920" s="55"/>
      <c r="L920" s="55"/>
    </row>
    <row r="921" spans="1:12" ht="13.2">
      <c r="A921" s="55"/>
      <c r="B921" s="55" t="str">
        <f t="shared" si="3"/>
        <v/>
      </c>
      <c r="C921" s="31"/>
      <c r="D921" s="62"/>
      <c r="E921" s="55"/>
      <c r="J921" s="58"/>
      <c r="K921" s="55"/>
      <c r="L921" s="55"/>
    </row>
    <row r="922" spans="1:12" ht="13.2">
      <c r="A922" s="55"/>
      <c r="B922" s="55" t="str">
        <f t="shared" si="3"/>
        <v/>
      </c>
      <c r="C922" s="31"/>
      <c r="D922" s="62"/>
      <c r="E922" s="55"/>
      <c r="J922" s="58"/>
      <c r="K922" s="55"/>
      <c r="L922" s="55"/>
    </row>
    <row r="923" spans="1:12" ht="13.2">
      <c r="A923" s="55"/>
      <c r="B923" s="55" t="str">
        <f t="shared" si="3"/>
        <v/>
      </c>
      <c r="C923" s="31"/>
      <c r="D923" s="62"/>
      <c r="E923" s="55"/>
      <c r="J923" s="58"/>
      <c r="K923" s="55"/>
      <c r="L923" s="55"/>
    </row>
    <row r="924" spans="1:12" ht="13.2">
      <c r="A924" s="55"/>
      <c r="B924" s="55" t="str">
        <f t="shared" si="3"/>
        <v/>
      </c>
      <c r="C924" s="31"/>
      <c r="D924" s="62"/>
      <c r="E924" s="55"/>
      <c r="J924" s="58"/>
      <c r="K924" s="55"/>
      <c r="L924" s="55"/>
    </row>
    <row r="925" spans="1:12" ht="13.2">
      <c r="A925" s="55"/>
      <c r="B925" s="55" t="str">
        <f t="shared" si="3"/>
        <v/>
      </c>
      <c r="C925" s="31"/>
      <c r="D925" s="62"/>
      <c r="E925" s="55"/>
      <c r="J925" s="58"/>
      <c r="K925" s="55"/>
      <c r="L925" s="55"/>
    </row>
    <row r="926" spans="1:12" ht="13.2">
      <c r="A926" s="55"/>
      <c r="B926" s="55" t="str">
        <f t="shared" si="3"/>
        <v/>
      </c>
      <c r="C926" s="31"/>
      <c r="D926" s="62"/>
      <c r="E926" s="55"/>
      <c r="J926" s="58"/>
      <c r="K926" s="55"/>
      <c r="L926" s="55"/>
    </row>
    <row r="927" spans="1:12" ht="13.2">
      <c r="A927" s="55"/>
      <c r="B927" s="55" t="str">
        <f t="shared" si="3"/>
        <v/>
      </c>
      <c r="C927" s="31"/>
      <c r="D927" s="62"/>
      <c r="E927" s="55"/>
      <c r="J927" s="58"/>
      <c r="K927" s="55"/>
      <c r="L927" s="55"/>
    </row>
    <row r="928" spans="1:12" ht="13.2">
      <c r="A928" s="55"/>
      <c r="B928" s="55" t="str">
        <f t="shared" si="3"/>
        <v/>
      </c>
      <c r="C928" s="31"/>
      <c r="D928" s="62"/>
      <c r="E928" s="55"/>
      <c r="J928" s="58"/>
      <c r="K928" s="55"/>
      <c r="L928" s="55"/>
    </row>
    <row r="929" spans="1:12" ht="13.2">
      <c r="A929" s="55"/>
      <c r="B929" s="55" t="str">
        <f t="shared" si="3"/>
        <v/>
      </c>
      <c r="C929" s="31"/>
      <c r="D929" s="62"/>
      <c r="E929" s="55"/>
      <c r="J929" s="58"/>
      <c r="K929" s="55"/>
      <c r="L929" s="55"/>
    </row>
    <row r="930" spans="1:12" ht="13.2">
      <c r="A930" s="55"/>
      <c r="B930" s="55" t="str">
        <f t="shared" si="3"/>
        <v/>
      </c>
      <c r="C930" s="31"/>
      <c r="D930" s="62"/>
      <c r="E930" s="55"/>
      <c r="J930" s="58"/>
      <c r="K930" s="55"/>
      <c r="L930" s="55"/>
    </row>
    <row r="931" spans="1:12" ht="13.2">
      <c r="A931" s="55"/>
      <c r="B931" s="55" t="str">
        <f t="shared" si="3"/>
        <v/>
      </c>
      <c r="C931" s="31"/>
      <c r="D931" s="62"/>
      <c r="E931" s="55"/>
      <c r="J931" s="58"/>
      <c r="K931" s="55"/>
      <c r="L931" s="55"/>
    </row>
    <row r="932" spans="1:12" ht="13.2">
      <c r="A932" s="55"/>
      <c r="B932" s="55" t="str">
        <f t="shared" si="3"/>
        <v/>
      </c>
      <c r="C932" s="31"/>
      <c r="D932" s="62"/>
      <c r="E932" s="55"/>
      <c r="J932" s="58"/>
      <c r="K932" s="55"/>
      <c r="L932" s="55"/>
    </row>
    <row r="933" spans="1:12" ht="13.2">
      <c r="A933" s="55"/>
      <c r="B933" s="55" t="str">
        <f t="shared" si="3"/>
        <v/>
      </c>
      <c r="C933" s="31"/>
      <c r="D933" s="62"/>
      <c r="E933" s="55"/>
      <c r="J933" s="58"/>
      <c r="K933" s="55"/>
      <c r="L933" s="55"/>
    </row>
    <row r="934" spans="1:12" ht="13.2">
      <c r="A934" s="55"/>
      <c r="B934" s="55" t="str">
        <f t="shared" si="3"/>
        <v/>
      </c>
      <c r="C934" s="31"/>
      <c r="D934" s="62"/>
      <c r="E934" s="55"/>
      <c r="J934" s="58"/>
      <c r="K934" s="55"/>
      <c r="L934" s="55"/>
    </row>
    <row r="935" spans="1:12" ht="13.2">
      <c r="A935" s="55"/>
      <c r="B935" s="55" t="str">
        <f t="shared" si="3"/>
        <v/>
      </c>
      <c r="C935" s="31"/>
      <c r="D935" s="62"/>
      <c r="E935" s="55"/>
      <c r="J935" s="58"/>
      <c r="K935" s="55"/>
      <c r="L935" s="55"/>
    </row>
    <row r="936" spans="1:12" ht="13.2">
      <c r="A936" s="55"/>
      <c r="B936" s="55" t="str">
        <f t="shared" si="3"/>
        <v/>
      </c>
      <c r="C936" s="31"/>
      <c r="D936" s="62"/>
      <c r="E936" s="55"/>
      <c r="J936" s="58"/>
      <c r="K936" s="55"/>
      <c r="L936" s="55"/>
    </row>
    <row r="937" spans="1:12" ht="13.2">
      <c r="A937" s="55"/>
      <c r="B937" s="55" t="str">
        <f t="shared" si="3"/>
        <v/>
      </c>
      <c r="C937" s="31"/>
      <c r="D937" s="62"/>
      <c r="E937" s="55"/>
      <c r="J937" s="58"/>
      <c r="K937" s="55"/>
      <c r="L937" s="55"/>
    </row>
    <row r="938" spans="1:12" ht="13.2">
      <c r="A938" s="55"/>
      <c r="B938" s="55" t="str">
        <f t="shared" si="3"/>
        <v/>
      </c>
      <c r="C938" s="31"/>
      <c r="D938" s="62"/>
      <c r="E938" s="55"/>
      <c r="J938" s="58"/>
      <c r="K938" s="55"/>
      <c r="L938" s="55"/>
    </row>
    <row r="939" spans="1:12" ht="13.2">
      <c r="A939" s="55"/>
      <c r="B939" s="55" t="str">
        <f t="shared" si="3"/>
        <v/>
      </c>
      <c r="C939" s="31"/>
      <c r="D939" s="62"/>
      <c r="E939" s="55"/>
      <c r="J939" s="58"/>
      <c r="K939" s="55"/>
      <c r="L939" s="55"/>
    </row>
    <row r="940" spans="1:12" ht="13.2">
      <c r="A940" s="55"/>
      <c r="B940" s="55" t="str">
        <f t="shared" si="3"/>
        <v/>
      </c>
      <c r="C940" s="31"/>
      <c r="D940" s="62"/>
      <c r="E940" s="55"/>
      <c r="J940" s="58"/>
      <c r="K940" s="55"/>
      <c r="L940" s="55"/>
    </row>
    <row r="941" spans="1:12" ht="13.2">
      <c r="A941" s="55"/>
      <c r="B941" s="55" t="str">
        <f t="shared" si="3"/>
        <v/>
      </c>
      <c r="C941" s="31"/>
      <c r="D941" s="62"/>
      <c r="E941" s="55"/>
      <c r="J941" s="58"/>
      <c r="K941" s="55"/>
      <c r="L941" s="55"/>
    </row>
    <row r="942" spans="1:12" ht="13.2">
      <c r="A942" s="55"/>
      <c r="B942" s="55" t="str">
        <f t="shared" si="3"/>
        <v/>
      </c>
      <c r="C942" s="31"/>
      <c r="D942" s="62"/>
      <c r="E942" s="55"/>
      <c r="J942" s="58"/>
      <c r="K942" s="55"/>
      <c r="L942" s="55"/>
    </row>
    <row r="943" spans="1:12" ht="13.2">
      <c r="A943" s="55"/>
      <c r="B943" s="55" t="str">
        <f t="shared" si="3"/>
        <v/>
      </c>
      <c r="C943" s="31"/>
      <c r="D943" s="62"/>
      <c r="E943" s="55"/>
      <c r="J943" s="58"/>
      <c r="K943" s="55"/>
      <c r="L943" s="55"/>
    </row>
    <row r="944" spans="1:12" ht="13.2">
      <c r="A944" s="55"/>
      <c r="B944" s="55" t="str">
        <f t="shared" si="3"/>
        <v/>
      </c>
      <c r="C944" s="31"/>
      <c r="D944" s="62"/>
      <c r="E944" s="55"/>
      <c r="J944" s="58"/>
      <c r="K944" s="55"/>
      <c r="L944" s="55"/>
    </row>
    <row r="945" spans="1:12" ht="13.2">
      <c r="A945" s="55"/>
      <c r="B945" s="55" t="str">
        <f t="shared" si="3"/>
        <v/>
      </c>
      <c r="C945" s="31"/>
      <c r="D945" s="62"/>
      <c r="E945" s="55"/>
      <c r="J945" s="58"/>
      <c r="K945" s="55"/>
      <c r="L945" s="55"/>
    </row>
    <row r="946" spans="1:12" ht="13.2">
      <c r="A946" s="55"/>
      <c r="B946" s="55" t="str">
        <f t="shared" si="3"/>
        <v/>
      </c>
      <c r="C946" s="31"/>
      <c r="D946" s="62"/>
      <c r="E946" s="55"/>
      <c r="J946" s="58"/>
      <c r="K946" s="55"/>
      <c r="L946" s="55"/>
    </row>
    <row r="947" spans="1:12" ht="13.2">
      <c r="A947" s="55"/>
      <c r="B947" s="55" t="str">
        <f t="shared" si="3"/>
        <v/>
      </c>
      <c r="C947" s="31"/>
      <c r="D947" s="62"/>
      <c r="E947" s="55"/>
      <c r="J947" s="58"/>
      <c r="K947" s="55"/>
      <c r="L947" s="55"/>
    </row>
    <row r="948" spans="1:12" ht="13.2">
      <c r="A948" s="55"/>
      <c r="B948" s="55" t="str">
        <f t="shared" si="3"/>
        <v/>
      </c>
      <c r="C948" s="31"/>
      <c r="D948" s="62"/>
      <c r="E948" s="55"/>
      <c r="J948" s="58"/>
      <c r="K948" s="55"/>
      <c r="L948" s="55"/>
    </row>
    <row r="949" spans="1:12" ht="13.2">
      <c r="A949" s="55"/>
      <c r="B949" s="55" t="str">
        <f t="shared" si="3"/>
        <v/>
      </c>
      <c r="C949" s="31"/>
      <c r="D949" s="62"/>
      <c r="E949" s="55"/>
      <c r="J949" s="58"/>
      <c r="K949" s="55"/>
      <c r="L949" s="55"/>
    </row>
    <row r="950" spans="1:12" ht="13.2">
      <c r="A950" s="55"/>
      <c r="B950" s="55" t="str">
        <f t="shared" si="3"/>
        <v/>
      </c>
      <c r="C950" s="31"/>
      <c r="D950" s="62"/>
      <c r="E950" s="55"/>
      <c r="J950" s="58"/>
      <c r="K950" s="55"/>
      <c r="L950" s="55"/>
    </row>
    <row r="951" spans="1:12" ht="13.2">
      <c r="A951" s="55"/>
      <c r="B951" s="55" t="str">
        <f t="shared" si="3"/>
        <v/>
      </c>
      <c r="C951" s="31"/>
      <c r="D951" s="62"/>
      <c r="E951" s="55"/>
      <c r="J951" s="58"/>
      <c r="K951" s="55"/>
      <c r="L951" s="55"/>
    </row>
    <row r="952" spans="1:12" ht="13.2">
      <c r="A952" s="55"/>
      <c r="B952" s="55" t="str">
        <f t="shared" si="3"/>
        <v/>
      </c>
      <c r="C952" s="31"/>
      <c r="D952" s="62"/>
      <c r="E952" s="55"/>
      <c r="J952" s="58"/>
      <c r="K952" s="55"/>
      <c r="L952" s="55"/>
    </row>
    <row r="953" spans="1:12" ht="13.2">
      <c r="A953" s="55"/>
      <c r="B953" s="55" t="str">
        <f t="shared" si="3"/>
        <v/>
      </c>
      <c r="C953" s="31"/>
      <c r="D953" s="62"/>
      <c r="E953" s="55"/>
      <c r="J953" s="58"/>
      <c r="K953" s="55"/>
      <c r="L953" s="55"/>
    </row>
    <row r="954" spans="1:12" ht="13.2">
      <c r="A954" s="55"/>
      <c r="B954" s="55" t="str">
        <f t="shared" si="3"/>
        <v/>
      </c>
      <c r="C954" s="31"/>
      <c r="D954" s="62"/>
      <c r="E954" s="55"/>
      <c r="J954" s="58"/>
      <c r="K954" s="55"/>
      <c r="L954" s="55"/>
    </row>
    <row r="955" spans="1:12" ht="13.2">
      <c r="A955" s="55"/>
      <c r="B955" s="55" t="str">
        <f t="shared" si="3"/>
        <v/>
      </c>
      <c r="C955" s="31"/>
      <c r="D955" s="62"/>
      <c r="E955" s="55"/>
      <c r="J955" s="58"/>
      <c r="K955" s="55"/>
      <c r="L955" s="55"/>
    </row>
    <row r="956" spans="1:12" ht="13.2">
      <c r="A956" s="55"/>
      <c r="B956" s="55" t="str">
        <f t="shared" si="3"/>
        <v/>
      </c>
      <c r="C956" s="31"/>
      <c r="D956" s="62"/>
      <c r="E956" s="55"/>
      <c r="J956" s="58"/>
      <c r="K956" s="55"/>
      <c r="L956" s="55"/>
    </row>
    <row r="957" spans="1:12" ht="13.2">
      <c r="A957" s="55"/>
      <c r="B957" s="55" t="str">
        <f t="shared" si="3"/>
        <v/>
      </c>
      <c r="C957" s="31"/>
      <c r="D957" s="62"/>
      <c r="E957" s="55"/>
      <c r="J957" s="58"/>
      <c r="K957" s="55"/>
      <c r="L957" s="55"/>
    </row>
    <row r="958" spans="1:12" ht="13.2">
      <c r="A958" s="55"/>
      <c r="B958" s="55" t="str">
        <f t="shared" si="3"/>
        <v/>
      </c>
      <c r="C958" s="31"/>
      <c r="D958" s="62"/>
      <c r="E958" s="55"/>
      <c r="J958" s="58"/>
      <c r="K958" s="55"/>
      <c r="L958" s="55"/>
    </row>
    <row r="959" spans="1:12" ht="13.2">
      <c r="A959" s="55"/>
      <c r="B959" s="55" t="str">
        <f t="shared" si="3"/>
        <v/>
      </c>
      <c r="C959" s="31"/>
      <c r="D959" s="62"/>
      <c r="E959" s="55"/>
      <c r="J959" s="58"/>
      <c r="K959" s="55"/>
      <c r="L959" s="55"/>
    </row>
    <row r="960" spans="1:12" ht="13.2">
      <c r="A960" s="55"/>
      <c r="B960" s="55" t="str">
        <f t="shared" si="3"/>
        <v/>
      </c>
      <c r="C960" s="31"/>
      <c r="D960" s="62"/>
      <c r="E960" s="55"/>
      <c r="J960" s="58"/>
      <c r="K960" s="55"/>
      <c r="L960" s="55"/>
    </row>
    <row r="961" spans="1:12" ht="13.2">
      <c r="A961" s="55"/>
      <c r="B961" s="55" t="str">
        <f t="shared" si="3"/>
        <v/>
      </c>
      <c r="C961" s="31"/>
      <c r="D961" s="62"/>
      <c r="E961" s="55"/>
      <c r="J961" s="58"/>
      <c r="K961" s="55"/>
      <c r="L961" s="55"/>
    </row>
    <row r="962" spans="1:12" ht="13.2">
      <c r="A962" s="55"/>
      <c r="B962" s="55" t="str">
        <f t="shared" si="3"/>
        <v/>
      </c>
      <c r="C962" s="31"/>
      <c r="D962" s="62"/>
      <c r="E962" s="55"/>
      <c r="J962" s="58"/>
      <c r="K962" s="55"/>
      <c r="L962" s="55"/>
    </row>
    <row r="963" spans="1:12" ht="13.2">
      <c r="A963" s="55"/>
      <c r="B963" s="55" t="str">
        <f t="shared" si="3"/>
        <v/>
      </c>
      <c r="C963" s="31"/>
      <c r="D963" s="62"/>
      <c r="E963" s="55"/>
      <c r="J963" s="58"/>
      <c r="K963" s="55"/>
      <c r="L963" s="55"/>
    </row>
    <row r="964" spans="1:12" ht="13.2">
      <c r="A964" s="55"/>
      <c r="B964" s="55" t="str">
        <f t="shared" si="3"/>
        <v/>
      </c>
      <c r="C964" s="31"/>
      <c r="D964" s="62"/>
      <c r="E964" s="55"/>
      <c r="J964" s="58"/>
      <c r="K964" s="55"/>
      <c r="L964" s="55"/>
    </row>
    <row r="965" spans="1:12" ht="13.2">
      <c r="A965" s="55"/>
      <c r="B965" s="55" t="str">
        <f t="shared" si="3"/>
        <v/>
      </c>
      <c r="C965" s="31"/>
      <c r="D965" s="62"/>
      <c r="E965" s="55"/>
      <c r="J965" s="58"/>
      <c r="K965" s="55"/>
      <c r="L965" s="55"/>
    </row>
    <row r="966" spans="1:12" ht="13.2">
      <c r="A966" s="55"/>
      <c r="B966" s="55" t="str">
        <f t="shared" si="3"/>
        <v/>
      </c>
      <c r="C966" s="31"/>
      <c r="D966" s="62"/>
      <c r="E966" s="55"/>
      <c r="J966" s="58"/>
      <c r="K966" s="55"/>
      <c r="L966" s="55"/>
    </row>
    <row r="967" spans="1:12" ht="13.2">
      <c r="A967" s="55"/>
      <c r="B967" s="55" t="str">
        <f t="shared" si="3"/>
        <v/>
      </c>
      <c r="C967" s="31"/>
      <c r="D967" s="62"/>
      <c r="E967" s="55"/>
      <c r="J967" s="58"/>
      <c r="K967" s="55"/>
      <c r="L967" s="55"/>
    </row>
    <row r="968" spans="1:12" ht="13.2">
      <c r="A968" s="55"/>
      <c r="B968" s="55" t="str">
        <f t="shared" si="3"/>
        <v/>
      </c>
      <c r="C968" s="31"/>
      <c r="D968" s="62"/>
      <c r="E968" s="55"/>
      <c r="J968" s="58"/>
      <c r="K968" s="55"/>
      <c r="L968" s="55"/>
    </row>
    <row r="969" spans="1:12" ht="13.2">
      <c r="A969" s="55"/>
      <c r="B969" s="55" t="str">
        <f t="shared" si="3"/>
        <v/>
      </c>
      <c r="C969" s="31"/>
      <c r="D969" s="62"/>
      <c r="E969" s="55"/>
      <c r="J969" s="58"/>
      <c r="K969" s="55"/>
      <c r="L969" s="55"/>
    </row>
    <row r="970" spans="1:12" ht="13.2">
      <c r="A970" s="55"/>
      <c r="B970" s="55" t="str">
        <f t="shared" si="3"/>
        <v/>
      </c>
      <c r="C970" s="31"/>
      <c r="D970" s="62"/>
      <c r="E970" s="55"/>
      <c r="J970" s="58"/>
      <c r="K970" s="55"/>
      <c r="L970" s="55"/>
    </row>
    <row r="971" spans="1:12" ht="13.2">
      <c r="A971" s="55"/>
      <c r="B971" s="55" t="str">
        <f t="shared" si="3"/>
        <v/>
      </c>
      <c r="C971" s="31"/>
      <c r="D971" s="62"/>
      <c r="E971" s="55"/>
      <c r="J971" s="58"/>
      <c r="K971" s="55"/>
      <c r="L971" s="55"/>
    </row>
    <row r="972" spans="1:12" ht="13.2">
      <c r="A972" s="55"/>
      <c r="B972" s="55" t="str">
        <f t="shared" si="3"/>
        <v/>
      </c>
      <c r="C972" s="31"/>
      <c r="D972" s="62"/>
      <c r="E972" s="55"/>
      <c r="J972" s="58"/>
      <c r="K972" s="55"/>
      <c r="L972" s="55"/>
    </row>
    <row r="973" spans="1:12" ht="13.2">
      <c r="A973" s="55"/>
      <c r="B973" s="55" t="str">
        <f t="shared" si="3"/>
        <v/>
      </c>
      <c r="C973" s="31"/>
      <c r="D973" s="62"/>
      <c r="E973" s="55"/>
      <c r="J973" s="58"/>
      <c r="K973" s="55"/>
      <c r="L973" s="55"/>
    </row>
    <row r="974" spans="1:12" ht="13.2">
      <c r="A974" s="55"/>
      <c r="B974" s="55" t="str">
        <f t="shared" si="3"/>
        <v/>
      </c>
      <c r="C974" s="31"/>
      <c r="D974" s="62"/>
      <c r="E974" s="55"/>
      <c r="J974" s="58"/>
      <c r="K974" s="55"/>
      <c r="L974" s="55"/>
    </row>
    <row r="975" spans="1:12" ht="13.2">
      <c r="A975" s="55"/>
      <c r="B975" s="55" t="str">
        <f t="shared" si="3"/>
        <v/>
      </c>
      <c r="C975" s="31"/>
      <c r="D975" s="62"/>
      <c r="E975" s="55"/>
      <c r="J975" s="58"/>
      <c r="K975" s="55"/>
      <c r="L975" s="55"/>
    </row>
    <row r="976" spans="1:12" ht="13.2">
      <c r="A976" s="55"/>
      <c r="B976" s="55" t="str">
        <f t="shared" si="3"/>
        <v/>
      </c>
      <c r="C976" s="31"/>
      <c r="D976" s="62"/>
      <c r="E976" s="55"/>
      <c r="J976" s="58"/>
      <c r="K976" s="55"/>
      <c r="L976" s="55"/>
    </row>
    <row r="977" spans="1:12" ht="13.2">
      <c r="A977" s="55"/>
      <c r="B977" s="55" t="str">
        <f t="shared" si="3"/>
        <v/>
      </c>
      <c r="C977" s="31"/>
      <c r="D977" s="62"/>
      <c r="E977" s="55"/>
      <c r="J977" s="58"/>
      <c r="K977" s="55"/>
      <c r="L977" s="55"/>
    </row>
    <row r="978" spans="1:12" ht="13.2">
      <c r="A978" s="55"/>
      <c r="B978" s="55" t="str">
        <f t="shared" si="3"/>
        <v/>
      </c>
      <c r="C978" s="31"/>
      <c r="D978" s="62"/>
      <c r="E978" s="55"/>
      <c r="J978" s="58"/>
      <c r="K978" s="55"/>
      <c r="L978" s="55"/>
    </row>
    <row r="979" spans="1:12" ht="13.2">
      <c r="A979" s="55"/>
      <c r="B979" s="55" t="str">
        <f t="shared" si="3"/>
        <v/>
      </c>
      <c r="C979" s="31"/>
      <c r="D979" s="62"/>
      <c r="E979" s="55"/>
      <c r="J979" s="58"/>
      <c r="K979" s="55"/>
      <c r="L979" s="55"/>
    </row>
    <row r="980" spans="1:12" ht="13.2">
      <c r="A980" s="55"/>
      <c r="B980" s="55" t="str">
        <f t="shared" si="3"/>
        <v/>
      </c>
      <c r="C980" s="31"/>
      <c r="D980" s="62"/>
      <c r="E980" s="55"/>
      <c r="J980" s="58"/>
      <c r="K980" s="55"/>
      <c r="L980" s="55"/>
    </row>
    <row r="981" spans="1:12" ht="13.2">
      <c r="A981" s="55"/>
      <c r="B981" s="55" t="str">
        <f t="shared" si="3"/>
        <v/>
      </c>
      <c r="C981" s="31"/>
      <c r="D981" s="62"/>
      <c r="E981" s="55"/>
      <c r="J981" s="58"/>
      <c r="K981" s="55"/>
      <c r="L981" s="55"/>
    </row>
    <row r="982" spans="1:12" ht="13.2">
      <c r="A982" s="55"/>
      <c r="B982" s="55" t="str">
        <f t="shared" si="3"/>
        <v/>
      </c>
      <c r="C982" s="31"/>
      <c r="D982" s="62"/>
      <c r="E982" s="55"/>
      <c r="J982" s="58"/>
      <c r="K982" s="55"/>
      <c r="L982" s="55"/>
    </row>
    <row r="983" spans="1:12" ht="13.2">
      <c r="A983" s="55"/>
      <c r="B983" s="55" t="str">
        <f t="shared" si="3"/>
        <v/>
      </c>
      <c r="C983" s="31"/>
      <c r="D983" s="62"/>
      <c r="E983" s="55"/>
      <c r="J983" s="58"/>
      <c r="K983" s="55"/>
      <c r="L983" s="55"/>
    </row>
    <row r="984" spans="1:12" ht="13.2">
      <c r="A984" s="55"/>
      <c r="B984" s="55" t="str">
        <f t="shared" si="3"/>
        <v/>
      </c>
      <c r="C984" s="31"/>
      <c r="D984" s="62"/>
      <c r="E984" s="55"/>
      <c r="J984" s="58"/>
      <c r="K984" s="55"/>
      <c r="L984" s="55"/>
    </row>
    <row r="985" spans="1:12" ht="13.2">
      <c r="A985" s="55"/>
      <c r="B985" s="55" t="str">
        <f t="shared" si="3"/>
        <v/>
      </c>
      <c r="C985" s="31"/>
      <c r="D985" s="62"/>
      <c r="E985" s="55"/>
      <c r="J985" s="58"/>
      <c r="K985" s="55"/>
      <c r="L985" s="55"/>
    </row>
    <row r="986" spans="1:12" ht="13.2">
      <c r="A986" s="55"/>
      <c r="B986" s="55" t="str">
        <f t="shared" si="3"/>
        <v/>
      </c>
      <c r="C986" s="31"/>
      <c r="D986" s="62"/>
      <c r="E986" s="55"/>
      <c r="J986" s="58"/>
      <c r="K986" s="55"/>
      <c r="L986" s="55"/>
    </row>
    <row r="987" spans="1:12" ht="13.2">
      <c r="A987" s="55"/>
      <c r="B987" s="55" t="str">
        <f t="shared" si="3"/>
        <v/>
      </c>
      <c r="C987" s="31"/>
      <c r="D987" s="62"/>
      <c r="E987" s="55"/>
      <c r="J987" s="58"/>
      <c r="K987" s="55"/>
      <c r="L987" s="55"/>
    </row>
    <row r="988" spans="1:12" ht="13.2">
      <c r="A988" s="55"/>
      <c r="B988" s="55" t="str">
        <f t="shared" si="3"/>
        <v/>
      </c>
      <c r="C988" s="31"/>
      <c r="D988" s="62"/>
      <c r="E988" s="55"/>
      <c r="J988" s="58"/>
      <c r="K988" s="55"/>
      <c r="L988" s="55"/>
    </row>
    <row r="989" spans="1:12" ht="13.2">
      <c r="A989" s="55"/>
      <c r="B989" s="55" t="str">
        <f t="shared" si="3"/>
        <v/>
      </c>
      <c r="C989" s="31"/>
      <c r="D989" s="62"/>
      <c r="E989" s="55"/>
      <c r="J989" s="58"/>
      <c r="K989" s="55"/>
      <c r="L989" s="55"/>
    </row>
    <row r="990" spans="1:12" ht="13.2">
      <c r="A990" s="55"/>
      <c r="B990" s="55" t="str">
        <f t="shared" si="3"/>
        <v/>
      </c>
      <c r="C990" s="31"/>
      <c r="D990" s="62"/>
      <c r="E990" s="55"/>
      <c r="J990" s="58"/>
      <c r="K990" s="55"/>
      <c r="L990" s="55"/>
    </row>
    <row r="991" spans="1:12" ht="13.2">
      <c r="A991" s="55"/>
      <c r="B991" s="55" t="str">
        <f t="shared" si="3"/>
        <v/>
      </c>
      <c r="C991" s="31"/>
      <c r="D991" s="62"/>
      <c r="E991" s="55"/>
      <c r="J991" s="58"/>
      <c r="K991" s="55"/>
      <c r="L991" s="55"/>
    </row>
    <row r="992" spans="1:12" ht="13.2">
      <c r="A992" s="55"/>
      <c r="B992" s="55" t="str">
        <f t="shared" si="3"/>
        <v/>
      </c>
      <c r="C992" s="31"/>
      <c r="D992" s="62"/>
      <c r="E992" s="55"/>
      <c r="J992" s="58"/>
      <c r="K992" s="55"/>
      <c r="L992" s="55"/>
    </row>
    <row r="993" spans="1:12" ht="13.2">
      <c r="A993" s="55"/>
      <c r="B993" s="55" t="str">
        <f t="shared" si="3"/>
        <v/>
      </c>
      <c r="C993" s="31"/>
      <c r="D993" s="62"/>
      <c r="E993" s="55"/>
      <c r="J993" s="58"/>
      <c r="K993" s="55"/>
      <c r="L993" s="55"/>
    </row>
    <row r="994" spans="1:12" ht="13.2">
      <c r="A994" s="55"/>
      <c r="B994" s="55" t="str">
        <f t="shared" si="3"/>
        <v/>
      </c>
      <c r="C994" s="31"/>
      <c r="D994" s="62"/>
      <c r="E994" s="55"/>
      <c r="J994" s="58"/>
      <c r="K994" s="55"/>
      <c r="L994" s="55"/>
    </row>
    <row r="995" spans="1:12" ht="13.2">
      <c r="A995" s="55"/>
      <c r="B995" s="55" t="str">
        <f t="shared" si="3"/>
        <v/>
      </c>
      <c r="C995" s="31"/>
      <c r="D995" s="62"/>
      <c r="E995" s="55"/>
      <c r="J995" s="58"/>
      <c r="K995" s="55"/>
      <c r="L995" s="55"/>
    </row>
    <row r="996" spans="1:12" ht="13.2">
      <c r="A996" s="55"/>
      <c r="B996" s="55" t="str">
        <f t="shared" si="3"/>
        <v/>
      </c>
      <c r="C996" s="31"/>
      <c r="D996" s="62"/>
      <c r="E996" s="55"/>
      <c r="J996" s="58"/>
      <c r="K996" s="55"/>
      <c r="L996" s="55"/>
    </row>
    <row r="997" spans="1:12" ht="13.2">
      <c r="A997" s="55"/>
      <c r="B997" s="55" t="str">
        <f t="shared" si="3"/>
        <v/>
      </c>
      <c r="C997" s="31"/>
      <c r="D997" s="62"/>
      <c r="E997" s="55"/>
      <c r="J997" s="58"/>
      <c r="K997" s="55"/>
      <c r="L997" s="55"/>
    </row>
    <row r="998" spans="1:12" ht="13.2">
      <c r="A998" s="55"/>
      <c r="B998" s="55" t="str">
        <f t="shared" si="3"/>
        <v/>
      </c>
      <c r="C998" s="31"/>
      <c r="D998" s="62"/>
      <c r="E998" s="55"/>
      <c r="J998" s="58"/>
      <c r="K998" s="55"/>
      <c r="L998" s="55"/>
    </row>
    <row r="999" spans="1:12" ht="13.2">
      <c r="A999" s="55"/>
      <c r="B999" s="55" t="str">
        <f t="shared" si="3"/>
        <v/>
      </c>
      <c r="C999" s="31"/>
      <c r="D999" s="62"/>
      <c r="E999" s="55"/>
      <c r="J999" s="58"/>
      <c r="K999" s="55"/>
      <c r="L999" s="55"/>
    </row>
    <row r="1000" spans="1:12" ht="13.2">
      <c r="A1000" s="55"/>
      <c r="B1000" s="55" t="str">
        <f t="shared" si="3"/>
        <v/>
      </c>
      <c r="C1000" s="31"/>
      <c r="D1000" s="62"/>
      <c r="E1000" s="55"/>
      <c r="J1000" s="58"/>
      <c r="K1000" s="55"/>
      <c r="L1000" s="55"/>
    </row>
    <row r="1001" spans="1:12" ht="13.2">
      <c r="A1001" s="55"/>
      <c r="B1001" s="55" t="str">
        <f t="shared" si="3"/>
        <v/>
      </c>
      <c r="C1001" s="31"/>
      <c r="D1001" s="62"/>
      <c r="E1001" s="55"/>
      <c r="J1001" s="58"/>
      <c r="K1001" s="55"/>
      <c r="L1001" s="55"/>
    </row>
    <row r="1002" spans="1:12" ht="13.2">
      <c r="A1002" s="55"/>
      <c r="B1002" s="55" t="str">
        <f t="shared" si="3"/>
        <v/>
      </c>
      <c r="C1002" s="31"/>
      <c r="D1002" s="62"/>
      <c r="E1002" s="55"/>
      <c r="J1002" s="58"/>
      <c r="K1002" s="55"/>
      <c r="L1002" s="55"/>
    </row>
    <row r="1003" spans="1:12" ht="13.2">
      <c r="A1003" s="55"/>
      <c r="B1003" s="55" t="str">
        <f t="shared" si="3"/>
        <v/>
      </c>
      <c r="C1003" s="31"/>
      <c r="D1003" s="62"/>
      <c r="E1003" s="55"/>
      <c r="J1003" s="58"/>
      <c r="K1003" s="55"/>
      <c r="L1003" s="55"/>
    </row>
    <row r="1004" spans="1:12" ht="13.2">
      <c r="A1004" s="55"/>
      <c r="B1004" s="55" t="str">
        <f t="shared" si="3"/>
        <v/>
      </c>
      <c r="C1004" s="31"/>
      <c r="D1004" s="62"/>
      <c r="E1004" s="55"/>
      <c r="J1004" s="58"/>
      <c r="K1004" s="55"/>
      <c r="L1004" s="55"/>
    </row>
    <row r="1005" spans="1:12" ht="13.2">
      <c r="A1005" s="55"/>
      <c r="B1005" s="55" t="str">
        <f t="shared" si="3"/>
        <v/>
      </c>
      <c r="C1005" s="31"/>
      <c r="D1005" s="62"/>
      <c r="E1005" s="55"/>
      <c r="J1005" s="58"/>
      <c r="K1005" s="55"/>
      <c r="L1005" s="55"/>
    </row>
    <row r="1006" spans="1:12" ht="13.2">
      <c r="A1006" s="55"/>
      <c r="B1006" s="55" t="str">
        <f t="shared" si="3"/>
        <v/>
      </c>
      <c r="C1006" s="31"/>
      <c r="D1006" s="62"/>
      <c r="E1006" s="55"/>
      <c r="J1006" s="58"/>
      <c r="K1006" s="55"/>
      <c r="L1006" s="55"/>
    </row>
    <row r="1007" spans="1:12" ht="13.2">
      <c r="A1007" s="55"/>
      <c r="B1007" s="55" t="str">
        <f t="shared" si="3"/>
        <v/>
      </c>
      <c r="C1007" s="31"/>
      <c r="D1007" s="62"/>
      <c r="E1007" s="55"/>
      <c r="J1007" s="58"/>
      <c r="K1007" s="55"/>
      <c r="L1007" s="55"/>
    </row>
    <row r="1008" spans="1:12" ht="13.2">
      <c r="A1008" s="55"/>
      <c r="B1008" s="55" t="str">
        <f t="shared" si="3"/>
        <v/>
      </c>
      <c r="C1008" s="31"/>
      <c r="D1008" s="62"/>
      <c r="E1008" s="55"/>
      <c r="J1008" s="58"/>
      <c r="K1008" s="55"/>
      <c r="L1008" s="55"/>
    </row>
    <row r="1009" spans="1:12" ht="13.2">
      <c r="A1009" s="55"/>
      <c r="B1009" s="55" t="str">
        <f t="shared" si="3"/>
        <v/>
      </c>
      <c r="C1009" s="31"/>
      <c r="D1009" s="62"/>
      <c r="E1009" s="55"/>
      <c r="J1009" s="58"/>
      <c r="K1009" s="55"/>
      <c r="L1009" s="55"/>
    </row>
    <row r="1010" spans="1:12" ht="13.2">
      <c r="A1010" s="55"/>
      <c r="B1010" s="55" t="str">
        <f t="shared" si="3"/>
        <v/>
      </c>
      <c r="C1010" s="31"/>
      <c r="D1010" s="62"/>
      <c r="E1010" s="55"/>
      <c r="J1010" s="58"/>
      <c r="K1010" s="55"/>
      <c r="L1010" s="55"/>
    </row>
    <row r="1011" spans="1:12" ht="13.2">
      <c r="A1011" s="55"/>
      <c r="B1011" s="55" t="str">
        <f t="shared" si="3"/>
        <v/>
      </c>
      <c r="C1011" s="31"/>
      <c r="D1011" s="62"/>
      <c r="E1011" s="55"/>
      <c r="J1011" s="58"/>
      <c r="K1011" s="55"/>
      <c r="L1011" s="55"/>
    </row>
    <row r="1012" spans="1:12" ht="13.2">
      <c r="A1012" s="55"/>
      <c r="B1012" s="55" t="str">
        <f t="shared" si="3"/>
        <v/>
      </c>
      <c r="C1012" s="31"/>
      <c r="D1012" s="62"/>
      <c r="E1012" s="55"/>
      <c r="J1012" s="58"/>
      <c r="K1012" s="55"/>
      <c r="L1012" s="55"/>
    </row>
    <row r="1013" spans="1:12" ht="13.2">
      <c r="A1013" s="55"/>
      <c r="B1013" s="55" t="str">
        <f t="shared" si="3"/>
        <v/>
      </c>
      <c r="C1013" s="31"/>
      <c r="D1013" s="62"/>
      <c r="E1013" s="55"/>
      <c r="J1013" s="58"/>
      <c r="K1013" s="55"/>
      <c r="L1013" s="55"/>
    </row>
    <row r="1014" spans="1:12" ht="13.2">
      <c r="A1014" s="55"/>
      <c r="B1014" s="55" t="str">
        <f t="shared" si="3"/>
        <v/>
      </c>
      <c r="C1014" s="31"/>
      <c r="D1014" s="62"/>
      <c r="E1014" s="55"/>
      <c r="J1014" s="58"/>
      <c r="K1014" s="55"/>
      <c r="L1014" s="55"/>
    </row>
    <row r="1015" spans="1:12" ht="13.2">
      <c r="A1015" s="55"/>
      <c r="B1015" s="55" t="str">
        <f t="shared" si="3"/>
        <v/>
      </c>
      <c r="C1015" s="31"/>
      <c r="D1015" s="62"/>
      <c r="E1015" s="55"/>
      <c r="J1015" s="58"/>
      <c r="K1015" s="55"/>
      <c r="L1015" s="55"/>
    </row>
    <row r="1016" spans="1:12" ht="13.2">
      <c r="A1016" s="55"/>
      <c r="B1016" s="55" t="str">
        <f t="shared" si="3"/>
        <v/>
      </c>
      <c r="C1016" s="31"/>
      <c r="D1016" s="62"/>
      <c r="E1016" s="55"/>
      <c r="J1016" s="58"/>
      <c r="K1016" s="55"/>
      <c r="L1016" s="55"/>
    </row>
    <row r="1017" spans="1:12" ht="13.2">
      <c r="A1017" s="55"/>
      <c r="B1017" s="55" t="str">
        <f t="shared" si="3"/>
        <v/>
      </c>
      <c r="C1017" s="31"/>
      <c r="D1017" s="62"/>
      <c r="E1017" s="55"/>
      <c r="J1017" s="58"/>
      <c r="K1017" s="55"/>
      <c r="L1017" s="55"/>
    </row>
    <row r="1018" spans="1:12" ht="13.2">
      <c r="A1018" s="55"/>
      <c r="B1018" s="55" t="str">
        <f t="shared" si="3"/>
        <v/>
      </c>
      <c r="C1018" s="31"/>
      <c r="D1018" s="62"/>
      <c r="E1018" s="55"/>
      <c r="J1018" s="58"/>
      <c r="K1018" s="55"/>
      <c r="L1018" s="55"/>
    </row>
    <row r="1019" spans="1:12" ht="13.2">
      <c r="A1019" s="55"/>
      <c r="B1019" s="55" t="str">
        <f t="shared" si="3"/>
        <v/>
      </c>
      <c r="C1019" s="31"/>
      <c r="D1019" s="62"/>
      <c r="E1019" s="55"/>
      <c r="J1019" s="58"/>
      <c r="K1019" s="55"/>
      <c r="L1019" s="55"/>
    </row>
    <row r="1020" spans="1:12" ht="13.2">
      <c r="A1020" s="55"/>
      <c r="B1020" s="55" t="str">
        <f t="shared" si="3"/>
        <v/>
      </c>
      <c r="C1020" s="31"/>
      <c r="D1020" s="62"/>
      <c r="E1020" s="55"/>
      <c r="J1020" s="58"/>
      <c r="K1020" s="55"/>
      <c r="L1020" s="55"/>
    </row>
    <row r="1021" spans="1:12" ht="13.2">
      <c r="A1021" s="55"/>
      <c r="B1021" s="55" t="str">
        <f t="shared" si="3"/>
        <v/>
      </c>
      <c r="C1021" s="31"/>
      <c r="D1021" s="62"/>
      <c r="E1021" s="55"/>
      <c r="J1021" s="58"/>
      <c r="K1021" s="55"/>
      <c r="L1021" s="55"/>
    </row>
    <row r="1022" spans="1:12" ht="13.2">
      <c r="A1022" s="55"/>
      <c r="B1022" s="55" t="str">
        <f t="shared" si="3"/>
        <v/>
      </c>
      <c r="C1022" s="31"/>
      <c r="D1022" s="62"/>
      <c r="E1022" s="55"/>
      <c r="J1022" s="58"/>
      <c r="K1022" s="55"/>
      <c r="L1022" s="55"/>
    </row>
    <row r="1023" spans="1:12" ht="13.2">
      <c r="A1023" s="55"/>
      <c r="B1023" s="55" t="str">
        <f t="shared" ref="B1023:B1224" si="4">IF(D1023&gt;0, CONCATENATE(YEAR(D1023),"/",MONTH(D1023)),"")</f>
        <v/>
      </c>
      <c r="C1023" s="31"/>
      <c r="D1023" s="62"/>
      <c r="E1023" s="55"/>
      <c r="J1023" s="58"/>
      <c r="K1023" s="55"/>
      <c r="L1023" s="55"/>
    </row>
    <row r="1024" spans="1:12" ht="13.2">
      <c r="A1024" s="55"/>
      <c r="B1024" s="55" t="str">
        <f t="shared" si="4"/>
        <v/>
      </c>
      <c r="C1024" s="31"/>
      <c r="D1024" s="62"/>
      <c r="E1024" s="55"/>
      <c r="J1024" s="58"/>
      <c r="K1024" s="55"/>
      <c r="L1024" s="55"/>
    </row>
    <row r="1025" spans="1:12" ht="13.2">
      <c r="A1025" s="55"/>
      <c r="B1025" s="55" t="str">
        <f t="shared" si="4"/>
        <v/>
      </c>
      <c r="C1025" s="31"/>
      <c r="D1025" s="62"/>
      <c r="E1025" s="55"/>
      <c r="J1025" s="58"/>
      <c r="K1025" s="55"/>
      <c r="L1025" s="55"/>
    </row>
    <row r="1026" spans="1:12" ht="13.2">
      <c r="A1026" s="55"/>
      <c r="B1026" s="55" t="str">
        <f t="shared" si="4"/>
        <v/>
      </c>
      <c r="C1026" s="31"/>
      <c r="D1026" s="62"/>
      <c r="E1026" s="55"/>
      <c r="J1026" s="58"/>
      <c r="K1026" s="55"/>
      <c r="L1026" s="55"/>
    </row>
    <row r="1027" spans="1:12" ht="13.2">
      <c r="A1027" s="55"/>
      <c r="B1027" s="55" t="str">
        <f t="shared" si="4"/>
        <v/>
      </c>
      <c r="C1027" s="31"/>
      <c r="D1027" s="62"/>
      <c r="E1027" s="55"/>
      <c r="J1027" s="58"/>
      <c r="K1027" s="55"/>
      <c r="L1027" s="55"/>
    </row>
    <row r="1028" spans="1:12" ht="13.2">
      <c r="A1028" s="55"/>
      <c r="B1028" s="55" t="str">
        <f t="shared" si="4"/>
        <v/>
      </c>
      <c r="C1028" s="31"/>
      <c r="D1028" s="62"/>
      <c r="E1028" s="55"/>
      <c r="J1028" s="58"/>
      <c r="K1028" s="55"/>
      <c r="L1028" s="55"/>
    </row>
    <row r="1029" spans="1:12" ht="13.2">
      <c r="A1029" s="55"/>
      <c r="B1029" s="55" t="str">
        <f t="shared" si="4"/>
        <v/>
      </c>
      <c r="C1029" s="31"/>
      <c r="D1029" s="62"/>
      <c r="E1029" s="55"/>
      <c r="J1029" s="58"/>
      <c r="K1029" s="55"/>
      <c r="L1029" s="55"/>
    </row>
    <row r="1030" spans="1:12" ht="13.2">
      <c r="A1030" s="55"/>
      <c r="B1030" s="55" t="str">
        <f t="shared" si="4"/>
        <v/>
      </c>
      <c r="C1030" s="31"/>
      <c r="D1030" s="62"/>
      <c r="E1030" s="55"/>
      <c r="J1030" s="58"/>
      <c r="K1030" s="55"/>
      <c r="L1030" s="55"/>
    </row>
    <row r="1031" spans="1:12" ht="13.2">
      <c r="A1031" s="55"/>
      <c r="B1031" s="55" t="str">
        <f t="shared" si="4"/>
        <v/>
      </c>
      <c r="C1031" s="31"/>
      <c r="D1031" s="62"/>
      <c r="E1031" s="55"/>
      <c r="J1031" s="58"/>
      <c r="K1031" s="55"/>
      <c r="L1031" s="55"/>
    </row>
    <row r="1032" spans="1:12" ht="13.2">
      <c r="A1032" s="55"/>
      <c r="B1032" s="55" t="str">
        <f t="shared" si="4"/>
        <v/>
      </c>
      <c r="C1032" s="31"/>
      <c r="D1032" s="62"/>
      <c r="E1032" s="55"/>
      <c r="J1032" s="58"/>
      <c r="K1032" s="55"/>
      <c r="L1032" s="55"/>
    </row>
    <row r="1033" spans="1:12" ht="13.2">
      <c r="A1033" s="55"/>
      <c r="B1033" s="55" t="str">
        <f t="shared" si="4"/>
        <v/>
      </c>
      <c r="C1033" s="31"/>
      <c r="D1033" s="62"/>
      <c r="E1033" s="55"/>
      <c r="J1033" s="58"/>
      <c r="K1033" s="55"/>
      <c r="L1033" s="55"/>
    </row>
    <row r="1034" spans="1:12" ht="13.2">
      <c r="A1034" s="55"/>
      <c r="B1034" s="55" t="str">
        <f t="shared" si="4"/>
        <v/>
      </c>
      <c r="C1034" s="31"/>
      <c r="D1034" s="62"/>
      <c r="E1034" s="55"/>
      <c r="J1034" s="58"/>
      <c r="K1034" s="55"/>
      <c r="L1034" s="55"/>
    </row>
    <row r="1035" spans="1:12" ht="13.2">
      <c r="A1035" s="55"/>
      <c r="B1035" s="55" t="str">
        <f t="shared" si="4"/>
        <v/>
      </c>
      <c r="C1035" s="31"/>
      <c r="D1035" s="62"/>
      <c r="E1035" s="55"/>
      <c r="J1035" s="58"/>
      <c r="K1035" s="55"/>
      <c r="L1035" s="55"/>
    </row>
    <row r="1036" spans="1:12" ht="13.2">
      <c r="A1036" s="55"/>
      <c r="B1036" s="55" t="str">
        <f t="shared" si="4"/>
        <v/>
      </c>
      <c r="C1036" s="31"/>
      <c r="D1036" s="62"/>
      <c r="E1036" s="55"/>
      <c r="J1036" s="58"/>
      <c r="K1036" s="55"/>
      <c r="L1036" s="55"/>
    </row>
    <row r="1037" spans="1:12" ht="13.2">
      <c r="A1037" s="55"/>
      <c r="B1037" s="55" t="str">
        <f t="shared" si="4"/>
        <v/>
      </c>
      <c r="C1037" s="31"/>
      <c r="D1037" s="62"/>
      <c r="E1037" s="55"/>
      <c r="J1037" s="58"/>
      <c r="K1037" s="55"/>
      <c r="L1037" s="55"/>
    </row>
    <row r="1038" spans="1:12" ht="13.2">
      <c r="A1038" s="55"/>
      <c r="B1038" s="55" t="str">
        <f t="shared" si="4"/>
        <v/>
      </c>
      <c r="C1038" s="31"/>
      <c r="D1038" s="62"/>
      <c r="E1038" s="55"/>
      <c r="J1038" s="58"/>
      <c r="K1038" s="55"/>
      <c r="L1038" s="55"/>
    </row>
    <row r="1039" spans="1:12" ht="13.2">
      <c r="A1039" s="55"/>
      <c r="B1039" s="55" t="str">
        <f t="shared" si="4"/>
        <v/>
      </c>
      <c r="C1039" s="31"/>
      <c r="D1039" s="62"/>
      <c r="E1039" s="55"/>
      <c r="J1039" s="58"/>
      <c r="K1039" s="55"/>
      <c r="L1039" s="55"/>
    </row>
    <row r="1040" spans="1:12" ht="13.2">
      <c r="A1040" s="55"/>
      <c r="B1040" s="55" t="str">
        <f t="shared" si="4"/>
        <v/>
      </c>
      <c r="C1040" s="31"/>
      <c r="D1040" s="62"/>
      <c r="E1040" s="55"/>
      <c r="J1040" s="58"/>
      <c r="K1040" s="55"/>
      <c r="L1040" s="55"/>
    </row>
    <row r="1041" spans="1:12" ht="13.2">
      <c r="A1041" s="55"/>
      <c r="B1041" s="55" t="str">
        <f t="shared" si="4"/>
        <v/>
      </c>
      <c r="C1041" s="31"/>
      <c r="D1041" s="62"/>
      <c r="E1041" s="55"/>
      <c r="J1041" s="58"/>
      <c r="K1041" s="55"/>
      <c r="L1041" s="55"/>
    </row>
    <row r="1042" spans="1:12" ht="13.2">
      <c r="A1042" s="55"/>
      <c r="B1042" s="55" t="str">
        <f t="shared" si="4"/>
        <v/>
      </c>
      <c r="C1042" s="31"/>
      <c r="D1042" s="62"/>
      <c r="E1042" s="55"/>
      <c r="J1042" s="58"/>
      <c r="K1042" s="55"/>
      <c r="L1042" s="55"/>
    </row>
    <row r="1043" spans="1:12" ht="13.2">
      <c r="A1043" s="55"/>
      <c r="B1043" s="55" t="str">
        <f t="shared" si="4"/>
        <v/>
      </c>
      <c r="C1043" s="31"/>
      <c r="D1043" s="62"/>
      <c r="E1043" s="55"/>
      <c r="J1043" s="58"/>
      <c r="K1043" s="55"/>
      <c r="L1043" s="55"/>
    </row>
    <row r="1044" spans="1:12" ht="13.2">
      <c r="A1044" s="55"/>
      <c r="B1044" s="55" t="str">
        <f t="shared" si="4"/>
        <v/>
      </c>
      <c r="C1044" s="31"/>
      <c r="D1044" s="62"/>
      <c r="E1044" s="55"/>
      <c r="J1044" s="58"/>
      <c r="K1044" s="55"/>
      <c r="L1044" s="55"/>
    </row>
    <row r="1045" spans="1:12" ht="13.2">
      <c r="A1045" s="55"/>
      <c r="B1045" s="55" t="str">
        <f t="shared" si="4"/>
        <v/>
      </c>
      <c r="C1045" s="31"/>
      <c r="D1045" s="62"/>
      <c r="E1045" s="55"/>
      <c r="J1045" s="58"/>
      <c r="K1045" s="55"/>
      <c r="L1045" s="55"/>
    </row>
    <row r="1046" spans="1:12" ht="13.2">
      <c r="A1046" s="55"/>
      <c r="B1046" s="55" t="str">
        <f t="shared" si="4"/>
        <v/>
      </c>
      <c r="C1046" s="31"/>
      <c r="D1046" s="62"/>
      <c r="E1046" s="55"/>
      <c r="J1046" s="58"/>
      <c r="K1046" s="55"/>
      <c r="L1046" s="55"/>
    </row>
    <row r="1047" spans="1:12" ht="13.2">
      <c r="A1047" s="55"/>
      <c r="B1047" s="55" t="str">
        <f t="shared" si="4"/>
        <v/>
      </c>
      <c r="C1047" s="31"/>
      <c r="D1047" s="62"/>
      <c r="E1047" s="55"/>
      <c r="J1047" s="58"/>
      <c r="K1047" s="55"/>
      <c r="L1047" s="55"/>
    </row>
    <row r="1048" spans="1:12" ht="13.2">
      <c r="A1048" s="55"/>
      <c r="B1048" s="55" t="str">
        <f t="shared" si="4"/>
        <v/>
      </c>
      <c r="C1048" s="31"/>
      <c r="D1048" s="62"/>
      <c r="E1048" s="55"/>
      <c r="J1048" s="58"/>
      <c r="K1048" s="55"/>
      <c r="L1048" s="55"/>
    </row>
    <row r="1049" spans="1:12" ht="13.2">
      <c r="A1049" s="55"/>
      <c r="B1049" s="55" t="str">
        <f t="shared" si="4"/>
        <v/>
      </c>
      <c r="C1049" s="31"/>
      <c r="D1049" s="62"/>
      <c r="E1049" s="55"/>
      <c r="J1049" s="58"/>
      <c r="K1049" s="55"/>
      <c r="L1049" s="55"/>
    </row>
    <row r="1050" spans="1:12" ht="13.2">
      <c r="A1050" s="55"/>
      <c r="B1050" s="55" t="str">
        <f t="shared" si="4"/>
        <v/>
      </c>
      <c r="C1050" s="31"/>
      <c r="D1050" s="62"/>
      <c r="E1050" s="55"/>
      <c r="J1050" s="58"/>
      <c r="K1050" s="55"/>
      <c r="L1050" s="55"/>
    </row>
    <row r="1051" spans="1:12" ht="13.2">
      <c r="A1051" s="55"/>
      <c r="B1051" s="55" t="str">
        <f t="shared" si="4"/>
        <v/>
      </c>
      <c r="C1051" s="31"/>
      <c r="D1051" s="62"/>
      <c r="E1051" s="55"/>
      <c r="J1051" s="58"/>
      <c r="K1051" s="55"/>
      <c r="L1051" s="55"/>
    </row>
    <row r="1052" spans="1:12" ht="13.2">
      <c r="A1052" s="55"/>
      <c r="B1052" s="55" t="str">
        <f t="shared" si="4"/>
        <v/>
      </c>
      <c r="C1052" s="31"/>
      <c r="D1052" s="62"/>
      <c r="E1052" s="55"/>
      <c r="J1052" s="58"/>
      <c r="K1052" s="55"/>
      <c r="L1052" s="55"/>
    </row>
    <row r="1053" spans="1:12" ht="13.2">
      <c r="A1053" s="55"/>
      <c r="B1053" s="55" t="str">
        <f t="shared" si="4"/>
        <v/>
      </c>
      <c r="C1053" s="31"/>
      <c r="D1053" s="62"/>
      <c r="E1053" s="55"/>
      <c r="J1053" s="58"/>
      <c r="K1053" s="55"/>
      <c r="L1053" s="55"/>
    </row>
    <row r="1054" spans="1:12" ht="13.2">
      <c r="A1054" s="55"/>
      <c r="B1054" s="55" t="str">
        <f t="shared" si="4"/>
        <v/>
      </c>
      <c r="C1054" s="31"/>
      <c r="D1054" s="62"/>
      <c r="E1054" s="55"/>
      <c r="J1054" s="58"/>
      <c r="K1054" s="55"/>
      <c r="L1054" s="55"/>
    </row>
    <row r="1055" spans="1:12" ht="13.2">
      <c r="A1055" s="55"/>
      <c r="B1055" s="55" t="str">
        <f t="shared" si="4"/>
        <v/>
      </c>
      <c r="C1055" s="31"/>
      <c r="D1055" s="62"/>
      <c r="E1055" s="55"/>
      <c r="J1055" s="58"/>
      <c r="K1055" s="55"/>
      <c r="L1055" s="55"/>
    </row>
    <row r="1056" spans="1:12" ht="13.2">
      <c r="A1056" s="55"/>
      <c r="B1056" s="55" t="str">
        <f t="shared" si="4"/>
        <v/>
      </c>
      <c r="C1056" s="31"/>
      <c r="D1056" s="62"/>
      <c r="E1056" s="55"/>
      <c r="J1056" s="58"/>
      <c r="K1056" s="55"/>
      <c r="L1056" s="55"/>
    </row>
    <row r="1057" spans="1:12" ht="13.2">
      <c r="A1057" s="55"/>
      <c r="B1057" s="55" t="str">
        <f t="shared" si="4"/>
        <v/>
      </c>
      <c r="C1057" s="31"/>
      <c r="D1057" s="62"/>
      <c r="E1057" s="55"/>
      <c r="J1057" s="58"/>
      <c r="K1057" s="55"/>
      <c r="L1057" s="55"/>
    </row>
    <row r="1058" spans="1:12" ht="13.2">
      <c r="A1058" s="55"/>
      <c r="B1058" s="55" t="str">
        <f t="shared" si="4"/>
        <v/>
      </c>
      <c r="C1058" s="31"/>
      <c r="D1058" s="62"/>
      <c r="E1058" s="55"/>
      <c r="J1058" s="58"/>
      <c r="K1058" s="55"/>
      <c r="L1058" s="55"/>
    </row>
    <row r="1059" spans="1:12" ht="13.2">
      <c r="A1059" s="55"/>
      <c r="B1059" s="55" t="str">
        <f t="shared" si="4"/>
        <v/>
      </c>
      <c r="C1059" s="31"/>
      <c r="D1059" s="62"/>
      <c r="E1059" s="55"/>
      <c r="J1059" s="58"/>
      <c r="K1059" s="55"/>
      <c r="L1059" s="55"/>
    </row>
    <row r="1060" spans="1:12" ht="13.2">
      <c r="A1060" s="55"/>
      <c r="B1060" s="55" t="str">
        <f t="shared" si="4"/>
        <v/>
      </c>
      <c r="C1060" s="31"/>
      <c r="D1060" s="62"/>
      <c r="E1060" s="55"/>
      <c r="J1060" s="58"/>
      <c r="K1060" s="55"/>
      <c r="L1060" s="55"/>
    </row>
    <row r="1061" spans="1:12" ht="13.2">
      <c r="A1061" s="55"/>
      <c r="B1061" s="55" t="str">
        <f t="shared" si="4"/>
        <v/>
      </c>
      <c r="C1061" s="31"/>
      <c r="D1061" s="62"/>
      <c r="E1061" s="55"/>
      <c r="J1061" s="58"/>
      <c r="K1061" s="55"/>
      <c r="L1061" s="55"/>
    </row>
    <row r="1062" spans="1:12" ht="13.2">
      <c r="A1062" s="55"/>
      <c r="B1062" s="55" t="str">
        <f t="shared" si="4"/>
        <v/>
      </c>
      <c r="C1062" s="31"/>
      <c r="D1062" s="62"/>
      <c r="E1062" s="55"/>
      <c r="J1062" s="58"/>
      <c r="K1062" s="55"/>
      <c r="L1062" s="55"/>
    </row>
    <row r="1063" spans="1:12" ht="13.2">
      <c r="A1063" s="55"/>
      <c r="B1063" s="55" t="str">
        <f t="shared" si="4"/>
        <v/>
      </c>
      <c r="C1063" s="31"/>
      <c r="D1063" s="62"/>
      <c r="E1063" s="55"/>
      <c r="J1063" s="58"/>
      <c r="K1063" s="55"/>
      <c r="L1063" s="55"/>
    </row>
    <row r="1064" spans="1:12" ht="13.2">
      <c r="A1064" s="55"/>
      <c r="B1064" s="55" t="str">
        <f t="shared" si="4"/>
        <v/>
      </c>
      <c r="C1064" s="31"/>
      <c r="D1064" s="62"/>
      <c r="E1064" s="55"/>
      <c r="J1064" s="58"/>
      <c r="K1064" s="55"/>
      <c r="L1064" s="55"/>
    </row>
    <row r="1065" spans="1:12" ht="13.2">
      <c r="A1065" s="55"/>
      <c r="B1065" s="55" t="str">
        <f t="shared" si="4"/>
        <v/>
      </c>
      <c r="C1065" s="31"/>
      <c r="D1065" s="62"/>
      <c r="E1065" s="55"/>
      <c r="J1065" s="58"/>
      <c r="K1065" s="55"/>
      <c r="L1065" s="55"/>
    </row>
    <row r="1066" spans="1:12" ht="13.2">
      <c r="A1066" s="55"/>
      <c r="B1066" s="55" t="str">
        <f t="shared" si="4"/>
        <v/>
      </c>
      <c r="C1066" s="31"/>
      <c r="D1066" s="62"/>
      <c r="E1066" s="55"/>
      <c r="J1066" s="58"/>
      <c r="K1066" s="55"/>
      <c r="L1066" s="55"/>
    </row>
    <row r="1067" spans="1:12" ht="13.2">
      <c r="A1067" s="55"/>
      <c r="B1067" s="55" t="str">
        <f t="shared" si="4"/>
        <v/>
      </c>
      <c r="C1067" s="31"/>
      <c r="D1067" s="62"/>
      <c r="E1067" s="55"/>
      <c r="J1067" s="58"/>
      <c r="K1067" s="55"/>
      <c r="L1067" s="55"/>
    </row>
    <row r="1068" spans="1:12" ht="13.2">
      <c r="A1068" s="55"/>
      <c r="B1068" s="55" t="str">
        <f t="shared" si="4"/>
        <v/>
      </c>
      <c r="C1068" s="31"/>
      <c r="D1068" s="62"/>
      <c r="E1068" s="55"/>
      <c r="J1068" s="58"/>
      <c r="K1068" s="55"/>
      <c r="L1068" s="55"/>
    </row>
    <row r="1069" spans="1:12" ht="13.2">
      <c r="A1069" s="55"/>
      <c r="B1069" s="55" t="str">
        <f t="shared" si="4"/>
        <v/>
      </c>
      <c r="C1069" s="31"/>
      <c r="D1069" s="62"/>
      <c r="E1069" s="55"/>
      <c r="J1069" s="58"/>
      <c r="K1069" s="55"/>
      <c r="L1069" s="55"/>
    </row>
    <row r="1070" spans="1:12" ht="13.2">
      <c r="A1070" s="55"/>
      <c r="B1070" s="55" t="str">
        <f t="shared" si="4"/>
        <v/>
      </c>
      <c r="C1070" s="31"/>
      <c r="D1070" s="62"/>
      <c r="E1070" s="55"/>
      <c r="J1070" s="58"/>
      <c r="K1070" s="55"/>
      <c r="L1070" s="55"/>
    </row>
    <row r="1071" spans="1:12" ht="13.2">
      <c r="A1071" s="55"/>
      <c r="B1071" s="55" t="str">
        <f t="shared" si="4"/>
        <v/>
      </c>
      <c r="C1071" s="31"/>
      <c r="D1071" s="62"/>
      <c r="E1071" s="55"/>
      <c r="J1071" s="58"/>
      <c r="K1071" s="55"/>
      <c r="L1071" s="55"/>
    </row>
    <row r="1072" spans="1:12" ht="13.2">
      <c r="A1072" s="55"/>
      <c r="B1072" s="55" t="str">
        <f t="shared" si="4"/>
        <v/>
      </c>
      <c r="C1072" s="31"/>
      <c r="D1072" s="62"/>
      <c r="E1072" s="55"/>
      <c r="J1072" s="58"/>
      <c r="K1072" s="55"/>
      <c r="L1072" s="55"/>
    </row>
    <row r="1073" spans="1:12" ht="13.2">
      <c r="A1073" s="55"/>
      <c r="B1073" s="55" t="str">
        <f t="shared" si="4"/>
        <v/>
      </c>
      <c r="C1073" s="31"/>
      <c r="D1073" s="62"/>
      <c r="E1073" s="55"/>
      <c r="J1073" s="58"/>
      <c r="K1073" s="55"/>
      <c r="L1073" s="55"/>
    </row>
    <row r="1074" spans="1:12" ht="13.2">
      <c r="A1074" s="55"/>
      <c r="B1074" s="55" t="str">
        <f t="shared" si="4"/>
        <v/>
      </c>
      <c r="C1074" s="31"/>
      <c r="D1074" s="62"/>
      <c r="E1074" s="55"/>
      <c r="J1074" s="58"/>
      <c r="K1074" s="55"/>
      <c r="L1074" s="55"/>
    </row>
    <row r="1075" spans="1:12" ht="13.2">
      <c r="A1075" s="55"/>
      <c r="B1075" s="55" t="str">
        <f t="shared" si="4"/>
        <v/>
      </c>
      <c r="C1075" s="31"/>
      <c r="D1075" s="62"/>
      <c r="E1075" s="55"/>
      <c r="J1075" s="58"/>
      <c r="K1075" s="55"/>
      <c r="L1075" s="55"/>
    </row>
    <row r="1076" spans="1:12" ht="13.2">
      <c r="A1076" s="55"/>
      <c r="B1076" s="55" t="str">
        <f t="shared" si="4"/>
        <v/>
      </c>
      <c r="C1076" s="31"/>
      <c r="D1076" s="62"/>
      <c r="E1076" s="55"/>
      <c r="J1076" s="58"/>
      <c r="K1076" s="55"/>
      <c r="L1076" s="55"/>
    </row>
    <row r="1077" spans="1:12" ht="13.2">
      <c r="A1077" s="55"/>
      <c r="B1077" s="55" t="str">
        <f t="shared" si="4"/>
        <v/>
      </c>
      <c r="C1077" s="31"/>
      <c r="D1077" s="62"/>
      <c r="E1077" s="55"/>
      <c r="J1077" s="58"/>
      <c r="K1077" s="55"/>
      <c r="L1077" s="55"/>
    </row>
    <row r="1078" spans="1:12" ht="13.2">
      <c r="A1078" s="55"/>
      <c r="B1078" s="55" t="str">
        <f t="shared" si="4"/>
        <v/>
      </c>
      <c r="C1078" s="31"/>
      <c r="D1078" s="62"/>
      <c r="E1078" s="55"/>
      <c r="J1078" s="58"/>
      <c r="K1078" s="55"/>
      <c r="L1078" s="55"/>
    </row>
    <row r="1079" spans="1:12" ht="13.2">
      <c r="A1079" s="55"/>
      <c r="B1079" s="55" t="str">
        <f t="shared" si="4"/>
        <v/>
      </c>
      <c r="C1079" s="31"/>
      <c r="D1079" s="62"/>
      <c r="E1079" s="55"/>
      <c r="J1079" s="58"/>
      <c r="K1079" s="55"/>
      <c r="L1079" s="55"/>
    </row>
    <row r="1080" spans="1:12" ht="13.2">
      <c r="A1080" s="55"/>
      <c r="B1080" s="55" t="str">
        <f t="shared" si="4"/>
        <v/>
      </c>
      <c r="C1080" s="31"/>
      <c r="D1080" s="62"/>
      <c r="E1080" s="55"/>
      <c r="J1080" s="58"/>
      <c r="K1080" s="55"/>
      <c r="L1080" s="55"/>
    </row>
    <row r="1081" spans="1:12" ht="13.2">
      <c r="A1081" s="55"/>
      <c r="B1081" s="55" t="str">
        <f t="shared" si="4"/>
        <v/>
      </c>
      <c r="C1081" s="31"/>
      <c r="D1081" s="62"/>
      <c r="E1081" s="55"/>
      <c r="J1081" s="58"/>
      <c r="K1081" s="55"/>
      <c r="L1081" s="55"/>
    </row>
    <row r="1082" spans="1:12" ht="13.2">
      <c r="A1082" s="55"/>
      <c r="B1082" s="55" t="str">
        <f t="shared" si="4"/>
        <v/>
      </c>
      <c r="C1082" s="31"/>
      <c r="D1082" s="62"/>
      <c r="E1082" s="55"/>
      <c r="J1082" s="58"/>
      <c r="K1082" s="55"/>
      <c r="L1082" s="55"/>
    </row>
    <row r="1083" spans="1:12" ht="13.2">
      <c r="A1083" s="55"/>
      <c r="B1083" s="55" t="str">
        <f t="shared" si="4"/>
        <v/>
      </c>
      <c r="C1083" s="31"/>
      <c r="D1083" s="62"/>
      <c r="E1083" s="55"/>
      <c r="J1083" s="58"/>
      <c r="K1083" s="55"/>
      <c r="L1083" s="55"/>
    </row>
    <row r="1084" spans="1:12" ht="13.2">
      <c r="A1084" s="55"/>
      <c r="B1084" s="55" t="str">
        <f t="shared" si="4"/>
        <v/>
      </c>
      <c r="C1084" s="31"/>
      <c r="D1084" s="62"/>
      <c r="E1084" s="55"/>
      <c r="J1084" s="58"/>
      <c r="K1084" s="55"/>
      <c r="L1084" s="55"/>
    </row>
    <row r="1085" spans="1:12" ht="13.2">
      <c r="A1085" s="55"/>
      <c r="B1085" s="55" t="str">
        <f t="shared" si="4"/>
        <v/>
      </c>
      <c r="C1085" s="31"/>
      <c r="D1085" s="62"/>
      <c r="E1085" s="55"/>
      <c r="J1085" s="58"/>
      <c r="K1085" s="55"/>
      <c r="L1085" s="55"/>
    </row>
    <row r="1086" spans="1:12" ht="13.2">
      <c r="A1086" s="55"/>
      <c r="B1086" s="55" t="str">
        <f t="shared" si="4"/>
        <v/>
      </c>
      <c r="C1086" s="31"/>
      <c r="D1086" s="62"/>
      <c r="E1086" s="55"/>
      <c r="J1086" s="58"/>
      <c r="K1086" s="55"/>
      <c r="L1086" s="55"/>
    </row>
    <row r="1087" spans="1:12" ht="13.2">
      <c r="A1087" s="55"/>
      <c r="B1087" s="55" t="str">
        <f t="shared" si="4"/>
        <v/>
      </c>
      <c r="C1087" s="31"/>
      <c r="D1087" s="62"/>
      <c r="E1087" s="55"/>
      <c r="J1087" s="58"/>
      <c r="K1087" s="55"/>
      <c r="L1087" s="55"/>
    </row>
    <row r="1088" spans="1:12" ht="13.2">
      <c r="A1088" s="55"/>
      <c r="B1088" s="55" t="str">
        <f t="shared" si="4"/>
        <v/>
      </c>
      <c r="C1088" s="31"/>
      <c r="D1088" s="62"/>
      <c r="E1088" s="55"/>
      <c r="J1088" s="58"/>
      <c r="K1088" s="55"/>
      <c r="L1088" s="55"/>
    </row>
    <row r="1089" spans="1:12" ht="13.2">
      <c r="A1089" s="55"/>
      <c r="B1089" s="55" t="str">
        <f t="shared" si="4"/>
        <v/>
      </c>
      <c r="C1089" s="31"/>
      <c r="D1089" s="62"/>
      <c r="E1089" s="55"/>
      <c r="J1089" s="58"/>
      <c r="K1089" s="55"/>
      <c r="L1089" s="55"/>
    </row>
    <row r="1090" spans="1:12" ht="13.2">
      <c r="A1090" s="55"/>
      <c r="B1090" s="55" t="str">
        <f t="shared" si="4"/>
        <v/>
      </c>
      <c r="C1090" s="31"/>
      <c r="D1090" s="62"/>
      <c r="E1090" s="55"/>
      <c r="J1090" s="58"/>
      <c r="K1090" s="55"/>
      <c r="L1090" s="55"/>
    </row>
    <row r="1091" spans="1:12" ht="13.2">
      <c r="A1091" s="55"/>
      <c r="B1091" s="55" t="str">
        <f t="shared" si="4"/>
        <v/>
      </c>
      <c r="C1091" s="31"/>
      <c r="D1091" s="62"/>
      <c r="E1091" s="55"/>
      <c r="J1091" s="58"/>
      <c r="K1091" s="55"/>
      <c r="L1091" s="55"/>
    </row>
    <row r="1092" spans="1:12" ht="13.2">
      <c r="A1092" s="55"/>
      <c r="B1092" s="55" t="str">
        <f t="shared" si="4"/>
        <v/>
      </c>
      <c r="C1092" s="31"/>
      <c r="D1092" s="62"/>
      <c r="E1092" s="55"/>
      <c r="J1092" s="58"/>
      <c r="K1092" s="55"/>
      <c r="L1092" s="55"/>
    </row>
    <row r="1093" spans="1:12" ht="13.2">
      <c r="A1093" s="55"/>
      <c r="B1093" s="55" t="str">
        <f t="shared" si="4"/>
        <v/>
      </c>
      <c r="C1093" s="31"/>
      <c r="D1093" s="62"/>
      <c r="E1093" s="55"/>
      <c r="J1093" s="58"/>
      <c r="K1093" s="55"/>
      <c r="L1093" s="55"/>
    </row>
    <row r="1094" spans="1:12" ht="13.2">
      <c r="A1094" s="55"/>
      <c r="B1094" s="55" t="str">
        <f t="shared" si="4"/>
        <v/>
      </c>
      <c r="C1094" s="31"/>
      <c r="D1094" s="62"/>
      <c r="E1094" s="55"/>
      <c r="J1094" s="58"/>
      <c r="K1094" s="55"/>
      <c r="L1094" s="55"/>
    </row>
    <row r="1095" spans="1:12" ht="13.2">
      <c r="A1095" s="55"/>
      <c r="B1095" s="55" t="str">
        <f t="shared" si="4"/>
        <v/>
      </c>
      <c r="C1095" s="31"/>
      <c r="D1095" s="62"/>
      <c r="E1095" s="55"/>
      <c r="J1095" s="58"/>
      <c r="K1095" s="55"/>
      <c r="L1095" s="55"/>
    </row>
    <row r="1096" spans="1:12" ht="13.2">
      <c r="A1096" s="55"/>
      <c r="B1096" s="55" t="str">
        <f t="shared" si="4"/>
        <v/>
      </c>
      <c r="C1096" s="31"/>
      <c r="D1096" s="62"/>
      <c r="E1096" s="55"/>
      <c r="J1096" s="58"/>
      <c r="K1096" s="55"/>
      <c r="L1096" s="55"/>
    </row>
    <row r="1097" spans="1:12" ht="13.2">
      <c r="A1097" s="55"/>
      <c r="B1097" s="55" t="str">
        <f t="shared" si="4"/>
        <v/>
      </c>
      <c r="C1097" s="31"/>
      <c r="D1097" s="62"/>
      <c r="E1097" s="55"/>
      <c r="J1097" s="58"/>
      <c r="K1097" s="55"/>
      <c r="L1097" s="55"/>
    </row>
    <row r="1098" spans="1:12" ht="13.2">
      <c r="A1098" s="55"/>
      <c r="B1098" s="55" t="str">
        <f t="shared" si="4"/>
        <v/>
      </c>
      <c r="C1098" s="31"/>
      <c r="D1098" s="62"/>
      <c r="E1098" s="55"/>
      <c r="J1098" s="58"/>
      <c r="K1098" s="55"/>
      <c r="L1098" s="55"/>
    </row>
    <row r="1099" spans="1:12" ht="13.2">
      <c r="A1099" s="55"/>
      <c r="B1099" s="55" t="str">
        <f t="shared" si="4"/>
        <v/>
      </c>
      <c r="C1099" s="31"/>
      <c r="D1099" s="62"/>
      <c r="E1099" s="55"/>
      <c r="J1099" s="58"/>
      <c r="K1099" s="55"/>
      <c r="L1099" s="55"/>
    </row>
    <row r="1100" spans="1:12" ht="13.2">
      <c r="A1100" s="55"/>
      <c r="B1100" s="55" t="str">
        <f t="shared" si="4"/>
        <v/>
      </c>
      <c r="C1100" s="31"/>
      <c r="D1100" s="62"/>
      <c r="E1100" s="55"/>
      <c r="J1100" s="58"/>
      <c r="K1100" s="55"/>
      <c r="L1100" s="55"/>
    </row>
    <row r="1101" spans="1:12" ht="13.2">
      <c r="A1101" s="55"/>
      <c r="B1101" s="55" t="str">
        <f t="shared" si="4"/>
        <v/>
      </c>
      <c r="C1101" s="31"/>
      <c r="D1101" s="62"/>
      <c r="E1101" s="55"/>
      <c r="J1101" s="58"/>
      <c r="K1101" s="55"/>
      <c r="L1101" s="55"/>
    </row>
    <row r="1102" spans="1:12" ht="13.2">
      <c r="A1102" s="55"/>
      <c r="B1102" s="55" t="str">
        <f t="shared" si="4"/>
        <v/>
      </c>
      <c r="C1102" s="31"/>
      <c r="D1102" s="62"/>
      <c r="E1102" s="55"/>
      <c r="J1102" s="58"/>
      <c r="K1102" s="55"/>
      <c r="L1102" s="55"/>
    </row>
    <row r="1103" spans="1:12" ht="13.2">
      <c r="A1103" s="55"/>
      <c r="B1103" s="55" t="str">
        <f t="shared" si="4"/>
        <v/>
      </c>
      <c r="C1103" s="31"/>
      <c r="D1103" s="62"/>
      <c r="E1103" s="55"/>
      <c r="J1103" s="58"/>
      <c r="K1103" s="55"/>
      <c r="L1103" s="55"/>
    </row>
    <row r="1104" spans="1:12" ht="13.2">
      <c r="A1104" s="55"/>
      <c r="B1104" s="55" t="str">
        <f t="shared" si="4"/>
        <v/>
      </c>
      <c r="C1104" s="31"/>
      <c r="D1104" s="62"/>
      <c r="E1104" s="55"/>
      <c r="J1104" s="58"/>
      <c r="K1104" s="55"/>
      <c r="L1104" s="55"/>
    </row>
    <row r="1105" spans="1:12" ht="13.2">
      <c r="A1105" s="55"/>
      <c r="B1105" s="55" t="str">
        <f t="shared" si="4"/>
        <v/>
      </c>
      <c r="C1105" s="31"/>
      <c r="D1105" s="62"/>
      <c r="E1105" s="55"/>
      <c r="J1105" s="58"/>
      <c r="K1105" s="55"/>
      <c r="L1105" s="55"/>
    </row>
    <row r="1106" spans="1:12" ht="13.2">
      <c r="A1106" s="55"/>
      <c r="B1106" s="55" t="str">
        <f t="shared" si="4"/>
        <v/>
      </c>
      <c r="C1106" s="31"/>
      <c r="D1106" s="62"/>
      <c r="E1106" s="55"/>
      <c r="J1106" s="58"/>
      <c r="K1106" s="55"/>
      <c r="L1106" s="55"/>
    </row>
    <row r="1107" spans="1:12" ht="13.2">
      <c r="A1107" s="55"/>
      <c r="B1107" s="55" t="str">
        <f t="shared" si="4"/>
        <v/>
      </c>
      <c r="C1107" s="31"/>
      <c r="D1107" s="62"/>
      <c r="E1107" s="55"/>
      <c r="J1107" s="58"/>
      <c r="K1107" s="55"/>
      <c r="L1107" s="55"/>
    </row>
    <row r="1108" spans="1:12" ht="13.2">
      <c r="A1108" s="55"/>
      <c r="B1108" s="55" t="str">
        <f t="shared" si="4"/>
        <v/>
      </c>
      <c r="C1108" s="31"/>
      <c r="D1108" s="62"/>
      <c r="E1108" s="55"/>
      <c r="J1108" s="58"/>
      <c r="K1108" s="55"/>
      <c r="L1108" s="55"/>
    </row>
    <row r="1109" spans="1:12" ht="13.2">
      <c r="A1109" s="55"/>
      <c r="B1109" s="55" t="str">
        <f t="shared" si="4"/>
        <v/>
      </c>
      <c r="C1109" s="31"/>
      <c r="D1109" s="62"/>
      <c r="E1109" s="55"/>
      <c r="J1109" s="58"/>
      <c r="K1109" s="55"/>
      <c r="L1109" s="55"/>
    </row>
    <row r="1110" spans="1:12" ht="13.2">
      <c r="A1110" s="55"/>
      <c r="B1110" s="55" t="str">
        <f t="shared" si="4"/>
        <v/>
      </c>
      <c r="C1110" s="31"/>
      <c r="D1110" s="62"/>
      <c r="E1110" s="55"/>
      <c r="J1110" s="58"/>
      <c r="K1110" s="55"/>
      <c r="L1110" s="55"/>
    </row>
    <row r="1111" spans="1:12" ht="13.2">
      <c r="A1111" s="55"/>
      <c r="B1111" s="55" t="str">
        <f t="shared" si="4"/>
        <v/>
      </c>
      <c r="C1111" s="31"/>
      <c r="D1111" s="62"/>
      <c r="E1111" s="55"/>
      <c r="J1111" s="58"/>
      <c r="K1111" s="55"/>
      <c r="L1111" s="55"/>
    </row>
    <row r="1112" spans="1:12" ht="13.2">
      <c r="A1112" s="55"/>
      <c r="B1112" s="55" t="str">
        <f t="shared" si="4"/>
        <v/>
      </c>
      <c r="C1112" s="31"/>
      <c r="D1112" s="62"/>
      <c r="E1112" s="55"/>
      <c r="J1112" s="58"/>
      <c r="K1112" s="55"/>
      <c r="L1112" s="55"/>
    </row>
    <row r="1113" spans="1:12" ht="13.2">
      <c r="A1113" s="55"/>
      <c r="B1113" s="55" t="str">
        <f t="shared" si="4"/>
        <v/>
      </c>
      <c r="C1113" s="31"/>
      <c r="D1113" s="62"/>
      <c r="E1113" s="55"/>
      <c r="J1113" s="58"/>
      <c r="K1113" s="55"/>
      <c r="L1113" s="55"/>
    </row>
    <row r="1114" spans="1:12" ht="13.2">
      <c r="A1114" s="55"/>
      <c r="B1114" s="55" t="str">
        <f t="shared" si="4"/>
        <v/>
      </c>
      <c r="C1114" s="31"/>
      <c r="D1114" s="62"/>
      <c r="E1114" s="55"/>
      <c r="J1114" s="58"/>
      <c r="K1114" s="55"/>
      <c r="L1114" s="55"/>
    </row>
    <row r="1115" spans="1:12" ht="13.2">
      <c r="A1115" s="55"/>
      <c r="B1115" s="55" t="str">
        <f t="shared" si="4"/>
        <v/>
      </c>
      <c r="C1115" s="31"/>
      <c r="D1115" s="62"/>
      <c r="E1115" s="55"/>
      <c r="J1115" s="58"/>
      <c r="K1115" s="55"/>
      <c r="L1115" s="55"/>
    </row>
    <row r="1116" spans="1:12" ht="13.2">
      <c r="A1116" s="55"/>
      <c r="B1116" s="55" t="str">
        <f t="shared" si="4"/>
        <v/>
      </c>
      <c r="C1116" s="31"/>
      <c r="D1116" s="62"/>
      <c r="E1116" s="55"/>
      <c r="J1116" s="58"/>
      <c r="K1116" s="55"/>
      <c r="L1116" s="55"/>
    </row>
    <row r="1117" spans="1:12" ht="13.2">
      <c r="A1117" s="55"/>
      <c r="B1117" s="55" t="str">
        <f t="shared" si="4"/>
        <v/>
      </c>
      <c r="C1117" s="31"/>
      <c r="D1117" s="62"/>
      <c r="E1117" s="55"/>
      <c r="J1117" s="58"/>
      <c r="K1117" s="55"/>
      <c r="L1117" s="55"/>
    </row>
    <row r="1118" spans="1:12" ht="13.2">
      <c r="A1118" s="55"/>
      <c r="B1118" s="55" t="str">
        <f t="shared" si="4"/>
        <v/>
      </c>
      <c r="C1118" s="31"/>
      <c r="D1118" s="62"/>
      <c r="E1118" s="55"/>
      <c r="J1118" s="58"/>
      <c r="K1118" s="55"/>
      <c r="L1118" s="55"/>
    </row>
    <row r="1119" spans="1:12" ht="13.2">
      <c r="A1119" s="55"/>
      <c r="B1119" s="55" t="str">
        <f t="shared" si="4"/>
        <v/>
      </c>
      <c r="C1119" s="31"/>
      <c r="D1119" s="62"/>
      <c r="E1119" s="55"/>
      <c r="J1119" s="58"/>
      <c r="K1119" s="55"/>
      <c r="L1119" s="55"/>
    </row>
    <row r="1120" spans="1:12" ht="13.2">
      <c r="A1120" s="55"/>
      <c r="B1120" s="55" t="str">
        <f t="shared" si="4"/>
        <v/>
      </c>
      <c r="C1120" s="31"/>
      <c r="D1120" s="62"/>
      <c r="E1120" s="55"/>
      <c r="J1120" s="58"/>
      <c r="K1120" s="55"/>
      <c r="L1120" s="55"/>
    </row>
    <row r="1121" spans="1:12" ht="13.2">
      <c r="A1121" s="55"/>
      <c r="B1121" s="55" t="str">
        <f t="shared" si="4"/>
        <v/>
      </c>
      <c r="C1121" s="31"/>
      <c r="D1121" s="62"/>
      <c r="E1121" s="55"/>
      <c r="J1121" s="58"/>
      <c r="K1121" s="55"/>
      <c r="L1121" s="55"/>
    </row>
    <row r="1122" spans="1:12" ht="13.2">
      <c r="A1122" s="55"/>
      <c r="B1122" s="55" t="str">
        <f t="shared" si="4"/>
        <v/>
      </c>
      <c r="C1122" s="31"/>
      <c r="D1122" s="62"/>
      <c r="E1122" s="55"/>
      <c r="J1122" s="58"/>
      <c r="K1122" s="55"/>
      <c r="L1122" s="55"/>
    </row>
    <row r="1123" spans="1:12" ht="13.2">
      <c r="A1123" s="55"/>
      <c r="B1123" s="55" t="str">
        <f t="shared" si="4"/>
        <v/>
      </c>
      <c r="C1123" s="31"/>
      <c r="D1123" s="62"/>
      <c r="E1123" s="55"/>
      <c r="J1123" s="58"/>
      <c r="K1123" s="55"/>
      <c r="L1123" s="55"/>
    </row>
    <row r="1124" spans="1:12" ht="13.2">
      <c r="A1124" s="55"/>
      <c r="B1124" s="55" t="str">
        <f t="shared" si="4"/>
        <v/>
      </c>
      <c r="C1124" s="31"/>
      <c r="D1124" s="62"/>
      <c r="E1124" s="55"/>
      <c r="J1124" s="58"/>
      <c r="K1124" s="55"/>
      <c r="L1124" s="55"/>
    </row>
    <row r="1125" spans="1:12" ht="13.2">
      <c r="A1125" s="55"/>
      <c r="B1125" s="55" t="str">
        <f t="shared" si="4"/>
        <v/>
      </c>
      <c r="C1125" s="31"/>
      <c r="D1125" s="62"/>
      <c r="E1125" s="55"/>
      <c r="J1125" s="58"/>
      <c r="K1125" s="55"/>
      <c r="L1125" s="55"/>
    </row>
    <row r="1126" spans="1:12" ht="13.2">
      <c r="A1126" s="55"/>
      <c r="B1126" s="55" t="str">
        <f t="shared" si="4"/>
        <v/>
      </c>
      <c r="C1126" s="31"/>
      <c r="D1126" s="62"/>
      <c r="E1126" s="55"/>
      <c r="J1126" s="58"/>
      <c r="K1126" s="55"/>
      <c r="L1126" s="55"/>
    </row>
    <row r="1127" spans="1:12" ht="13.2">
      <c r="A1127" s="55"/>
      <c r="B1127" s="55" t="str">
        <f t="shared" si="4"/>
        <v/>
      </c>
      <c r="C1127" s="31"/>
      <c r="D1127" s="62"/>
      <c r="E1127" s="55"/>
      <c r="J1127" s="58"/>
      <c r="K1127" s="55"/>
      <c r="L1127" s="55"/>
    </row>
    <row r="1128" spans="1:12" ht="13.2">
      <c r="A1128" s="55"/>
      <c r="B1128" s="55" t="str">
        <f t="shared" si="4"/>
        <v/>
      </c>
      <c r="C1128" s="31"/>
      <c r="D1128" s="62"/>
      <c r="E1128" s="55"/>
      <c r="J1128" s="58"/>
      <c r="K1128" s="55"/>
      <c r="L1128" s="55"/>
    </row>
    <row r="1129" spans="1:12" ht="13.2">
      <c r="A1129" s="55"/>
      <c r="B1129" s="55" t="str">
        <f t="shared" si="4"/>
        <v/>
      </c>
      <c r="C1129" s="31"/>
      <c r="D1129" s="62"/>
      <c r="E1129" s="55"/>
      <c r="J1129" s="58"/>
      <c r="K1129" s="55"/>
      <c r="L1129" s="55"/>
    </row>
    <row r="1130" spans="1:12" ht="13.2">
      <c r="A1130" s="55"/>
      <c r="B1130" s="55" t="str">
        <f t="shared" si="4"/>
        <v/>
      </c>
      <c r="C1130" s="31"/>
      <c r="D1130" s="62"/>
      <c r="E1130" s="55"/>
      <c r="J1130" s="58"/>
      <c r="K1130" s="55"/>
      <c r="L1130" s="55"/>
    </row>
    <row r="1131" spans="1:12" ht="13.2">
      <c r="A1131" s="55"/>
      <c r="B1131" s="55" t="str">
        <f t="shared" si="4"/>
        <v/>
      </c>
      <c r="C1131" s="31"/>
      <c r="D1131" s="62"/>
      <c r="E1131" s="55"/>
      <c r="J1131" s="58"/>
      <c r="K1131" s="55"/>
      <c r="L1131" s="55"/>
    </row>
    <row r="1132" spans="1:12" ht="13.2">
      <c r="A1132" s="55"/>
      <c r="B1132" s="55" t="str">
        <f t="shared" si="4"/>
        <v/>
      </c>
      <c r="C1132" s="31"/>
      <c r="D1132" s="62"/>
      <c r="E1132" s="55"/>
      <c r="J1132" s="58"/>
      <c r="K1132" s="55"/>
      <c r="L1132" s="55"/>
    </row>
    <row r="1133" spans="1:12" ht="13.2">
      <c r="A1133" s="55"/>
      <c r="B1133" s="55" t="str">
        <f t="shared" si="4"/>
        <v/>
      </c>
      <c r="C1133" s="31"/>
      <c r="D1133" s="62"/>
      <c r="E1133" s="55"/>
      <c r="J1133" s="58"/>
      <c r="K1133" s="55"/>
      <c r="L1133" s="55"/>
    </row>
    <row r="1134" spans="1:12" ht="13.2">
      <c r="A1134" s="55"/>
      <c r="B1134" s="55" t="str">
        <f t="shared" si="4"/>
        <v/>
      </c>
      <c r="C1134" s="31"/>
      <c r="D1134" s="62"/>
      <c r="E1134" s="55"/>
      <c r="J1134" s="58"/>
      <c r="K1134" s="55"/>
      <c r="L1134" s="55"/>
    </row>
    <row r="1135" spans="1:12" ht="13.2">
      <c r="A1135" s="55"/>
      <c r="B1135" s="55" t="str">
        <f t="shared" si="4"/>
        <v/>
      </c>
      <c r="C1135" s="31"/>
      <c r="D1135" s="62"/>
      <c r="E1135" s="55"/>
      <c r="J1135" s="58"/>
      <c r="K1135" s="55"/>
      <c r="L1135" s="55"/>
    </row>
    <row r="1136" spans="1:12" ht="13.2">
      <c r="A1136" s="55"/>
      <c r="B1136" s="55" t="str">
        <f t="shared" si="4"/>
        <v/>
      </c>
      <c r="C1136" s="31"/>
      <c r="D1136" s="62"/>
      <c r="E1136" s="55"/>
      <c r="J1136" s="58"/>
      <c r="K1136" s="55"/>
      <c r="L1136" s="55"/>
    </row>
    <row r="1137" spans="1:12" ht="13.2">
      <c r="A1137" s="55"/>
      <c r="B1137" s="55" t="str">
        <f t="shared" si="4"/>
        <v/>
      </c>
      <c r="C1137" s="31"/>
      <c r="D1137" s="62"/>
      <c r="E1137" s="55"/>
      <c r="J1137" s="58"/>
      <c r="K1137" s="55"/>
      <c r="L1137" s="55"/>
    </row>
    <row r="1138" spans="1:12" ht="13.2">
      <c r="A1138" s="55"/>
      <c r="B1138" s="55" t="str">
        <f t="shared" si="4"/>
        <v/>
      </c>
      <c r="C1138" s="31"/>
      <c r="D1138" s="62"/>
      <c r="E1138" s="55"/>
      <c r="J1138" s="58"/>
      <c r="K1138" s="55"/>
      <c r="L1138" s="55"/>
    </row>
    <row r="1139" spans="1:12" ht="13.2">
      <c r="A1139" s="55"/>
      <c r="B1139" s="55" t="str">
        <f t="shared" si="4"/>
        <v/>
      </c>
      <c r="C1139" s="31"/>
      <c r="D1139" s="62"/>
      <c r="E1139" s="55"/>
      <c r="J1139" s="58"/>
      <c r="K1139" s="55"/>
      <c r="L1139" s="55"/>
    </row>
    <row r="1140" spans="1:12" ht="13.2">
      <c r="A1140" s="55"/>
      <c r="B1140" s="55" t="str">
        <f t="shared" si="4"/>
        <v/>
      </c>
      <c r="C1140" s="31"/>
      <c r="D1140" s="62"/>
      <c r="E1140" s="55"/>
      <c r="J1140" s="58"/>
      <c r="K1140" s="55"/>
      <c r="L1140" s="55"/>
    </row>
    <row r="1141" spans="1:12" ht="13.2">
      <c r="A1141" s="55"/>
      <c r="B1141" s="55" t="str">
        <f t="shared" si="4"/>
        <v/>
      </c>
      <c r="C1141" s="31"/>
      <c r="D1141" s="62"/>
      <c r="E1141" s="55"/>
      <c r="J1141" s="58"/>
      <c r="K1141" s="55"/>
      <c r="L1141" s="55"/>
    </row>
    <row r="1142" spans="1:12" ht="13.2">
      <c r="A1142" s="55"/>
      <c r="B1142" s="55" t="str">
        <f t="shared" si="4"/>
        <v/>
      </c>
      <c r="C1142" s="31"/>
      <c r="D1142" s="62"/>
      <c r="E1142" s="55"/>
      <c r="J1142" s="58"/>
      <c r="K1142" s="55"/>
      <c r="L1142" s="55"/>
    </row>
    <row r="1143" spans="1:12" ht="13.2">
      <c r="A1143" s="55"/>
      <c r="B1143" s="55" t="str">
        <f t="shared" si="4"/>
        <v/>
      </c>
      <c r="C1143" s="31"/>
      <c r="D1143" s="62"/>
      <c r="E1143" s="55"/>
      <c r="J1143" s="58"/>
      <c r="K1143" s="55"/>
      <c r="L1143" s="55"/>
    </row>
    <row r="1144" spans="1:12" ht="13.2">
      <c r="A1144" s="55"/>
      <c r="B1144" s="55" t="str">
        <f t="shared" si="4"/>
        <v/>
      </c>
      <c r="C1144" s="31"/>
      <c r="D1144" s="62"/>
      <c r="E1144" s="55"/>
      <c r="J1144" s="58"/>
      <c r="K1144" s="55"/>
      <c r="L1144" s="55"/>
    </row>
    <row r="1145" spans="1:12" ht="13.2">
      <c r="A1145" s="55"/>
      <c r="B1145" s="55" t="str">
        <f t="shared" si="4"/>
        <v/>
      </c>
      <c r="C1145" s="31"/>
      <c r="D1145" s="62"/>
      <c r="E1145" s="55"/>
      <c r="J1145" s="58"/>
      <c r="K1145" s="55"/>
      <c r="L1145" s="55"/>
    </row>
    <row r="1146" spans="1:12" ht="13.2">
      <c r="A1146" s="55"/>
      <c r="B1146" s="55" t="str">
        <f t="shared" si="4"/>
        <v/>
      </c>
      <c r="C1146" s="31"/>
      <c r="D1146" s="62"/>
      <c r="E1146" s="55"/>
      <c r="J1146" s="58"/>
      <c r="K1146" s="55"/>
      <c r="L1146" s="55"/>
    </row>
    <row r="1147" spans="1:12" ht="13.2">
      <c r="A1147" s="55"/>
      <c r="B1147" s="55" t="str">
        <f t="shared" si="4"/>
        <v/>
      </c>
      <c r="C1147" s="31"/>
      <c r="D1147" s="62"/>
      <c r="E1147" s="55"/>
      <c r="J1147" s="58"/>
      <c r="K1147" s="55"/>
      <c r="L1147" s="55"/>
    </row>
    <row r="1148" spans="1:12" ht="13.2">
      <c r="A1148" s="55"/>
      <c r="B1148" s="55" t="str">
        <f t="shared" si="4"/>
        <v/>
      </c>
      <c r="C1148" s="31"/>
      <c r="D1148" s="62"/>
      <c r="E1148" s="55"/>
      <c r="J1148" s="58"/>
      <c r="K1148" s="55"/>
      <c r="L1148" s="55"/>
    </row>
    <row r="1149" spans="1:12" ht="13.2">
      <c r="A1149" s="55"/>
      <c r="B1149" s="55" t="str">
        <f t="shared" si="4"/>
        <v/>
      </c>
      <c r="C1149" s="31"/>
      <c r="D1149" s="62"/>
      <c r="E1149" s="55"/>
      <c r="J1149" s="58"/>
      <c r="K1149" s="55"/>
      <c r="L1149" s="55"/>
    </row>
    <row r="1150" spans="1:12" ht="13.2">
      <c r="A1150" s="55"/>
      <c r="B1150" s="55" t="str">
        <f t="shared" si="4"/>
        <v/>
      </c>
      <c r="C1150" s="31"/>
      <c r="D1150" s="62"/>
      <c r="E1150" s="55"/>
      <c r="J1150" s="58"/>
      <c r="K1150" s="55"/>
      <c r="L1150" s="55"/>
    </row>
    <row r="1151" spans="1:12" ht="13.2">
      <c r="A1151" s="55"/>
      <c r="B1151" s="55" t="str">
        <f t="shared" si="4"/>
        <v/>
      </c>
      <c r="C1151" s="31"/>
      <c r="D1151" s="62"/>
      <c r="E1151" s="55"/>
      <c r="J1151" s="58"/>
      <c r="K1151" s="55"/>
      <c r="L1151" s="55"/>
    </row>
    <row r="1152" spans="1:12" ht="13.2">
      <c r="A1152" s="55"/>
      <c r="B1152" s="55" t="str">
        <f t="shared" si="4"/>
        <v/>
      </c>
      <c r="C1152" s="31"/>
      <c r="D1152" s="62"/>
      <c r="E1152" s="55"/>
      <c r="J1152" s="58"/>
      <c r="K1152" s="55"/>
      <c r="L1152" s="55"/>
    </row>
    <row r="1153" spans="1:12" ht="13.2">
      <c r="A1153" s="55"/>
      <c r="B1153" s="55" t="str">
        <f t="shared" si="4"/>
        <v/>
      </c>
      <c r="C1153" s="31"/>
      <c r="D1153" s="62"/>
      <c r="E1153" s="55"/>
      <c r="J1153" s="58"/>
      <c r="K1153" s="55"/>
      <c r="L1153" s="55"/>
    </row>
    <row r="1154" spans="1:12" ht="13.2">
      <c r="A1154" s="55"/>
      <c r="B1154" s="55" t="str">
        <f t="shared" si="4"/>
        <v/>
      </c>
      <c r="C1154" s="31"/>
      <c r="D1154" s="62"/>
      <c r="E1154" s="55"/>
      <c r="J1154" s="58"/>
      <c r="K1154" s="55"/>
      <c r="L1154" s="55"/>
    </row>
    <row r="1155" spans="1:12" ht="13.2">
      <c r="A1155" s="55"/>
      <c r="B1155" s="55" t="str">
        <f t="shared" si="4"/>
        <v/>
      </c>
      <c r="C1155" s="31"/>
      <c r="D1155" s="62"/>
      <c r="E1155" s="55"/>
      <c r="J1155" s="58"/>
      <c r="K1155" s="55"/>
      <c r="L1155" s="55"/>
    </row>
    <row r="1156" spans="1:12" ht="13.2">
      <c r="A1156" s="55"/>
      <c r="B1156" s="55" t="str">
        <f t="shared" si="4"/>
        <v/>
      </c>
      <c r="C1156" s="31"/>
      <c r="D1156" s="62"/>
      <c r="E1156" s="55"/>
      <c r="J1156" s="58"/>
      <c r="K1156" s="55"/>
      <c r="L1156" s="55"/>
    </row>
    <row r="1157" spans="1:12" ht="13.2">
      <c r="A1157" s="55"/>
      <c r="B1157" s="55" t="str">
        <f t="shared" si="4"/>
        <v/>
      </c>
      <c r="C1157" s="31"/>
      <c r="D1157" s="62"/>
      <c r="E1157" s="55"/>
      <c r="J1157" s="58"/>
      <c r="K1157" s="55"/>
      <c r="L1157" s="55"/>
    </row>
    <row r="1158" spans="1:12" ht="13.2">
      <c r="A1158" s="55"/>
      <c r="B1158" s="55" t="str">
        <f t="shared" si="4"/>
        <v/>
      </c>
      <c r="C1158" s="31"/>
      <c r="D1158" s="62"/>
      <c r="E1158" s="55"/>
      <c r="J1158" s="58"/>
      <c r="K1158" s="55"/>
      <c r="L1158" s="55"/>
    </row>
    <row r="1159" spans="1:12" ht="13.2">
      <c r="A1159" s="55"/>
      <c r="B1159" s="55" t="str">
        <f t="shared" si="4"/>
        <v/>
      </c>
      <c r="C1159" s="31"/>
      <c r="D1159" s="62"/>
      <c r="E1159" s="55"/>
      <c r="J1159" s="58"/>
      <c r="K1159" s="55"/>
      <c r="L1159" s="55"/>
    </row>
    <row r="1160" spans="1:12" ht="13.2">
      <c r="A1160" s="55"/>
      <c r="B1160" s="55" t="str">
        <f t="shared" si="4"/>
        <v/>
      </c>
      <c r="C1160" s="31"/>
      <c r="D1160" s="62"/>
      <c r="E1160" s="55"/>
      <c r="J1160" s="58"/>
      <c r="K1160" s="55"/>
      <c r="L1160" s="55"/>
    </row>
    <row r="1161" spans="1:12" ht="13.2">
      <c r="A1161" s="55"/>
      <c r="B1161" s="55" t="str">
        <f t="shared" si="4"/>
        <v/>
      </c>
      <c r="C1161" s="31"/>
      <c r="D1161" s="62"/>
      <c r="E1161" s="55"/>
      <c r="J1161" s="58"/>
      <c r="K1161" s="55"/>
      <c r="L1161" s="55"/>
    </row>
    <row r="1162" spans="1:12" ht="13.2">
      <c r="A1162" s="55"/>
      <c r="B1162" s="55" t="str">
        <f t="shared" si="4"/>
        <v/>
      </c>
      <c r="C1162" s="31"/>
      <c r="D1162" s="62"/>
      <c r="E1162" s="55"/>
      <c r="J1162" s="58"/>
      <c r="K1162" s="55"/>
      <c r="L1162" s="55"/>
    </row>
    <row r="1163" spans="1:12" ht="13.2">
      <c r="A1163" s="55"/>
      <c r="B1163" s="55" t="str">
        <f t="shared" si="4"/>
        <v/>
      </c>
      <c r="C1163" s="31"/>
      <c r="D1163" s="62"/>
      <c r="E1163" s="55"/>
      <c r="J1163" s="58"/>
      <c r="K1163" s="55"/>
      <c r="L1163" s="55"/>
    </row>
    <row r="1164" spans="1:12" ht="13.2">
      <c r="A1164" s="55"/>
      <c r="B1164" s="55" t="str">
        <f t="shared" si="4"/>
        <v/>
      </c>
      <c r="C1164" s="31"/>
      <c r="D1164" s="62"/>
      <c r="E1164" s="55"/>
      <c r="J1164" s="58"/>
      <c r="K1164" s="55"/>
      <c r="L1164" s="55"/>
    </row>
    <row r="1165" spans="1:12" ht="13.2">
      <c r="A1165" s="55"/>
      <c r="B1165" s="55" t="str">
        <f t="shared" si="4"/>
        <v/>
      </c>
      <c r="C1165" s="31"/>
      <c r="D1165" s="62"/>
      <c r="E1165" s="55"/>
      <c r="J1165" s="58"/>
      <c r="K1165" s="55"/>
      <c r="L1165" s="55"/>
    </row>
    <row r="1166" spans="1:12" ht="13.2">
      <c r="A1166" s="55"/>
      <c r="B1166" s="55" t="str">
        <f t="shared" si="4"/>
        <v/>
      </c>
      <c r="C1166" s="31"/>
      <c r="D1166" s="62"/>
      <c r="E1166" s="55"/>
      <c r="J1166" s="58"/>
      <c r="K1166" s="55"/>
      <c r="L1166" s="55"/>
    </row>
    <row r="1167" spans="1:12" ht="13.2">
      <c r="A1167" s="55"/>
      <c r="B1167" s="55" t="str">
        <f t="shared" si="4"/>
        <v/>
      </c>
      <c r="C1167" s="31"/>
      <c r="D1167" s="62"/>
      <c r="E1167" s="55"/>
      <c r="J1167" s="58"/>
      <c r="K1167" s="55"/>
      <c r="L1167" s="55"/>
    </row>
    <row r="1168" spans="1:12" ht="13.2">
      <c r="A1168" s="55"/>
      <c r="B1168" s="55" t="str">
        <f t="shared" si="4"/>
        <v/>
      </c>
      <c r="C1168" s="31"/>
      <c r="D1168" s="62"/>
      <c r="E1168" s="55"/>
      <c r="J1168" s="58"/>
      <c r="K1168" s="55"/>
      <c r="L1168" s="55"/>
    </row>
    <row r="1169" spans="1:12" ht="13.2">
      <c r="A1169" s="55"/>
      <c r="B1169" s="55" t="str">
        <f t="shared" si="4"/>
        <v/>
      </c>
      <c r="C1169" s="31"/>
      <c r="D1169" s="62"/>
      <c r="E1169" s="55"/>
      <c r="J1169" s="58"/>
      <c r="K1169" s="55"/>
      <c r="L1169" s="55"/>
    </row>
    <row r="1170" spans="1:12" ht="13.2">
      <c r="A1170" s="55"/>
      <c r="B1170" s="55" t="str">
        <f t="shared" si="4"/>
        <v/>
      </c>
      <c r="C1170" s="31"/>
      <c r="D1170" s="62"/>
      <c r="E1170" s="55"/>
      <c r="J1170" s="58"/>
      <c r="K1170" s="55"/>
      <c r="L1170" s="55"/>
    </row>
    <row r="1171" spans="1:12" ht="13.2">
      <c r="A1171" s="55"/>
      <c r="B1171" s="55" t="str">
        <f t="shared" si="4"/>
        <v/>
      </c>
      <c r="C1171" s="31"/>
      <c r="D1171" s="62"/>
      <c r="E1171" s="55"/>
      <c r="J1171" s="58"/>
      <c r="K1171" s="55"/>
      <c r="L1171" s="55"/>
    </row>
    <row r="1172" spans="1:12" ht="13.2">
      <c r="A1172" s="55"/>
      <c r="B1172" s="55" t="str">
        <f t="shared" si="4"/>
        <v/>
      </c>
      <c r="C1172" s="31"/>
      <c r="D1172" s="62"/>
      <c r="E1172" s="55"/>
      <c r="J1172" s="58"/>
      <c r="K1172" s="55"/>
      <c r="L1172" s="55"/>
    </row>
    <row r="1173" spans="1:12" ht="13.2">
      <c r="A1173" s="55"/>
      <c r="B1173" s="55" t="str">
        <f t="shared" si="4"/>
        <v/>
      </c>
      <c r="C1173" s="31"/>
      <c r="D1173" s="62"/>
      <c r="E1173" s="55"/>
      <c r="J1173" s="58"/>
      <c r="K1173" s="55"/>
      <c r="L1173" s="55"/>
    </row>
    <row r="1174" spans="1:12" ht="13.2">
      <c r="A1174" s="55"/>
      <c r="B1174" s="55" t="str">
        <f t="shared" si="4"/>
        <v/>
      </c>
      <c r="C1174" s="31"/>
      <c r="D1174" s="62"/>
      <c r="E1174" s="55"/>
      <c r="J1174" s="58"/>
      <c r="K1174" s="55"/>
      <c r="L1174" s="55"/>
    </row>
    <row r="1175" spans="1:12" ht="13.2">
      <c r="A1175" s="55"/>
      <c r="B1175" s="55" t="str">
        <f t="shared" si="4"/>
        <v/>
      </c>
      <c r="C1175" s="31"/>
      <c r="D1175" s="62"/>
      <c r="E1175" s="55"/>
      <c r="J1175" s="58"/>
      <c r="K1175" s="55"/>
      <c r="L1175" s="55"/>
    </row>
    <row r="1176" spans="1:12" ht="13.2">
      <c r="A1176" s="55"/>
      <c r="B1176" s="55" t="str">
        <f t="shared" si="4"/>
        <v/>
      </c>
      <c r="C1176" s="31"/>
      <c r="D1176" s="62"/>
      <c r="E1176" s="55"/>
      <c r="J1176" s="58"/>
      <c r="K1176" s="55"/>
      <c r="L1176" s="55"/>
    </row>
    <row r="1177" spans="1:12" ht="13.2">
      <c r="A1177" s="55"/>
      <c r="B1177" s="55" t="str">
        <f t="shared" si="4"/>
        <v/>
      </c>
      <c r="C1177" s="31"/>
      <c r="D1177" s="62"/>
      <c r="E1177" s="55"/>
      <c r="J1177" s="58"/>
      <c r="K1177" s="55"/>
      <c r="L1177" s="55"/>
    </row>
    <row r="1178" spans="1:12" ht="13.2">
      <c r="A1178" s="55"/>
      <c r="B1178" s="55" t="str">
        <f t="shared" si="4"/>
        <v/>
      </c>
      <c r="C1178" s="31"/>
      <c r="D1178" s="62"/>
      <c r="E1178" s="55"/>
      <c r="J1178" s="58"/>
      <c r="K1178" s="55"/>
      <c r="L1178" s="55"/>
    </row>
    <row r="1179" spans="1:12" ht="13.2">
      <c r="A1179" s="55"/>
      <c r="B1179" s="55" t="str">
        <f t="shared" si="4"/>
        <v/>
      </c>
      <c r="C1179" s="31"/>
      <c r="D1179" s="62"/>
      <c r="E1179" s="55"/>
      <c r="J1179" s="58"/>
      <c r="K1179" s="55"/>
      <c r="L1179" s="55"/>
    </row>
    <row r="1180" spans="1:12" ht="13.2">
      <c r="A1180" s="55"/>
      <c r="B1180" s="55" t="str">
        <f t="shared" si="4"/>
        <v/>
      </c>
      <c r="C1180" s="31"/>
      <c r="D1180" s="62"/>
      <c r="E1180" s="55"/>
      <c r="J1180" s="58"/>
      <c r="K1180" s="55"/>
      <c r="L1180" s="55"/>
    </row>
    <row r="1181" spans="1:12" ht="13.2">
      <c r="A1181" s="55"/>
      <c r="B1181" s="55" t="str">
        <f t="shared" si="4"/>
        <v/>
      </c>
      <c r="C1181" s="31"/>
      <c r="D1181" s="62"/>
      <c r="E1181" s="55"/>
      <c r="J1181" s="58"/>
      <c r="K1181" s="55"/>
      <c r="L1181" s="55"/>
    </row>
    <row r="1182" spans="1:12" ht="13.2">
      <c r="A1182" s="55"/>
      <c r="B1182" s="55" t="str">
        <f t="shared" si="4"/>
        <v/>
      </c>
      <c r="C1182" s="31"/>
      <c r="D1182" s="62"/>
      <c r="E1182" s="55"/>
      <c r="J1182" s="58"/>
      <c r="K1182" s="55"/>
      <c r="L1182" s="55"/>
    </row>
    <row r="1183" spans="1:12" ht="13.2">
      <c r="A1183" s="55"/>
      <c r="B1183" s="55" t="str">
        <f t="shared" si="4"/>
        <v/>
      </c>
      <c r="C1183" s="31"/>
      <c r="D1183" s="62"/>
      <c r="E1183" s="55"/>
      <c r="J1183" s="58"/>
      <c r="K1183" s="55"/>
      <c r="L1183" s="55"/>
    </row>
    <row r="1184" spans="1:12" ht="13.2">
      <c r="A1184" s="55"/>
      <c r="B1184" s="55" t="str">
        <f t="shared" si="4"/>
        <v/>
      </c>
      <c r="C1184" s="31"/>
      <c r="D1184" s="62"/>
      <c r="E1184" s="55"/>
      <c r="J1184" s="58"/>
      <c r="K1184" s="55"/>
      <c r="L1184" s="55"/>
    </row>
    <row r="1185" spans="1:12" ht="13.2">
      <c r="A1185" s="55"/>
      <c r="B1185" s="55" t="str">
        <f t="shared" si="4"/>
        <v/>
      </c>
      <c r="C1185" s="31"/>
      <c r="D1185" s="62"/>
      <c r="E1185" s="55"/>
      <c r="J1185" s="58"/>
      <c r="K1185" s="55"/>
      <c r="L1185" s="55"/>
    </row>
    <row r="1186" spans="1:12" ht="13.2">
      <c r="A1186" s="55"/>
      <c r="B1186" s="55" t="str">
        <f t="shared" si="4"/>
        <v/>
      </c>
      <c r="C1186" s="31"/>
      <c r="D1186" s="62"/>
      <c r="E1186" s="55"/>
      <c r="J1186" s="58"/>
      <c r="K1186" s="55"/>
      <c r="L1186" s="55"/>
    </row>
    <row r="1187" spans="1:12" ht="13.2">
      <c r="A1187" s="55"/>
      <c r="B1187" s="55" t="str">
        <f t="shared" si="4"/>
        <v/>
      </c>
      <c r="C1187" s="31"/>
      <c r="D1187" s="62"/>
      <c r="E1187" s="55"/>
      <c r="J1187" s="58"/>
      <c r="K1187" s="55"/>
      <c r="L1187" s="55"/>
    </row>
    <row r="1188" spans="1:12" ht="13.2">
      <c r="A1188" s="55"/>
      <c r="B1188" s="55" t="str">
        <f t="shared" si="4"/>
        <v/>
      </c>
      <c r="C1188" s="31"/>
      <c r="D1188" s="62"/>
      <c r="E1188" s="55"/>
      <c r="J1188" s="58"/>
      <c r="K1188" s="55"/>
      <c r="L1188" s="55"/>
    </row>
    <row r="1189" spans="1:12" ht="13.2">
      <c r="A1189" s="55"/>
      <c r="B1189" s="55" t="str">
        <f t="shared" si="4"/>
        <v/>
      </c>
      <c r="C1189" s="31"/>
      <c r="D1189" s="62"/>
      <c r="E1189" s="55"/>
      <c r="J1189" s="58"/>
      <c r="K1189" s="55"/>
      <c r="L1189" s="55"/>
    </row>
    <row r="1190" spans="1:12" ht="13.2">
      <c r="A1190" s="55"/>
      <c r="B1190" s="55" t="str">
        <f t="shared" si="4"/>
        <v/>
      </c>
      <c r="C1190" s="31"/>
      <c r="D1190" s="62"/>
      <c r="E1190" s="55"/>
      <c r="J1190" s="58"/>
      <c r="K1190" s="55"/>
      <c r="L1190" s="55"/>
    </row>
    <row r="1191" spans="1:12" ht="13.2">
      <c r="A1191" s="55"/>
      <c r="B1191" s="55" t="str">
        <f t="shared" si="4"/>
        <v/>
      </c>
      <c r="C1191" s="31"/>
      <c r="D1191" s="62"/>
      <c r="E1191" s="55"/>
      <c r="J1191" s="58"/>
      <c r="K1191" s="55"/>
      <c r="L1191" s="55"/>
    </row>
    <row r="1192" spans="1:12" ht="13.2">
      <c r="A1192" s="55"/>
      <c r="B1192" s="55" t="str">
        <f t="shared" si="4"/>
        <v/>
      </c>
      <c r="C1192" s="31"/>
      <c r="D1192" s="62"/>
      <c r="E1192" s="55"/>
      <c r="J1192" s="58"/>
      <c r="K1192" s="55"/>
      <c r="L1192" s="55"/>
    </row>
    <row r="1193" spans="1:12" ht="13.2">
      <c r="A1193" s="55"/>
      <c r="B1193" s="55" t="str">
        <f t="shared" si="4"/>
        <v/>
      </c>
      <c r="C1193" s="31"/>
      <c r="D1193" s="62"/>
      <c r="E1193" s="55"/>
      <c r="J1193" s="58"/>
      <c r="K1193" s="55"/>
      <c r="L1193" s="55"/>
    </row>
    <row r="1194" spans="1:12" ht="13.2">
      <c r="A1194" s="55"/>
      <c r="B1194" s="55" t="str">
        <f t="shared" si="4"/>
        <v/>
      </c>
      <c r="C1194" s="31"/>
      <c r="D1194" s="62"/>
      <c r="E1194" s="55"/>
      <c r="J1194" s="58"/>
      <c r="K1194" s="55"/>
      <c r="L1194" s="55"/>
    </row>
    <row r="1195" spans="1:12" ht="13.2">
      <c r="A1195" s="55"/>
      <c r="B1195" s="55" t="str">
        <f t="shared" si="4"/>
        <v/>
      </c>
      <c r="C1195" s="31"/>
      <c r="D1195" s="62"/>
      <c r="E1195" s="55"/>
      <c r="J1195" s="58"/>
      <c r="K1195" s="55"/>
      <c r="L1195" s="55"/>
    </row>
    <row r="1196" spans="1:12" ht="13.2">
      <c r="A1196" s="55"/>
      <c r="B1196" s="55" t="str">
        <f t="shared" si="4"/>
        <v/>
      </c>
      <c r="C1196" s="31"/>
      <c r="D1196" s="62"/>
      <c r="E1196" s="55"/>
      <c r="J1196" s="58"/>
      <c r="K1196" s="55"/>
      <c r="L1196" s="55"/>
    </row>
    <row r="1197" spans="1:12" ht="13.2">
      <c r="A1197" s="55"/>
      <c r="B1197" s="55" t="str">
        <f t="shared" si="4"/>
        <v/>
      </c>
      <c r="C1197" s="31"/>
      <c r="D1197" s="62"/>
      <c r="E1197" s="55"/>
      <c r="J1197" s="58"/>
      <c r="K1197" s="55"/>
      <c r="L1197" s="55"/>
    </row>
    <row r="1198" spans="1:12" ht="13.2">
      <c r="A1198" s="55"/>
      <c r="B1198" s="55" t="str">
        <f t="shared" si="4"/>
        <v/>
      </c>
      <c r="C1198" s="31"/>
      <c r="D1198" s="62"/>
      <c r="E1198" s="55"/>
      <c r="J1198" s="58"/>
      <c r="K1198" s="55"/>
      <c r="L1198" s="55"/>
    </row>
    <row r="1199" spans="1:12" ht="13.2">
      <c r="A1199" s="55"/>
      <c r="B1199" s="55" t="str">
        <f t="shared" si="4"/>
        <v/>
      </c>
      <c r="C1199" s="31"/>
      <c r="D1199" s="62"/>
      <c r="E1199" s="55"/>
      <c r="J1199" s="58"/>
      <c r="K1199" s="55"/>
      <c r="L1199" s="55"/>
    </row>
    <row r="1200" spans="1:12" ht="13.2">
      <c r="A1200" s="55"/>
      <c r="B1200" s="55" t="str">
        <f t="shared" si="4"/>
        <v/>
      </c>
      <c r="C1200" s="31"/>
      <c r="D1200" s="62"/>
      <c r="E1200" s="55"/>
      <c r="J1200" s="58"/>
      <c r="K1200" s="55"/>
      <c r="L1200" s="55"/>
    </row>
    <row r="1201" spans="1:12" ht="13.2">
      <c r="A1201" s="55"/>
      <c r="B1201" s="55" t="str">
        <f t="shared" si="4"/>
        <v/>
      </c>
      <c r="C1201" s="31"/>
      <c r="D1201" s="62"/>
      <c r="E1201" s="55"/>
      <c r="J1201" s="58"/>
      <c r="K1201" s="55"/>
      <c r="L1201" s="55"/>
    </row>
    <row r="1202" spans="1:12" ht="13.2">
      <c r="A1202" s="55"/>
      <c r="B1202" s="55" t="str">
        <f t="shared" si="4"/>
        <v/>
      </c>
      <c r="C1202" s="31"/>
      <c r="D1202" s="62"/>
      <c r="E1202" s="55"/>
      <c r="J1202" s="58"/>
      <c r="K1202" s="55"/>
      <c r="L1202" s="55"/>
    </row>
    <row r="1203" spans="1:12" ht="13.2">
      <c r="A1203" s="55"/>
      <c r="B1203" s="55" t="str">
        <f t="shared" si="4"/>
        <v/>
      </c>
      <c r="C1203" s="31"/>
      <c r="D1203" s="62"/>
      <c r="E1203" s="55"/>
      <c r="J1203" s="58"/>
      <c r="K1203" s="55"/>
      <c r="L1203" s="55"/>
    </row>
    <row r="1204" spans="1:12" ht="13.2">
      <c r="A1204" s="55"/>
      <c r="B1204" s="55" t="str">
        <f t="shared" si="4"/>
        <v/>
      </c>
      <c r="C1204" s="31"/>
      <c r="D1204" s="62"/>
      <c r="E1204" s="55"/>
      <c r="J1204" s="58"/>
      <c r="K1204" s="55"/>
      <c r="L1204" s="55"/>
    </row>
    <row r="1205" spans="1:12" ht="13.2">
      <c r="A1205" s="55"/>
      <c r="B1205" s="55" t="str">
        <f t="shared" si="4"/>
        <v/>
      </c>
      <c r="C1205" s="31"/>
      <c r="D1205" s="62"/>
      <c r="E1205" s="55"/>
      <c r="J1205" s="58"/>
      <c r="K1205" s="55"/>
      <c r="L1205" s="55"/>
    </row>
    <row r="1206" spans="1:12" ht="13.2">
      <c r="A1206" s="55"/>
      <c r="B1206" s="55" t="str">
        <f t="shared" si="4"/>
        <v/>
      </c>
      <c r="C1206" s="31"/>
      <c r="D1206" s="62"/>
      <c r="E1206" s="55"/>
      <c r="J1206" s="58"/>
      <c r="K1206" s="55"/>
      <c r="L1206" s="55"/>
    </row>
    <row r="1207" spans="1:12" ht="13.2">
      <c r="A1207" s="55"/>
      <c r="B1207" s="55" t="str">
        <f t="shared" si="4"/>
        <v/>
      </c>
      <c r="C1207" s="31"/>
      <c r="D1207" s="62"/>
      <c r="E1207" s="55"/>
      <c r="J1207" s="58"/>
      <c r="K1207" s="55"/>
      <c r="L1207" s="55"/>
    </row>
    <row r="1208" spans="1:12" ht="13.2">
      <c r="A1208" s="55"/>
      <c r="B1208" s="55" t="str">
        <f t="shared" si="4"/>
        <v/>
      </c>
      <c r="C1208" s="31"/>
      <c r="D1208" s="62"/>
      <c r="E1208" s="55"/>
      <c r="J1208" s="58"/>
      <c r="K1208" s="55"/>
      <c r="L1208" s="55"/>
    </row>
    <row r="1209" spans="1:12" ht="13.2">
      <c r="A1209" s="55"/>
      <c r="B1209" s="55" t="str">
        <f t="shared" si="4"/>
        <v/>
      </c>
      <c r="C1209" s="31"/>
      <c r="D1209" s="62"/>
      <c r="E1209" s="55"/>
      <c r="J1209" s="58"/>
      <c r="K1209" s="55"/>
      <c r="L1209" s="55"/>
    </row>
    <row r="1210" spans="1:12" ht="13.2">
      <c r="A1210" s="55"/>
      <c r="B1210" s="55" t="str">
        <f t="shared" si="4"/>
        <v/>
      </c>
      <c r="C1210" s="31"/>
      <c r="D1210" s="62"/>
      <c r="E1210" s="55"/>
      <c r="J1210" s="58"/>
      <c r="K1210" s="55"/>
      <c r="L1210" s="55"/>
    </row>
    <row r="1211" spans="1:12" ht="13.2">
      <c r="A1211" s="55"/>
      <c r="B1211" s="55" t="str">
        <f t="shared" si="4"/>
        <v/>
      </c>
      <c r="C1211" s="31"/>
      <c r="D1211" s="62"/>
      <c r="E1211" s="55"/>
      <c r="J1211" s="58"/>
      <c r="K1211" s="55"/>
      <c r="L1211" s="55"/>
    </row>
    <row r="1212" spans="1:12" ht="13.2">
      <c r="A1212" s="55"/>
      <c r="B1212" s="55" t="str">
        <f t="shared" si="4"/>
        <v/>
      </c>
      <c r="C1212" s="31"/>
      <c r="D1212" s="62"/>
      <c r="E1212" s="55"/>
      <c r="J1212" s="58"/>
      <c r="K1212" s="55"/>
      <c r="L1212" s="55"/>
    </row>
    <row r="1213" spans="1:12" ht="13.2">
      <c r="A1213" s="55"/>
      <c r="B1213" s="55" t="str">
        <f t="shared" si="4"/>
        <v/>
      </c>
      <c r="C1213" s="31"/>
      <c r="D1213" s="62"/>
      <c r="E1213" s="55"/>
      <c r="J1213" s="58"/>
      <c r="K1213" s="55"/>
      <c r="L1213" s="55"/>
    </row>
    <row r="1214" spans="1:12" ht="13.2">
      <c r="A1214" s="55"/>
      <c r="B1214" s="55" t="str">
        <f t="shared" si="4"/>
        <v/>
      </c>
      <c r="C1214" s="31"/>
      <c r="D1214" s="62"/>
      <c r="E1214" s="55"/>
      <c r="J1214" s="58"/>
      <c r="K1214" s="55"/>
      <c r="L1214" s="55"/>
    </row>
    <row r="1215" spans="1:12" ht="13.2">
      <c r="A1215" s="55"/>
      <c r="B1215" s="55" t="str">
        <f t="shared" si="4"/>
        <v/>
      </c>
      <c r="C1215" s="31"/>
      <c r="D1215" s="62"/>
      <c r="E1215" s="55"/>
      <c r="J1215" s="58"/>
      <c r="K1215" s="55"/>
      <c r="L1215" s="55"/>
    </row>
    <row r="1216" spans="1:12" ht="13.2">
      <c r="A1216" s="55"/>
      <c r="B1216" s="55" t="str">
        <f t="shared" si="4"/>
        <v/>
      </c>
      <c r="C1216" s="31"/>
      <c r="D1216" s="62"/>
      <c r="E1216" s="55"/>
      <c r="J1216" s="58"/>
      <c r="K1216" s="55"/>
      <c r="L1216" s="55"/>
    </row>
    <row r="1217" spans="1:12" ht="13.2">
      <c r="A1217" s="55"/>
      <c r="B1217" s="55" t="str">
        <f t="shared" si="4"/>
        <v/>
      </c>
      <c r="C1217" s="31"/>
      <c r="D1217" s="62"/>
      <c r="E1217" s="55"/>
      <c r="J1217" s="58"/>
      <c r="K1217" s="55"/>
      <c r="L1217" s="55"/>
    </row>
    <row r="1218" spans="1:12" ht="13.2">
      <c r="A1218" s="55"/>
      <c r="B1218" s="55" t="str">
        <f t="shared" si="4"/>
        <v/>
      </c>
      <c r="C1218" s="31"/>
      <c r="D1218" s="62"/>
      <c r="E1218" s="55"/>
      <c r="J1218" s="58"/>
      <c r="K1218" s="55"/>
      <c r="L1218" s="55"/>
    </row>
    <row r="1219" spans="1:12" ht="13.2">
      <c r="A1219" s="55"/>
      <c r="B1219" s="55" t="str">
        <f t="shared" si="4"/>
        <v/>
      </c>
      <c r="C1219" s="31"/>
      <c r="D1219" s="62"/>
      <c r="E1219" s="55"/>
      <c r="J1219" s="58"/>
      <c r="K1219" s="55"/>
      <c r="L1219" s="55"/>
    </row>
    <row r="1220" spans="1:12" ht="13.2">
      <c r="A1220" s="55"/>
      <c r="B1220" s="55" t="str">
        <f t="shared" si="4"/>
        <v/>
      </c>
      <c r="C1220" s="31"/>
      <c r="D1220" s="62"/>
      <c r="E1220" s="55"/>
      <c r="J1220" s="58"/>
      <c r="K1220" s="55"/>
      <c r="L1220" s="55"/>
    </row>
    <row r="1221" spans="1:12" ht="13.2">
      <c r="A1221" s="55"/>
      <c r="B1221" s="55" t="str">
        <f t="shared" si="4"/>
        <v/>
      </c>
      <c r="C1221" s="31"/>
      <c r="D1221" s="62"/>
      <c r="E1221" s="55"/>
      <c r="J1221" s="58"/>
      <c r="K1221" s="55"/>
      <c r="L1221" s="55"/>
    </row>
    <row r="1222" spans="1:12" ht="13.2">
      <c r="A1222" s="55"/>
      <c r="B1222" s="55" t="str">
        <f t="shared" si="4"/>
        <v/>
      </c>
      <c r="C1222" s="31"/>
      <c r="D1222" s="62"/>
      <c r="E1222" s="55"/>
      <c r="J1222" s="58"/>
      <c r="K1222" s="55"/>
      <c r="L1222" s="55"/>
    </row>
    <row r="1223" spans="1:12" ht="13.2">
      <c r="A1223" s="55"/>
      <c r="B1223" s="55" t="str">
        <f t="shared" si="4"/>
        <v/>
      </c>
      <c r="C1223" s="31"/>
      <c r="D1223" s="62"/>
      <c r="E1223" s="55"/>
      <c r="J1223" s="58"/>
      <c r="K1223" s="55"/>
      <c r="L1223" s="55"/>
    </row>
    <row r="1224" spans="1:12" ht="13.2">
      <c r="A1224" s="55"/>
      <c r="B1224" s="55" t="str">
        <f t="shared" si="4"/>
        <v/>
      </c>
      <c r="C1224" s="31"/>
      <c r="D1224" s="62"/>
      <c r="E1224" s="55"/>
      <c r="J1224" s="58"/>
      <c r="K1224" s="55"/>
      <c r="L1224" s="55"/>
    </row>
  </sheetData>
  <autoFilter ref="C2:F1224" xr:uid="{00000000-0009-0000-0000-000002000000}"/>
  <conditionalFormatting sqref="D1:D1224">
    <cfRule type="expression" dxfId="2" priority="2">
      <formula>D1&lt;44926</formula>
    </cfRule>
  </conditionalFormatting>
  <conditionalFormatting sqref="E3:E1224">
    <cfRule type="containsText" dxfId="1" priority="1" operator="containsText" text="Não">
      <formula>NOT(ISERROR(SEARCH(("Não"),(E3))))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'Fluxo de Caixa'!$D$3:$N$3</xm:f>
          </x14:formula1>
          <xm:sqref>E3:E1224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008"/>
  <sheetViews>
    <sheetView tabSelected="1" workbookViewId="0">
      <selection activeCell="A12" sqref="A12"/>
    </sheetView>
  </sheetViews>
  <sheetFormatPr defaultColWidth="12.6640625" defaultRowHeight="15.75" customHeight="1"/>
  <cols>
    <col min="1" max="1" width="2.6640625" customWidth="1"/>
    <col min="3" max="3" width="37.21875" customWidth="1"/>
    <col min="4" max="4" width="15.6640625" customWidth="1"/>
    <col min="5" max="5" width="12.44140625" customWidth="1"/>
    <col min="6" max="6" width="7.77734375" customWidth="1"/>
    <col min="7" max="7" width="13.21875" customWidth="1"/>
    <col min="8" max="8" width="13.21875" hidden="1" customWidth="1"/>
    <col min="9" max="9" width="17.33203125" customWidth="1"/>
    <col min="10" max="10" width="13.21875" customWidth="1"/>
    <col min="11" max="11" width="27.6640625" customWidth="1"/>
    <col min="12" max="12" width="24.44140625" customWidth="1"/>
    <col min="13" max="13" width="23.21875" customWidth="1"/>
    <col min="14" max="14" width="28" customWidth="1"/>
    <col min="15" max="15" width="44.21875" customWidth="1"/>
    <col min="16" max="16" width="21.33203125" customWidth="1"/>
    <col min="17" max="17" width="23.109375" customWidth="1"/>
    <col min="18" max="18" width="10.77734375" customWidth="1"/>
    <col min="19" max="19" width="32.21875" customWidth="1"/>
    <col min="20" max="20" width="33.44140625" customWidth="1"/>
    <col min="21" max="21" width="13.21875" customWidth="1"/>
    <col min="22" max="22" width="13.44140625" customWidth="1"/>
    <col min="23" max="23" width="35.44140625" customWidth="1"/>
    <col min="24" max="24" width="46.6640625" customWidth="1"/>
  </cols>
  <sheetData>
    <row r="1" spans="1:39">
      <c r="C1" s="85"/>
      <c r="D1" s="62"/>
      <c r="E1" s="62"/>
      <c r="F1" s="55"/>
      <c r="G1" s="55"/>
      <c r="H1" s="55"/>
      <c r="I1" s="55"/>
      <c r="J1" s="55"/>
      <c r="K1" s="55"/>
      <c r="L1" s="55"/>
      <c r="M1" s="55"/>
      <c r="N1" s="55"/>
      <c r="U1" s="55"/>
      <c r="V1" s="86"/>
    </row>
    <row r="2" spans="1:39">
      <c r="A2" s="87"/>
      <c r="B2" s="88" t="s">
        <v>674</v>
      </c>
      <c r="C2" s="88" t="s">
        <v>675</v>
      </c>
      <c r="D2" s="88" t="s">
        <v>676</v>
      </c>
      <c r="E2" s="88" t="s">
        <v>677</v>
      </c>
      <c r="F2" s="88" t="s">
        <v>678</v>
      </c>
      <c r="G2" s="88" t="s">
        <v>679</v>
      </c>
      <c r="H2" s="88" t="s">
        <v>680</v>
      </c>
      <c r="I2" s="88" t="s">
        <v>681</v>
      </c>
      <c r="J2" s="88" t="s">
        <v>682</v>
      </c>
      <c r="K2" s="88" t="s">
        <v>683</v>
      </c>
      <c r="L2" s="88" t="s">
        <v>684</v>
      </c>
      <c r="M2" s="88" t="s">
        <v>685</v>
      </c>
      <c r="N2" s="88" t="s">
        <v>686</v>
      </c>
      <c r="O2" s="88" t="s">
        <v>687</v>
      </c>
      <c r="P2" s="88" t="s">
        <v>688</v>
      </c>
      <c r="Q2" s="88" t="s">
        <v>689</v>
      </c>
      <c r="R2" s="88" t="s">
        <v>690</v>
      </c>
      <c r="S2" s="88" t="s">
        <v>691</v>
      </c>
      <c r="T2" s="89" t="s">
        <v>692</v>
      </c>
      <c r="U2" s="89" t="s">
        <v>693</v>
      </c>
      <c r="V2" s="90" t="s">
        <v>694</v>
      </c>
      <c r="W2" s="89" t="s">
        <v>695</v>
      </c>
      <c r="X2" s="91" t="s">
        <v>696</v>
      </c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</row>
    <row r="3" spans="1:39">
      <c r="A3" s="63">
        <f t="shared" ref="A3:A32" si="0">IF(E3&lt;&gt;0, MONTH(E3),"")</f>
        <v>9</v>
      </c>
      <c r="B3" s="63" t="str">
        <f ca="1">IF(F3="","", IF(F3&lt;12,"Criança",IF(F3&lt;18,"Adolescente",IF(F3&lt;26,"Jovem",IF(F3&lt;60,"Adulto", "Idoso")))))</f>
        <v>Adolescente</v>
      </c>
      <c r="C3" s="85" t="s">
        <v>697</v>
      </c>
      <c r="D3" s="55" t="s">
        <v>698</v>
      </c>
      <c r="E3" s="62">
        <v>40443</v>
      </c>
      <c r="F3" s="55">
        <f t="shared" ref="F3:F11" ca="1" si="1">IF(E3&gt;0, DATEDIF(E3,TODAY(),"Y"),"")</f>
        <v>15</v>
      </c>
      <c r="G3" s="62">
        <v>44592</v>
      </c>
      <c r="H3" s="62">
        <f t="shared" ref="H3:H193" ca="1" si="2">IF(U3&gt;0,U3,TODAY())</f>
        <v>44755</v>
      </c>
      <c r="I3" s="92" t="str">
        <f t="shared" ref="I3:I193" ca="1" si="3">IF(G3&gt;0, ROUNDDOWN((H3-G3)/365,0)&amp; " Anos e "&amp; ROUNDDOWN(((H3-G3)-ROUNDDOWN((H3-G3)/365,0)*365)/30,0)&amp;" meses","")</f>
        <v>0 Anos e 5 meses</v>
      </c>
      <c r="J3" s="55" t="s">
        <v>699</v>
      </c>
      <c r="K3" s="55" t="s">
        <v>700</v>
      </c>
      <c r="L3" s="55" t="s">
        <v>701</v>
      </c>
      <c r="M3" s="55" t="s">
        <v>702</v>
      </c>
      <c r="N3" s="55" t="s">
        <v>703</v>
      </c>
      <c r="O3" s="63" t="s">
        <v>704</v>
      </c>
      <c r="P3" s="63" t="s">
        <v>705</v>
      </c>
      <c r="Q3" s="63" t="s">
        <v>706</v>
      </c>
      <c r="S3" s="63" t="s">
        <v>707</v>
      </c>
      <c r="T3" s="63" t="s">
        <v>708</v>
      </c>
      <c r="U3" s="62">
        <v>44755</v>
      </c>
      <c r="V3" s="86"/>
      <c r="W3" s="63" t="s">
        <v>709</v>
      </c>
      <c r="X3" s="93" t="s">
        <v>710</v>
      </c>
    </row>
    <row r="4" spans="1:39">
      <c r="A4" s="63">
        <f t="shared" si="0"/>
        <v>7</v>
      </c>
      <c r="B4" s="63" t="s">
        <v>711</v>
      </c>
      <c r="C4" s="85" t="s">
        <v>712</v>
      </c>
      <c r="D4" s="55" t="s">
        <v>698</v>
      </c>
      <c r="E4" s="62">
        <v>38187</v>
      </c>
      <c r="F4" s="55">
        <f t="shared" ca="1" si="1"/>
        <v>21</v>
      </c>
      <c r="G4" s="62">
        <v>44592</v>
      </c>
      <c r="H4" s="62">
        <f t="shared" ca="1" si="2"/>
        <v>44755</v>
      </c>
      <c r="I4" s="92" t="str">
        <f t="shared" ca="1" si="3"/>
        <v>0 Anos e 5 meses</v>
      </c>
      <c r="J4" s="55" t="s">
        <v>713</v>
      </c>
      <c r="K4" s="55" t="s">
        <v>700</v>
      </c>
      <c r="L4" s="55" t="s">
        <v>714</v>
      </c>
      <c r="M4" s="55" t="s">
        <v>715</v>
      </c>
      <c r="N4" s="55" t="s">
        <v>716</v>
      </c>
      <c r="O4" s="63" t="s">
        <v>717</v>
      </c>
      <c r="P4" s="94" t="s">
        <v>718</v>
      </c>
      <c r="Q4" s="63" t="s">
        <v>706</v>
      </c>
      <c r="R4" s="63" t="s">
        <v>719</v>
      </c>
      <c r="S4" s="63" t="s">
        <v>720</v>
      </c>
      <c r="T4" s="63" t="s">
        <v>721</v>
      </c>
      <c r="U4" s="62">
        <v>44755</v>
      </c>
      <c r="V4" s="86"/>
      <c r="W4" s="63" t="s">
        <v>722</v>
      </c>
      <c r="X4" s="93" t="s">
        <v>723</v>
      </c>
    </row>
    <row r="5" spans="1:39">
      <c r="A5" s="63">
        <f t="shared" si="0"/>
        <v>9</v>
      </c>
      <c r="B5" s="63" t="str">
        <f t="shared" ref="B5:B8" ca="1" si="4">IF(F5="","", IF(F5&lt;12,"Criança",IF(F5&lt;18,"Adolescente",IF(F5&lt;26,"Jovem",IF(F5&lt;60,"Adulto", "Idoso")))))</f>
        <v>Adulto</v>
      </c>
      <c r="C5" s="85" t="s">
        <v>724</v>
      </c>
      <c r="D5" s="55" t="s">
        <v>698</v>
      </c>
      <c r="E5" s="62">
        <v>35675</v>
      </c>
      <c r="F5" s="55">
        <f t="shared" ca="1" si="1"/>
        <v>28</v>
      </c>
      <c r="G5" s="62">
        <v>44592</v>
      </c>
      <c r="H5" s="62">
        <f t="shared" ca="1" si="2"/>
        <v>44719</v>
      </c>
      <c r="I5" s="92" t="str">
        <f t="shared" ca="1" si="3"/>
        <v>0 Anos e 4 meses</v>
      </c>
      <c r="J5" s="55" t="s">
        <v>725</v>
      </c>
      <c r="K5" s="55" t="s">
        <v>726</v>
      </c>
      <c r="L5" s="55" t="s">
        <v>727</v>
      </c>
      <c r="M5" s="55" t="s">
        <v>728</v>
      </c>
      <c r="N5" s="55" t="s">
        <v>729</v>
      </c>
      <c r="O5" s="63" t="s">
        <v>730</v>
      </c>
      <c r="P5" s="63" t="s">
        <v>731</v>
      </c>
      <c r="Q5" s="63" t="s">
        <v>706</v>
      </c>
      <c r="R5" s="63" t="s">
        <v>732</v>
      </c>
      <c r="S5" s="63" t="s">
        <v>733</v>
      </c>
      <c r="T5" s="63" t="s">
        <v>734</v>
      </c>
      <c r="U5" s="62">
        <v>44719</v>
      </c>
      <c r="V5" s="86"/>
      <c r="W5" s="63" t="s">
        <v>735</v>
      </c>
      <c r="X5" s="93" t="s">
        <v>736</v>
      </c>
    </row>
    <row r="6" spans="1:39">
      <c r="A6" s="63">
        <f t="shared" si="0"/>
        <v>6</v>
      </c>
      <c r="B6" s="63" t="str">
        <f t="shared" ca="1" si="4"/>
        <v>Adulto</v>
      </c>
      <c r="C6" s="85" t="s">
        <v>737</v>
      </c>
      <c r="D6" s="55" t="s">
        <v>698</v>
      </c>
      <c r="E6" s="62">
        <v>34142</v>
      </c>
      <c r="F6" s="55">
        <f t="shared" ca="1" si="1"/>
        <v>32</v>
      </c>
      <c r="G6" s="62">
        <v>44628</v>
      </c>
      <c r="H6" s="62">
        <f t="shared" ca="1" si="2"/>
        <v>44855</v>
      </c>
      <c r="I6" s="92" t="str">
        <f t="shared" ca="1" si="3"/>
        <v>0 Anos e 7 meses</v>
      </c>
      <c r="J6" s="55" t="s">
        <v>738</v>
      </c>
      <c r="K6" s="55" t="s">
        <v>726</v>
      </c>
      <c r="L6" s="55" t="s">
        <v>739</v>
      </c>
      <c r="M6" s="55" t="s">
        <v>740</v>
      </c>
      <c r="N6" s="55" t="s">
        <v>741</v>
      </c>
      <c r="O6" s="63" t="s">
        <v>742</v>
      </c>
      <c r="P6" s="63" t="s">
        <v>743</v>
      </c>
      <c r="Q6" s="63" t="s">
        <v>706</v>
      </c>
      <c r="S6" s="63" t="s">
        <v>744</v>
      </c>
      <c r="U6" s="62">
        <v>44855</v>
      </c>
      <c r="V6" s="86"/>
      <c r="W6" s="63" t="s">
        <v>325</v>
      </c>
      <c r="X6" s="93"/>
    </row>
    <row r="7" spans="1:39">
      <c r="A7" s="63">
        <f t="shared" si="0"/>
        <v>11</v>
      </c>
      <c r="B7" s="63" t="str">
        <f t="shared" ca="1" si="4"/>
        <v>Jovem</v>
      </c>
      <c r="C7" s="85" t="s">
        <v>745</v>
      </c>
      <c r="D7" s="55" t="s">
        <v>698</v>
      </c>
      <c r="E7" s="62">
        <v>37942</v>
      </c>
      <c r="F7" s="55">
        <f t="shared" ca="1" si="1"/>
        <v>22</v>
      </c>
      <c r="G7" s="62">
        <v>44609</v>
      </c>
      <c r="H7" s="62">
        <f t="shared" ca="1" si="2"/>
        <v>44994</v>
      </c>
      <c r="I7" s="92" t="str">
        <f t="shared" ca="1" si="3"/>
        <v>1 Anos e 0 meses</v>
      </c>
      <c r="J7" s="55" t="s">
        <v>746</v>
      </c>
      <c r="K7" s="55" t="s">
        <v>747</v>
      </c>
      <c r="L7" s="55" t="s">
        <v>748</v>
      </c>
      <c r="M7" s="55" t="s">
        <v>749</v>
      </c>
      <c r="N7" s="55" t="s">
        <v>750</v>
      </c>
      <c r="O7" s="63" t="s">
        <v>751</v>
      </c>
      <c r="P7" s="63" t="s">
        <v>752</v>
      </c>
      <c r="Q7" s="63" t="s">
        <v>753</v>
      </c>
      <c r="R7" s="63" t="s">
        <v>754</v>
      </c>
      <c r="S7" s="63" t="s">
        <v>755</v>
      </c>
      <c r="T7" s="63" t="s">
        <v>756</v>
      </c>
      <c r="U7" s="62">
        <v>44994</v>
      </c>
      <c r="V7" s="86"/>
      <c r="W7" s="63" t="s">
        <v>757</v>
      </c>
      <c r="X7" s="93" t="s">
        <v>736</v>
      </c>
    </row>
    <row r="8" spans="1:39">
      <c r="A8" s="63">
        <f t="shared" si="0"/>
        <v>4</v>
      </c>
      <c r="B8" s="63" t="str">
        <f t="shared" ca="1" si="4"/>
        <v>Adulto</v>
      </c>
      <c r="C8" s="85" t="s">
        <v>758</v>
      </c>
      <c r="D8" s="55" t="s">
        <v>698</v>
      </c>
      <c r="E8" s="62">
        <v>32985</v>
      </c>
      <c r="F8" s="55">
        <f t="shared" ca="1" si="1"/>
        <v>35</v>
      </c>
      <c r="G8" s="62">
        <v>44651</v>
      </c>
      <c r="H8" s="62">
        <f t="shared" ca="1" si="2"/>
        <v>45028</v>
      </c>
      <c r="I8" s="92" t="str">
        <f t="shared" ca="1" si="3"/>
        <v>1 Anos e 0 meses</v>
      </c>
      <c r="J8" s="55" t="s">
        <v>759</v>
      </c>
      <c r="K8" s="55" t="s">
        <v>760</v>
      </c>
      <c r="L8" s="55" t="s">
        <v>761</v>
      </c>
      <c r="M8" s="55" t="s">
        <v>762</v>
      </c>
      <c r="N8" s="55" t="s">
        <v>763</v>
      </c>
      <c r="O8" s="63" t="s">
        <v>764</v>
      </c>
      <c r="P8" s="63" t="s">
        <v>765</v>
      </c>
      <c r="Q8" s="63" t="s">
        <v>706</v>
      </c>
      <c r="R8" s="2" t="s">
        <v>766</v>
      </c>
      <c r="S8" s="63" t="s">
        <v>767</v>
      </c>
      <c r="T8" s="63" t="s">
        <v>768</v>
      </c>
      <c r="U8" s="62">
        <v>45028</v>
      </c>
      <c r="V8" s="86"/>
      <c r="W8" s="63" t="s">
        <v>769</v>
      </c>
      <c r="X8" s="93"/>
    </row>
    <row r="9" spans="1:39">
      <c r="A9" s="63" t="str">
        <f t="shared" si="0"/>
        <v/>
      </c>
      <c r="B9" s="63" t="s">
        <v>770</v>
      </c>
      <c r="C9" s="85" t="s">
        <v>771</v>
      </c>
      <c r="D9" s="55" t="s">
        <v>772</v>
      </c>
      <c r="E9" s="62"/>
      <c r="F9" s="55" t="str">
        <f t="shared" ca="1" si="1"/>
        <v/>
      </c>
      <c r="G9" s="62">
        <v>44655</v>
      </c>
      <c r="H9" s="62">
        <f t="shared" ca="1" si="2"/>
        <v>44655</v>
      </c>
      <c r="I9" s="92" t="str">
        <f t="shared" ca="1" si="3"/>
        <v>0 Anos e 0 meses</v>
      </c>
      <c r="J9" s="55" t="s">
        <v>773</v>
      </c>
      <c r="K9" s="55" t="s">
        <v>774</v>
      </c>
      <c r="L9" s="55" t="s">
        <v>775</v>
      </c>
      <c r="M9" s="55" t="s">
        <v>776</v>
      </c>
      <c r="N9" s="55" t="s">
        <v>777</v>
      </c>
      <c r="Q9" s="63" t="s">
        <v>706</v>
      </c>
      <c r="U9" s="62">
        <v>44655</v>
      </c>
      <c r="V9" s="86"/>
      <c r="W9" s="63" t="s">
        <v>325</v>
      </c>
      <c r="X9" s="93"/>
    </row>
    <row r="10" spans="1:39">
      <c r="A10" s="63">
        <f t="shared" si="0"/>
        <v>9</v>
      </c>
      <c r="B10" s="63" t="str">
        <f t="shared" ref="B10:B11" ca="1" si="5">IF(F10="","", IF(F10&lt;12,"Criança",IF(F10&lt;18,"Adolescente",IF(F10&lt;26,"Jovem",IF(F10&lt;60,"Adulto", "Idoso")))))</f>
        <v>Adulto</v>
      </c>
      <c r="C10" s="85" t="s">
        <v>778</v>
      </c>
      <c r="D10" s="55" t="s">
        <v>698</v>
      </c>
      <c r="E10" s="62">
        <v>33877</v>
      </c>
      <c r="F10" s="55">
        <f t="shared" ca="1" si="1"/>
        <v>33</v>
      </c>
      <c r="G10" s="62">
        <v>44658</v>
      </c>
      <c r="H10" s="62">
        <f t="shared" ca="1" si="2"/>
        <v>44972</v>
      </c>
      <c r="I10" s="92" t="str">
        <f t="shared" ca="1" si="3"/>
        <v>0 Anos e 10 meses</v>
      </c>
      <c r="J10" s="55" t="s">
        <v>779</v>
      </c>
      <c r="K10" s="55" t="s">
        <v>726</v>
      </c>
      <c r="L10" s="55" t="s">
        <v>780</v>
      </c>
      <c r="M10" s="55" t="s">
        <v>781</v>
      </c>
      <c r="N10" s="55" t="s">
        <v>782</v>
      </c>
      <c r="O10" s="63" t="s">
        <v>783</v>
      </c>
      <c r="P10" s="63" t="s">
        <v>765</v>
      </c>
      <c r="Q10" s="63" t="s">
        <v>706</v>
      </c>
      <c r="R10" s="63" t="s">
        <v>784</v>
      </c>
      <c r="U10" s="62">
        <v>44972</v>
      </c>
      <c r="V10" s="86" t="s">
        <v>785</v>
      </c>
      <c r="W10" s="63" t="s">
        <v>786</v>
      </c>
      <c r="X10" s="93"/>
    </row>
    <row r="11" spans="1:39">
      <c r="A11" s="63">
        <f t="shared" si="0"/>
        <v>3</v>
      </c>
      <c r="B11" s="63" t="str">
        <f t="shared" ca="1" si="5"/>
        <v>Adulto</v>
      </c>
      <c r="C11" s="85" t="s">
        <v>154</v>
      </c>
      <c r="D11" s="55" t="s">
        <v>698</v>
      </c>
      <c r="E11" s="62">
        <v>32575</v>
      </c>
      <c r="F11" s="55">
        <f t="shared" ca="1" si="1"/>
        <v>36</v>
      </c>
      <c r="G11" s="62">
        <v>44667</v>
      </c>
      <c r="H11" s="62">
        <f t="shared" ca="1" si="2"/>
        <v>45490</v>
      </c>
      <c r="I11" s="92" t="str">
        <f t="shared" ca="1" si="3"/>
        <v>2 Anos e 3 meses</v>
      </c>
      <c r="J11" s="55" t="s">
        <v>787</v>
      </c>
      <c r="K11" s="55" t="s">
        <v>788</v>
      </c>
      <c r="L11" s="55" t="s">
        <v>789</v>
      </c>
      <c r="M11" s="55" t="s">
        <v>790</v>
      </c>
      <c r="N11" s="55" t="s">
        <v>791</v>
      </c>
      <c r="O11" s="63" t="s">
        <v>792</v>
      </c>
      <c r="P11" s="63" t="s">
        <v>793</v>
      </c>
      <c r="Q11" s="63" t="s">
        <v>706</v>
      </c>
      <c r="R11" s="2" t="s">
        <v>794</v>
      </c>
      <c r="S11" s="63" t="s">
        <v>795</v>
      </c>
      <c r="T11" s="63" t="s">
        <v>796</v>
      </c>
      <c r="U11" s="62">
        <v>45490</v>
      </c>
      <c r="V11" s="86" t="s">
        <v>797</v>
      </c>
      <c r="W11" s="63" t="s">
        <v>325</v>
      </c>
      <c r="X11" s="93"/>
    </row>
    <row r="12" spans="1:39">
      <c r="A12" s="63" t="str">
        <f t="shared" si="0"/>
        <v/>
      </c>
      <c r="B12" s="63" t="s">
        <v>770</v>
      </c>
      <c r="C12" s="85" t="s">
        <v>798</v>
      </c>
      <c r="D12" s="55" t="s">
        <v>772</v>
      </c>
      <c r="E12" s="62"/>
      <c r="F12" s="55">
        <v>30</v>
      </c>
      <c r="G12" s="62">
        <v>44707</v>
      </c>
      <c r="H12" s="62">
        <f t="shared" ca="1" si="2"/>
        <v>44707</v>
      </c>
      <c r="I12" s="92" t="str">
        <f t="shared" ca="1" si="3"/>
        <v>0 Anos e 0 meses</v>
      </c>
      <c r="J12" s="55" t="s">
        <v>799</v>
      </c>
      <c r="K12" s="55"/>
      <c r="L12" s="55"/>
      <c r="M12" s="55"/>
      <c r="N12" s="55"/>
      <c r="Q12" s="63" t="s">
        <v>706</v>
      </c>
      <c r="U12" s="62">
        <v>44707</v>
      </c>
      <c r="V12" s="86"/>
      <c r="W12" s="63" t="s">
        <v>325</v>
      </c>
      <c r="X12" s="93"/>
    </row>
    <row r="13" spans="1:39">
      <c r="A13" s="63">
        <f t="shared" si="0"/>
        <v>11</v>
      </c>
      <c r="B13" s="63" t="str">
        <f t="shared" ref="B13:B15" ca="1" si="6">IF(F13="","", IF(F13&lt;12,"Criança",IF(F13&lt;18,"Adolescente",IF(F13&lt;26,"Jovem",IF(F13&lt;60,"Adulto", "Idoso")))))</f>
        <v>Adulto</v>
      </c>
      <c r="C13" s="85" t="s">
        <v>800</v>
      </c>
      <c r="D13" s="55" t="s">
        <v>698</v>
      </c>
      <c r="E13" s="62">
        <v>28802</v>
      </c>
      <c r="F13" s="55">
        <f t="shared" ref="F13:F14" ca="1" si="7">IF(E13&gt;0, DATEDIF(E13,TODAY(),"Y"),"")</f>
        <v>47</v>
      </c>
      <c r="G13" s="62">
        <v>44707</v>
      </c>
      <c r="H13" s="62">
        <f t="shared" ca="1" si="2"/>
        <v>45042</v>
      </c>
      <c r="I13" s="92" t="str">
        <f t="shared" ca="1" si="3"/>
        <v>0 Anos e 11 meses</v>
      </c>
      <c r="J13" s="55" t="s">
        <v>801</v>
      </c>
      <c r="K13" s="55" t="s">
        <v>802</v>
      </c>
      <c r="L13" s="55" t="s">
        <v>803</v>
      </c>
      <c r="M13" s="55" t="s">
        <v>804</v>
      </c>
      <c r="N13" s="55" t="s">
        <v>805</v>
      </c>
      <c r="O13" s="63" t="s">
        <v>806</v>
      </c>
      <c r="P13" s="63" t="s">
        <v>807</v>
      </c>
      <c r="Q13" s="63" t="s">
        <v>808</v>
      </c>
      <c r="R13" s="95" t="s">
        <v>809</v>
      </c>
      <c r="U13" s="62">
        <v>45042</v>
      </c>
      <c r="V13" s="96"/>
      <c r="W13" s="63" t="s">
        <v>325</v>
      </c>
      <c r="X13" s="93"/>
    </row>
    <row r="14" spans="1:39">
      <c r="A14" s="63">
        <f t="shared" si="0"/>
        <v>5</v>
      </c>
      <c r="B14" s="63" t="str">
        <f t="shared" ca="1" si="6"/>
        <v>Criança</v>
      </c>
      <c r="C14" s="85" t="s">
        <v>810</v>
      </c>
      <c r="D14" s="55" t="s">
        <v>772</v>
      </c>
      <c r="E14" s="62">
        <v>42881</v>
      </c>
      <c r="F14" s="55">
        <f t="shared" ca="1" si="7"/>
        <v>8</v>
      </c>
      <c r="G14" s="62">
        <v>44711</v>
      </c>
      <c r="H14" s="62">
        <f t="shared" ca="1" si="2"/>
        <v>44711</v>
      </c>
      <c r="I14" s="92" t="str">
        <f t="shared" ca="1" si="3"/>
        <v>0 Anos e 0 meses</v>
      </c>
      <c r="J14" s="55"/>
      <c r="K14" s="55"/>
      <c r="L14" s="55" t="s">
        <v>811</v>
      </c>
      <c r="M14" s="55" t="s">
        <v>812</v>
      </c>
      <c r="N14" s="55" t="s">
        <v>813</v>
      </c>
      <c r="O14" s="63" t="s">
        <v>814</v>
      </c>
      <c r="P14" s="63" t="s">
        <v>815</v>
      </c>
      <c r="Q14" s="63" t="s">
        <v>816</v>
      </c>
      <c r="R14" s="95" t="s">
        <v>817</v>
      </c>
      <c r="S14" s="63" t="s">
        <v>818</v>
      </c>
      <c r="T14" s="63" t="s">
        <v>819</v>
      </c>
      <c r="U14" s="62">
        <v>44711</v>
      </c>
      <c r="V14" s="96"/>
      <c r="W14" s="63" t="s">
        <v>325</v>
      </c>
      <c r="X14" s="93"/>
    </row>
    <row r="15" spans="1:39">
      <c r="A15" s="63" t="str">
        <f t="shared" si="0"/>
        <v/>
      </c>
      <c r="B15" s="63" t="str">
        <f t="shared" si="6"/>
        <v>Adulto</v>
      </c>
      <c r="C15" s="85" t="s">
        <v>81</v>
      </c>
      <c r="D15" s="55" t="s">
        <v>772</v>
      </c>
      <c r="E15" s="62"/>
      <c r="F15" s="55">
        <v>28</v>
      </c>
      <c r="G15" s="62">
        <v>44713</v>
      </c>
      <c r="H15" s="62">
        <f t="shared" ca="1" si="2"/>
        <v>44713</v>
      </c>
      <c r="I15" s="92" t="str">
        <f t="shared" ca="1" si="3"/>
        <v>0 Anos e 0 meses</v>
      </c>
      <c r="J15" s="55" t="s">
        <v>820</v>
      </c>
      <c r="K15" s="55"/>
      <c r="L15" s="55"/>
      <c r="M15" s="55"/>
      <c r="N15" s="55" t="s">
        <v>821</v>
      </c>
      <c r="O15" s="63"/>
      <c r="P15" s="63"/>
      <c r="Q15" s="63" t="s">
        <v>706</v>
      </c>
      <c r="R15" s="95"/>
      <c r="S15" s="63"/>
      <c r="T15" s="63"/>
      <c r="U15" s="62">
        <v>44713</v>
      </c>
      <c r="V15" s="96"/>
      <c r="W15" s="63" t="s">
        <v>325</v>
      </c>
      <c r="X15" s="93"/>
    </row>
    <row r="16" spans="1:39">
      <c r="A16" s="63" t="str">
        <f t="shared" si="0"/>
        <v/>
      </c>
      <c r="B16" s="63" t="s">
        <v>770</v>
      </c>
      <c r="C16" s="85" t="s">
        <v>822</v>
      </c>
      <c r="D16" s="55" t="s">
        <v>772</v>
      </c>
      <c r="E16" s="62"/>
      <c r="F16" s="55"/>
      <c r="G16" s="62">
        <v>44718</v>
      </c>
      <c r="H16" s="62">
        <f t="shared" ca="1" si="2"/>
        <v>44718</v>
      </c>
      <c r="I16" s="92" t="str">
        <f t="shared" ca="1" si="3"/>
        <v>0 Anos e 0 meses</v>
      </c>
      <c r="J16" s="55" t="s">
        <v>823</v>
      </c>
      <c r="K16" s="55"/>
      <c r="L16" s="55"/>
      <c r="M16" s="55"/>
      <c r="N16" s="55" t="s">
        <v>824</v>
      </c>
      <c r="O16" s="63"/>
      <c r="P16" s="63"/>
      <c r="Q16" s="63" t="s">
        <v>706</v>
      </c>
      <c r="R16" s="95"/>
      <c r="S16" s="63"/>
      <c r="T16" s="63"/>
      <c r="U16" s="62">
        <v>44718</v>
      </c>
      <c r="V16" s="96" t="s">
        <v>825</v>
      </c>
      <c r="W16" s="63" t="s">
        <v>325</v>
      </c>
      <c r="X16" s="93"/>
    </row>
    <row r="17" spans="1:24">
      <c r="A17" s="63">
        <f t="shared" si="0"/>
        <v>5</v>
      </c>
      <c r="B17" s="63" t="str">
        <f t="shared" ref="B17:B21" ca="1" si="8">IF(F17="","", IF(F17&lt;12,"Criança",IF(F17&lt;18,"Adolescente",IF(F17&lt;26,"Jovem",IF(F17&lt;60,"Adulto", "Idoso")))))</f>
        <v>Adulto</v>
      </c>
      <c r="C17" s="85" t="s">
        <v>826</v>
      </c>
      <c r="D17" s="55" t="s">
        <v>698</v>
      </c>
      <c r="E17" s="62">
        <v>36293</v>
      </c>
      <c r="F17" s="55">
        <f t="shared" ref="F17:F21" ca="1" si="9">IF(E17&gt;0, DATEDIF(E17,TODAY(),"Y"),"")</f>
        <v>26</v>
      </c>
      <c r="G17" s="62">
        <v>44734</v>
      </c>
      <c r="H17" s="62">
        <f t="shared" ca="1" si="2"/>
        <v>44785</v>
      </c>
      <c r="I17" s="92" t="str">
        <f t="shared" ca="1" si="3"/>
        <v>0 Anos e 1 meses</v>
      </c>
      <c r="J17" s="55">
        <v>62993339167</v>
      </c>
      <c r="K17" s="55"/>
      <c r="L17" s="55" t="s">
        <v>827</v>
      </c>
      <c r="M17" s="55" t="s">
        <v>828</v>
      </c>
      <c r="N17" s="55" t="s">
        <v>829</v>
      </c>
      <c r="O17" s="63" t="s">
        <v>830</v>
      </c>
      <c r="P17" s="63" t="s">
        <v>831</v>
      </c>
      <c r="Q17" s="63" t="s">
        <v>706</v>
      </c>
      <c r="R17" s="2" t="s">
        <v>832</v>
      </c>
      <c r="U17" s="62">
        <v>44785</v>
      </c>
      <c r="V17" s="86"/>
      <c r="W17" s="63" t="s">
        <v>325</v>
      </c>
      <c r="X17" s="93"/>
    </row>
    <row r="18" spans="1:24">
      <c r="A18" s="63">
        <f t="shared" si="0"/>
        <v>11</v>
      </c>
      <c r="B18" s="63" t="str">
        <f t="shared" ca="1" si="8"/>
        <v>Jovem</v>
      </c>
      <c r="C18" s="85" t="s">
        <v>833</v>
      </c>
      <c r="D18" s="55" t="s">
        <v>834</v>
      </c>
      <c r="E18" s="62">
        <v>36847</v>
      </c>
      <c r="F18" s="55">
        <f t="shared" ca="1" si="9"/>
        <v>25</v>
      </c>
      <c r="G18" s="62">
        <v>44763</v>
      </c>
      <c r="H18" s="62">
        <f t="shared" ca="1" si="2"/>
        <v>44966</v>
      </c>
      <c r="I18" s="92" t="str">
        <f t="shared" ca="1" si="3"/>
        <v>0 Anos e 6 meses</v>
      </c>
      <c r="J18" s="55" t="s">
        <v>835</v>
      </c>
      <c r="K18" s="55" t="s">
        <v>836</v>
      </c>
      <c r="L18" s="55" t="s">
        <v>837</v>
      </c>
      <c r="M18" s="55" t="s">
        <v>838</v>
      </c>
      <c r="N18" s="55" t="s">
        <v>839</v>
      </c>
      <c r="Q18" s="63" t="s">
        <v>706</v>
      </c>
      <c r="U18" s="62">
        <v>44966</v>
      </c>
      <c r="V18" s="86" t="s">
        <v>840</v>
      </c>
      <c r="W18" s="63" t="s">
        <v>325</v>
      </c>
      <c r="X18" s="93"/>
    </row>
    <row r="19" spans="1:24">
      <c r="A19" s="63">
        <f t="shared" si="0"/>
        <v>9</v>
      </c>
      <c r="B19" s="63" t="str">
        <f t="shared" ca="1" si="8"/>
        <v>Jovem</v>
      </c>
      <c r="C19" s="85" t="s">
        <v>841</v>
      </c>
      <c r="D19" s="55" t="s">
        <v>842</v>
      </c>
      <c r="E19" s="62">
        <v>38233</v>
      </c>
      <c r="F19" s="55">
        <f t="shared" ca="1" si="9"/>
        <v>21</v>
      </c>
      <c r="G19" s="62">
        <v>44778</v>
      </c>
      <c r="H19" s="62">
        <f t="shared" ca="1" si="2"/>
        <v>45021</v>
      </c>
      <c r="I19" s="92" t="str">
        <f t="shared" ca="1" si="3"/>
        <v>0 Anos e 8 meses</v>
      </c>
      <c r="J19" s="55"/>
      <c r="K19" s="55" t="s">
        <v>843</v>
      </c>
      <c r="L19" s="55" t="s">
        <v>844</v>
      </c>
      <c r="M19" s="55" t="s">
        <v>845</v>
      </c>
      <c r="N19" s="55"/>
      <c r="O19" s="63" t="s">
        <v>846</v>
      </c>
      <c r="P19" s="63" t="s">
        <v>765</v>
      </c>
      <c r="Q19" s="63" t="s">
        <v>706</v>
      </c>
      <c r="R19" s="63" t="s">
        <v>847</v>
      </c>
      <c r="S19" s="63" t="s">
        <v>848</v>
      </c>
      <c r="T19" s="63" t="s">
        <v>849</v>
      </c>
      <c r="U19" s="62">
        <v>45021</v>
      </c>
      <c r="V19" s="86" t="s">
        <v>850</v>
      </c>
      <c r="W19" s="63" t="s">
        <v>325</v>
      </c>
      <c r="X19" s="93"/>
    </row>
    <row r="20" spans="1:24">
      <c r="A20" s="63">
        <f t="shared" si="0"/>
        <v>4</v>
      </c>
      <c r="B20" s="63" t="str">
        <f t="shared" ca="1" si="8"/>
        <v>Adulto</v>
      </c>
      <c r="C20" s="85" t="s">
        <v>851</v>
      </c>
      <c r="D20" s="55" t="s">
        <v>698</v>
      </c>
      <c r="E20" s="62">
        <v>33353</v>
      </c>
      <c r="F20" s="55">
        <f t="shared" ca="1" si="9"/>
        <v>34</v>
      </c>
      <c r="G20" s="62">
        <v>44790</v>
      </c>
      <c r="H20" s="62">
        <f t="shared" ca="1" si="2"/>
        <v>44912</v>
      </c>
      <c r="I20" s="92" t="str">
        <f t="shared" ca="1" si="3"/>
        <v>0 Anos e 4 meses</v>
      </c>
      <c r="J20" s="55" t="s">
        <v>852</v>
      </c>
      <c r="K20" s="55" t="s">
        <v>853</v>
      </c>
      <c r="L20" s="55" t="s">
        <v>854</v>
      </c>
      <c r="M20" s="55" t="s">
        <v>855</v>
      </c>
      <c r="N20" s="55"/>
      <c r="Q20" s="63" t="s">
        <v>856</v>
      </c>
      <c r="U20" s="62">
        <v>44912</v>
      </c>
      <c r="V20" s="86"/>
      <c r="W20" s="63" t="s">
        <v>325</v>
      </c>
      <c r="X20" s="93"/>
    </row>
    <row r="21" spans="1:24">
      <c r="A21" s="63">
        <f t="shared" si="0"/>
        <v>9</v>
      </c>
      <c r="B21" s="63" t="str">
        <f t="shared" ca="1" si="8"/>
        <v>Adulto</v>
      </c>
      <c r="C21" s="85" t="s">
        <v>857</v>
      </c>
      <c r="D21" s="55" t="s">
        <v>698</v>
      </c>
      <c r="E21" s="62">
        <v>32393</v>
      </c>
      <c r="F21" s="55">
        <f t="shared" ca="1" si="9"/>
        <v>37</v>
      </c>
      <c r="G21" s="62">
        <v>44790</v>
      </c>
      <c r="H21" s="62">
        <f t="shared" ca="1" si="2"/>
        <v>44912</v>
      </c>
      <c r="I21" s="92" t="str">
        <f t="shared" ca="1" si="3"/>
        <v>0 Anos e 4 meses</v>
      </c>
      <c r="J21" s="55" t="s">
        <v>854</v>
      </c>
      <c r="K21" s="55" t="s">
        <v>853</v>
      </c>
      <c r="L21" s="55" t="s">
        <v>854</v>
      </c>
      <c r="M21" s="55" t="s">
        <v>855</v>
      </c>
      <c r="N21" s="55"/>
      <c r="Q21" s="63" t="s">
        <v>856</v>
      </c>
      <c r="U21" s="62">
        <v>44912</v>
      </c>
      <c r="V21" s="86"/>
      <c r="W21" s="63" t="s">
        <v>325</v>
      </c>
      <c r="X21" s="93"/>
    </row>
    <row r="22" spans="1:24">
      <c r="A22" s="63" t="str">
        <f t="shared" si="0"/>
        <v/>
      </c>
      <c r="B22" s="63" t="s">
        <v>770</v>
      </c>
      <c r="C22" s="85" t="s">
        <v>858</v>
      </c>
      <c r="D22" s="55" t="s">
        <v>772</v>
      </c>
      <c r="E22" s="62"/>
      <c r="F22" s="55">
        <v>29</v>
      </c>
      <c r="G22" s="62">
        <v>44791</v>
      </c>
      <c r="H22" s="62">
        <f t="shared" ca="1" si="2"/>
        <v>44791</v>
      </c>
      <c r="I22" s="92" t="str">
        <f t="shared" ca="1" si="3"/>
        <v>0 Anos e 0 meses</v>
      </c>
      <c r="J22" s="55" t="s">
        <v>859</v>
      </c>
      <c r="K22" s="55"/>
      <c r="L22" s="55"/>
      <c r="M22" s="55"/>
      <c r="N22" s="55"/>
      <c r="Q22" s="63"/>
      <c r="U22" s="62">
        <v>44791</v>
      </c>
      <c r="V22" s="86"/>
      <c r="W22" s="63" t="s">
        <v>325</v>
      </c>
      <c r="X22" s="93"/>
    </row>
    <row r="23" spans="1:24">
      <c r="A23" s="63">
        <f t="shared" si="0"/>
        <v>8</v>
      </c>
      <c r="B23" s="63" t="str">
        <f t="shared" ref="B23:B28" ca="1" si="10">IF(F23="","", IF(F23&lt;12,"Criança",IF(F23&lt;18,"Adolescente",IF(F23&lt;26,"Jovem",IF(F23&lt;60,"Adulto", "Idoso")))))</f>
        <v>Adulto</v>
      </c>
      <c r="C23" s="85" t="s">
        <v>860</v>
      </c>
      <c r="D23" s="55" t="s">
        <v>698</v>
      </c>
      <c r="E23" s="62">
        <v>32365</v>
      </c>
      <c r="F23" s="55">
        <f t="shared" ref="F23:F32" ca="1" si="11">IF(E23&gt;0, DATEDIF(E23,TODAY(),"Y"),"")</f>
        <v>37</v>
      </c>
      <c r="G23" s="62">
        <v>44797</v>
      </c>
      <c r="H23" s="62">
        <f t="shared" ca="1" si="2"/>
        <v>45261</v>
      </c>
      <c r="I23" s="92" t="str">
        <f t="shared" ca="1" si="3"/>
        <v>1 Anos e 3 meses</v>
      </c>
      <c r="J23" s="55" t="s">
        <v>861</v>
      </c>
      <c r="K23" s="55" t="s">
        <v>862</v>
      </c>
      <c r="L23" s="55" t="s">
        <v>863</v>
      </c>
      <c r="M23" s="55" t="s">
        <v>864</v>
      </c>
      <c r="N23" s="55" t="s">
        <v>865</v>
      </c>
      <c r="O23" s="63" t="s">
        <v>866</v>
      </c>
      <c r="P23" s="63" t="s">
        <v>807</v>
      </c>
      <c r="Q23" s="63" t="s">
        <v>867</v>
      </c>
      <c r="R23" s="63" t="s">
        <v>868</v>
      </c>
      <c r="U23" s="62">
        <v>45261</v>
      </c>
      <c r="V23" s="86" t="s">
        <v>869</v>
      </c>
      <c r="W23" s="63" t="s">
        <v>870</v>
      </c>
      <c r="X23" s="93"/>
    </row>
    <row r="24" spans="1:24">
      <c r="A24" s="63">
        <f t="shared" si="0"/>
        <v>3</v>
      </c>
      <c r="B24" s="63" t="str">
        <f t="shared" ca="1" si="10"/>
        <v>Adulto</v>
      </c>
      <c r="C24" s="85" t="s">
        <v>871</v>
      </c>
      <c r="D24" s="55" t="s">
        <v>698</v>
      </c>
      <c r="E24" s="62">
        <v>24924</v>
      </c>
      <c r="F24" s="55">
        <f t="shared" ca="1" si="11"/>
        <v>57</v>
      </c>
      <c r="G24" s="62">
        <v>44798</v>
      </c>
      <c r="H24" s="62">
        <f t="shared" ca="1" si="2"/>
        <v>44973</v>
      </c>
      <c r="I24" s="92" t="str">
        <f t="shared" ca="1" si="3"/>
        <v>0 Anos e 5 meses</v>
      </c>
      <c r="J24" s="55" t="s">
        <v>872</v>
      </c>
      <c r="K24" s="55" t="s">
        <v>726</v>
      </c>
      <c r="L24" s="55" t="s">
        <v>873</v>
      </c>
      <c r="M24" s="55" t="s">
        <v>874</v>
      </c>
      <c r="N24" s="55" t="s">
        <v>875</v>
      </c>
      <c r="O24" s="63" t="s">
        <v>876</v>
      </c>
      <c r="P24" s="63" t="s">
        <v>877</v>
      </c>
      <c r="Q24" s="63" t="s">
        <v>706</v>
      </c>
      <c r="R24" s="63" t="s">
        <v>878</v>
      </c>
      <c r="U24" s="62">
        <v>44973</v>
      </c>
      <c r="V24" s="86"/>
      <c r="W24" s="63" t="s">
        <v>325</v>
      </c>
      <c r="X24" s="93"/>
    </row>
    <row r="25" spans="1:24">
      <c r="A25" s="63">
        <f t="shared" si="0"/>
        <v>7</v>
      </c>
      <c r="B25" s="63" t="str">
        <f t="shared" ca="1" si="10"/>
        <v>Adulto</v>
      </c>
      <c r="C25" s="85" t="s">
        <v>879</v>
      </c>
      <c r="D25" s="55" t="s">
        <v>834</v>
      </c>
      <c r="E25" s="62">
        <v>35255</v>
      </c>
      <c r="F25" s="55">
        <f t="shared" ca="1" si="11"/>
        <v>29</v>
      </c>
      <c r="G25" s="62">
        <v>44812</v>
      </c>
      <c r="H25" s="62">
        <f t="shared" ca="1" si="2"/>
        <v>44896</v>
      </c>
      <c r="I25" s="92" t="str">
        <f t="shared" ca="1" si="3"/>
        <v>0 Anos e 2 meses</v>
      </c>
      <c r="J25" s="55" t="s">
        <v>880</v>
      </c>
      <c r="K25" s="55" t="s">
        <v>881</v>
      </c>
      <c r="L25" s="55"/>
      <c r="M25" s="55"/>
      <c r="N25" s="55"/>
      <c r="O25" s="63" t="s">
        <v>882</v>
      </c>
      <c r="P25" s="63" t="s">
        <v>807</v>
      </c>
      <c r="Q25" s="63" t="s">
        <v>883</v>
      </c>
      <c r="R25" s="63" t="s">
        <v>884</v>
      </c>
      <c r="T25" s="63" t="s">
        <v>885</v>
      </c>
      <c r="U25" s="62">
        <v>44896</v>
      </c>
      <c r="V25" s="86" t="s">
        <v>886</v>
      </c>
      <c r="W25" s="63" t="s">
        <v>325</v>
      </c>
      <c r="X25" s="93"/>
    </row>
    <row r="26" spans="1:24">
      <c r="A26" s="63">
        <f t="shared" si="0"/>
        <v>4</v>
      </c>
      <c r="B26" s="63" t="str">
        <f t="shared" ca="1" si="10"/>
        <v>Adulto</v>
      </c>
      <c r="C26" s="85" t="s">
        <v>887</v>
      </c>
      <c r="D26" s="55" t="s">
        <v>834</v>
      </c>
      <c r="E26" s="62">
        <v>31870</v>
      </c>
      <c r="F26" s="55">
        <f t="shared" ca="1" si="11"/>
        <v>38</v>
      </c>
      <c r="G26" s="62">
        <v>44832</v>
      </c>
      <c r="H26" s="62">
        <f t="shared" ca="1" si="2"/>
        <v>44917</v>
      </c>
      <c r="I26" s="92" t="str">
        <f t="shared" ca="1" si="3"/>
        <v>0 Anos e 2 meses</v>
      </c>
      <c r="J26" s="55" t="s">
        <v>888</v>
      </c>
      <c r="K26" s="55" t="s">
        <v>836</v>
      </c>
      <c r="L26" s="55" t="s">
        <v>889</v>
      </c>
      <c r="M26" s="55" t="s">
        <v>890</v>
      </c>
      <c r="N26" s="55"/>
      <c r="Q26" s="63" t="s">
        <v>706</v>
      </c>
      <c r="U26" s="97">
        <v>44917</v>
      </c>
      <c r="V26" s="86" t="s">
        <v>891</v>
      </c>
      <c r="W26" s="63" t="s">
        <v>325</v>
      </c>
      <c r="X26" s="93"/>
    </row>
    <row r="27" spans="1:24">
      <c r="A27" s="63">
        <f t="shared" si="0"/>
        <v>6</v>
      </c>
      <c r="B27" s="63" t="str">
        <f t="shared" ca="1" si="10"/>
        <v>Criança</v>
      </c>
      <c r="C27" s="85" t="s">
        <v>892</v>
      </c>
      <c r="D27" s="55" t="s">
        <v>834</v>
      </c>
      <c r="E27" s="62">
        <v>42156</v>
      </c>
      <c r="F27" s="55">
        <f t="shared" ca="1" si="11"/>
        <v>10</v>
      </c>
      <c r="G27" s="97">
        <v>44853</v>
      </c>
      <c r="H27" s="62">
        <f t="shared" ca="1" si="2"/>
        <v>44951</v>
      </c>
      <c r="I27" s="92" t="str">
        <f t="shared" ca="1" si="3"/>
        <v>0 Anos e 3 meses</v>
      </c>
      <c r="J27" s="55"/>
      <c r="K27" s="55" t="s">
        <v>893</v>
      </c>
      <c r="L27" s="55" t="s">
        <v>894</v>
      </c>
      <c r="M27" s="55" t="s">
        <v>895</v>
      </c>
      <c r="N27" s="55"/>
      <c r="Q27" s="63" t="s">
        <v>896</v>
      </c>
      <c r="S27" s="63" t="s">
        <v>897</v>
      </c>
      <c r="T27" s="63" t="s">
        <v>898</v>
      </c>
      <c r="U27" s="62">
        <v>44951</v>
      </c>
      <c r="V27" s="86" t="s">
        <v>899</v>
      </c>
      <c r="W27" s="63" t="s">
        <v>325</v>
      </c>
      <c r="X27" s="93"/>
    </row>
    <row r="28" spans="1:24">
      <c r="A28" s="63">
        <f t="shared" si="0"/>
        <v>11</v>
      </c>
      <c r="B28" s="63" t="str">
        <f t="shared" ca="1" si="10"/>
        <v>Adulto</v>
      </c>
      <c r="C28" s="85" t="s">
        <v>900</v>
      </c>
      <c r="D28" s="55" t="s">
        <v>698</v>
      </c>
      <c r="E28" s="62">
        <v>29173</v>
      </c>
      <c r="F28" s="55">
        <f t="shared" ca="1" si="11"/>
        <v>46</v>
      </c>
      <c r="G28" s="62">
        <v>44854</v>
      </c>
      <c r="H28" s="62">
        <f t="shared" ca="1" si="2"/>
        <v>44874</v>
      </c>
      <c r="I28" s="92" t="str">
        <f t="shared" ca="1" si="3"/>
        <v>0 Anos e 0 meses</v>
      </c>
      <c r="J28" s="55" t="s">
        <v>901</v>
      </c>
      <c r="K28" s="55"/>
      <c r="L28" s="55" t="s">
        <v>902</v>
      </c>
      <c r="M28" s="55" t="s">
        <v>903</v>
      </c>
      <c r="N28" s="55" t="s">
        <v>904</v>
      </c>
      <c r="O28" s="63" t="s">
        <v>905</v>
      </c>
      <c r="P28" s="63" t="s">
        <v>906</v>
      </c>
      <c r="Q28" s="63" t="s">
        <v>706</v>
      </c>
      <c r="R28" s="63" t="s">
        <v>907</v>
      </c>
      <c r="T28" s="63"/>
      <c r="U28" s="62">
        <v>44874</v>
      </c>
      <c r="V28" s="86"/>
      <c r="W28" s="63" t="s">
        <v>908</v>
      </c>
      <c r="X28" s="93"/>
    </row>
    <row r="29" spans="1:24">
      <c r="A29" s="63" t="str">
        <f t="shared" si="0"/>
        <v/>
      </c>
      <c r="B29" s="63" t="s">
        <v>770</v>
      </c>
      <c r="C29" s="85" t="s">
        <v>909</v>
      </c>
      <c r="D29" s="55" t="s">
        <v>772</v>
      </c>
      <c r="E29" s="62"/>
      <c r="F29" s="55" t="str">
        <f t="shared" ca="1" si="11"/>
        <v/>
      </c>
      <c r="G29" s="97">
        <v>44865</v>
      </c>
      <c r="H29" s="62">
        <f t="shared" ca="1" si="2"/>
        <v>44865</v>
      </c>
      <c r="I29" s="92" t="str">
        <f t="shared" ca="1" si="3"/>
        <v>0 Anos e 0 meses</v>
      </c>
      <c r="J29" s="55" t="s">
        <v>910</v>
      </c>
      <c r="K29" s="55"/>
      <c r="L29" s="55"/>
      <c r="M29" s="55"/>
      <c r="N29" s="55"/>
      <c r="Q29" s="63" t="s">
        <v>816</v>
      </c>
      <c r="U29" s="97">
        <v>44865</v>
      </c>
      <c r="V29" s="86"/>
      <c r="W29" s="63" t="s">
        <v>325</v>
      </c>
      <c r="X29" s="93"/>
    </row>
    <row r="30" spans="1:24">
      <c r="A30" s="63">
        <f t="shared" si="0"/>
        <v>3</v>
      </c>
      <c r="B30" s="63" t="str">
        <f ca="1">IF(F30="","", IF(F30&lt;12,"Criança",IF(F30&lt;18,"Adolescente",IF(F30&lt;26,"Jovem",IF(F30&lt;60,"Adulto", "Idoso")))))</f>
        <v>Adulto</v>
      </c>
      <c r="C30" s="85" t="s">
        <v>911</v>
      </c>
      <c r="D30" s="55" t="s">
        <v>698</v>
      </c>
      <c r="E30" s="62">
        <v>32572</v>
      </c>
      <c r="F30" s="55">
        <f t="shared" ca="1" si="11"/>
        <v>36</v>
      </c>
      <c r="G30" s="62">
        <v>44874</v>
      </c>
      <c r="H30" s="62">
        <f t="shared" ca="1" si="2"/>
        <v>45427</v>
      </c>
      <c r="I30" s="92" t="str">
        <f t="shared" ca="1" si="3"/>
        <v>1 Anos e 6 meses</v>
      </c>
      <c r="J30" s="55" t="s">
        <v>912</v>
      </c>
      <c r="K30" s="55" t="s">
        <v>913</v>
      </c>
      <c r="L30" s="55" t="s">
        <v>914</v>
      </c>
      <c r="M30" s="55" t="s">
        <v>915</v>
      </c>
      <c r="N30" s="55" t="s">
        <v>916</v>
      </c>
      <c r="O30" s="63" t="s">
        <v>917</v>
      </c>
      <c r="P30" s="63" t="s">
        <v>918</v>
      </c>
      <c r="Q30" s="63" t="s">
        <v>706</v>
      </c>
      <c r="R30" s="63" t="s">
        <v>919</v>
      </c>
      <c r="S30" s="63" t="s">
        <v>920</v>
      </c>
      <c r="T30" s="63" t="s">
        <v>921</v>
      </c>
      <c r="U30" s="62">
        <v>45427</v>
      </c>
      <c r="V30" s="86"/>
      <c r="W30" s="63" t="s">
        <v>922</v>
      </c>
      <c r="X30" s="93"/>
    </row>
    <row r="31" spans="1:24">
      <c r="A31" s="63">
        <f t="shared" si="0"/>
        <v>5</v>
      </c>
      <c r="B31" s="63" t="s">
        <v>770</v>
      </c>
      <c r="C31" s="85" t="s">
        <v>923</v>
      </c>
      <c r="D31" s="55" t="s">
        <v>834</v>
      </c>
      <c r="E31" s="62">
        <v>38848</v>
      </c>
      <c r="F31" s="55">
        <f t="shared" ca="1" si="11"/>
        <v>19</v>
      </c>
      <c r="G31" s="62">
        <v>44874</v>
      </c>
      <c r="H31" s="62">
        <f t="shared" ca="1" si="2"/>
        <v>45030</v>
      </c>
      <c r="I31" s="92" t="str">
        <f t="shared" ca="1" si="3"/>
        <v>0 Anos e 5 meses</v>
      </c>
      <c r="J31" s="55"/>
      <c r="K31" s="55" t="s">
        <v>893</v>
      </c>
      <c r="L31" s="55" t="s">
        <v>924</v>
      </c>
      <c r="M31" s="55" t="s">
        <v>925</v>
      </c>
      <c r="N31" s="55"/>
      <c r="Q31" s="63" t="s">
        <v>706</v>
      </c>
      <c r="S31" s="63" t="s">
        <v>926</v>
      </c>
      <c r="U31" s="62">
        <v>45030</v>
      </c>
      <c r="V31" s="86" t="s">
        <v>927</v>
      </c>
      <c r="W31" s="63" t="s">
        <v>769</v>
      </c>
      <c r="X31" s="93"/>
    </row>
    <row r="32" spans="1:24">
      <c r="A32" s="63">
        <f t="shared" si="0"/>
        <v>2</v>
      </c>
      <c r="B32" s="63" t="str">
        <f ca="1">IF(F32="","", IF(F32&lt;12,"Criança",IF(F32&lt;18,"Adolescente",IF(F32&lt;26,"Jovem",IF(F32&lt;60,"Adulto", "Idoso")))))</f>
        <v>Adulto</v>
      </c>
      <c r="C32" s="85" t="s">
        <v>928</v>
      </c>
      <c r="D32" s="55" t="s">
        <v>772</v>
      </c>
      <c r="E32" s="62">
        <v>31835</v>
      </c>
      <c r="F32" s="55">
        <f t="shared" ca="1" si="11"/>
        <v>38</v>
      </c>
      <c r="G32" s="97">
        <v>44879</v>
      </c>
      <c r="H32" s="62">
        <f t="shared" ca="1" si="2"/>
        <v>44879</v>
      </c>
      <c r="I32" s="92" t="str">
        <f t="shared" ca="1" si="3"/>
        <v>0 Anos e 0 meses</v>
      </c>
      <c r="J32" s="55" t="s">
        <v>929</v>
      </c>
      <c r="K32" s="55"/>
      <c r="L32" s="55"/>
      <c r="M32" s="55"/>
      <c r="N32" s="55"/>
      <c r="U32" s="97">
        <v>44879</v>
      </c>
      <c r="V32" s="86"/>
      <c r="W32" s="63" t="s">
        <v>325</v>
      </c>
      <c r="X32" s="93"/>
    </row>
    <row r="33" spans="1:24">
      <c r="B33" s="63" t="s">
        <v>930</v>
      </c>
      <c r="C33" s="85" t="s">
        <v>931</v>
      </c>
      <c r="D33" s="55" t="s">
        <v>698</v>
      </c>
      <c r="E33" s="62"/>
      <c r="F33" s="55">
        <v>9</v>
      </c>
      <c r="G33" s="97">
        <v>44879</v>
      </c>
      <c r="H33" s="62">
        <f t="shared" ca="1" si="2"/>
        <v>44890</v>
      </c>
      <c r="I33" s="92" t="str">
        <f t="shared" ca="1" si="3"/>
        <v>0 Anos e 0 meses</v>
      </c>
      <c r="J33" s="55"/>
      <c r="K33" s="55" t="s">
        <v>893</v>
      </c>
      <c r="L33" s="55" t="s">
        <v>932</v>
      </c>
      <c r="M33" s="55" t="s">
        <v>933</v>
      </c>
      <c r="N33" s="55"/>
      <c r="Q33" s="63" t="s">
        <v>706</v>
      </c>
      <c r="T33" s="63" t="s">
        <v>934</v>
      </c>
      <c r="U33" s="97">
        <v>44890</v>
      </c>
      <c r="V33" s="86"/>
      <c r="W33" s="63" t="s">
        <v>325</v>
      </c>
      <c r="X33" s="93"/>
    </row>
    <row r="34" spans="1:24">
      <c r="A34" s="63">
        <f t="shared" ref="A34:A221" si="12">IF(E34&lt;&gt;0, MONTH(E34),"")</f>
        <v>2</v>
      </c>
      <c r="B34" s="63" t="str">
        <f ca="1">IF(F34="","", IF(F34&lt;12,"Criança",IF(F34&lt;18,"Adolescente",IF(F34&lt;26,"Jovem",IF(F34&lt;60,"Adulto", "Idoso")))))</f>
        <v>Adulto</v>
      </c>
      <c r="C34" s="85" t="s">
        <v>935</v>
      </c>
      <c r="D34" s="55" t="s">
        <v>698</v>
      </c>
      <c r="E34" s="62">
        <v>32190</v>
      </c>
      <c r="F34" s="55">
        <f t="shared" ref="F34:F35" ca="1" si="13">IF(E34&gt;0, DATEDIF(E34,TODAY(),"Y"),"")</f>
        <v>37</v>
      </c>
      <c r="G34" s="97">
        <v>44882</v>
      </c>
      <c r="H34" s="62">
        <f t="shared" ca="1" si="2"/>
        <v>45308</v>
      </c>
      <c r="I34" s="92" t="str">
        <f t="shared" ca="1" si="3"/>
        <v>1 Anos e 2 meses</v>
      </c>
      <c r="J34" s="55" t="s">
        <v>936</v>
      </c>
      <c r="K34" s="55" t="s">
        <v>937</v>
      </c>
      <c r="L34" s="55" t="s">
        <v>938</v>
      </c>
      <c r="M34" s="55" t="s">
        <v>864</v>
      </c>
      <c r="N34" s="55" t="s">
        <v>939</v>
      </c>
      <c r="O34" s="63" t="s">
        <v>940</v>
      </c>
      <c r="P34" s="63" t="s">
        <v>941</v>
      </c>
      <c r="Q34" s="63" t="s">
        <v>706</v>
      </c>
      <c r="R34" s="63" t="s">
        <v>942</v>
      </c>
      <c r="U34" s="62">
        <v>45308</v>
      </c>
      <c r="V34" s="86" t="s">
        <v>943</v>
      </c>
      <c r="W34" s="63" t="s">
        <v>944</v>
      </c>
      <c r="X34" s="93"/>
    </row>
    <row r="35" spans="1:24">
      <c r="A35" s="63" t="str">
        <f t="shared" si="12"/>
        <v/>
      </c>
      <c r="B35" s="63" t="s">
        <v>770</v>
      </c>
      <c r="C35" s="85" t="s">
        <v>945</v>
      </c>
      <c r="D35" s="55" t="s">
        <v>772</v>
      </c>
      <c r="E35" s="62"/>
      <c r="F35" s="55" t="str">
        <f t="shared" ca="1" si="13"/>
        <v/>
      </c>
      <c r="G35" s="97">
        <v>44882</v>
      </c>
      <c r="H35" s="62">
        <f t="shared" ca="1" si="2"/>
        <v>44882</v>
      </c>
      <c r="I35" s="92" t="str">
        <f t="shared" ca="1" si="3"/>
        <v>0 Anos e 0 meses</v>
      </c>
      <c r="J35" s="55"/>
      <c r="K35" s="55"/>
      <c r="L35" s="55"/>
      <c r="M35" s="55"/>
      <c r="N35" s="55"/>
      <c r="U35" s="97">
        <v>44882</v>
      </c>
      <c r="V35" s="86"/>
      <c r="W35" s="63" t="s">
        <v>946</v>
      </c>
      <c r="X35" s="93"/>
    </row>
    <row r="36" spans="1:24">
      <c r="A36" s="63" t="str">
        <f t="shared" si="12"/>
        <v/>
      </c>
      <c r="B36" s="63" t="s">
        <v>947</v>
      </c>
      <c r="C36" s="85" t="s">
        <v>948</v>
      </c>
      <c r="D36" s="55" t="s">
        <v>772</v>
      </c>
      <c r="E36" s="62"/>
      <c r="F36" s="55">
        <v>62</v>
      </c>
      <c r="G36" s="97">
        <v>44888</v>
      </c>
      <c r="H36" s="62">
        <f t="shared" ca="1" si="2"/>
        <v>44890</v>
      </c>
      <c r="I36" s="92" t="str">
        <f t="shared" ca="1" si="3"/>
        <v>0 Anos e 0 meses</v>
      </c>
      <c r="J36" s="55"/>
      <c r="K36" s="55" t="s">
        <v>949</v>
      </c>
      <c r="L36" s="55" t="s">
        <v>932</v>
      </c>
      <c r="M36" s="55" t="s">
        <v>950</v>
      </c>
      <c r="N36" s="55"/>
      <c r="Q36" s="63" t="s">
        <v>706</v>
      </c>
      <c r="U36" s="97">
        <v>44890</v>
      </c>
      <c r="V36" s="86"/>
      <c r="W36" s="63" t="s">
        <v>325</v>
      </c>
      <c r="X36" s="93"/>
    </row>
    <row r="37" spans="1:24">
      <c r="A37" s="63">
        <f t="shared" si="12"/>
        <v>5</v>
      </c>
      <c r="B37" s="63" t="str">
        <f t="shared" ref="B37:B41" ca="1" si="14">IF(F37="","", IF(F37&lt;12,"Criança",IF(F37&lt;18,"Adolescente",IF(F37&lt;26,"Jovem",IF(F37&lt;60,"Adulto", "Idoso")))))</f>
        <v>Adulto</v>
      </c>
      <c r="C37" s="85" t="s">
        <v>951</v>
      </c>
      <c r="D37" s="55" t="s">
        <v>698</v>
      </c>
      <c r="E37" s="62">
        <v>30817</v>
      </c>
      <c r="F37" s="55">
        <f t="shared" ref="F37:F140" ca="1" si="15">IF(E37&gt;0, DATEDIF(E37,TODAY(),"Y"),"")</f>
        <v>41</v>
      </c>
      <c r="G37" s="97">
        <v>44888</v>
      </c>
      <c r="H37" s="62">
        <f t="shared" ca="1" si="2"/>
        <v>44952</v>
      </c>
      <c r="I37" s="92" t="str">
        <f t="shared" ca="1" si="3"/>
        <v>0 Anos e 2 meses</v>
      </c>
      <c r="J37" s="55" t="s">
        <v>952</v>
      </c>
      <c r="K37" s="55" t="s">
        <v>953</v>
      </c>
      <c r="L37" s="55"/>
      <c r="M37" s="55"/>
      <c r="N37" s="55"/>
      <c r="Q37" s="63" t="s">
        <v>706</v>
      </c>
      <c r="U37" s="62">
        <v>44952</v>
      </c>
      <c r="V37" s="86"/>
      <c r="W37" s="63" t="s">
        <v>325</v>
      </c>
      <c r="X37" s="93"/>
    </row>
    <row r="38" spans="1:24">
      <c r="A38" s="63">
        <f t="shared" si="12"/>
        <v>3</v>
      </c>
      <c r="B38" s="63" t="str">
        <f t="shared" ca="1" si="14"/>
        <v>Idoso</v>
      </c>
      <c r="C38" s="85" t="s">
        <v>954</v>
      </c>
      <c r="D38" s="55" t="s">
        <v>772</v>
      </c>
      <c r="E38" s="62">
        <v>23466</v>
      </c>
      <c r="F38" s="55">
        <f t="shared" ca="1" si="15"/>
        <v>61</v>
      </c>
      <c r="G38" s="97">
        <v>44895</v>
      </c>
      <c r="H38" s="62">
        <f t="shared" ca="1" si="2"/>
        <v>44895</v>
      </c>
      <c r="I38" s="92" t="str">
        <f t="shared" ca="1" si="3"/>
        <v>0 Anos e 0 meses</v>
      </c>
      <c r="J38" s="55" t="s">
        <v>955</v>
      </c>
      <c r="K38" s="55"/>
      <c r="L38" s="55" t="s">
        <v>956</v>
      </c>
      <c r="M38" s="55" t="s">
        <v>957</v>
      </c>
      <c r="N38" s="55"/>
      <c r="Q38" s="63" t="s">
        <v>706</v>
      </c>
      <c r="U38" s="97">
        <v>44895</v>
      </c>
      <c r="V38" s="86"/>
      <c r="W38" s="63" t="s">
        <v>958</v>
      </c>
      <c r="X38" s="93"/>
    </row>
    <row r="39" spans="1:24">
      <c r="A39" s="63">
        <f t="shared" si="12"/>
        <v>6</v>
      </c>
      <c r="B39" s="63" t="str">
        <f t="shared" ca="1" si="14"/>
        <v>Adulto</v>
      </c>
      <c r="C39" s="85" t="s">
        <v>959</v>
      </c>
      <c r="D39" s="55" t="s">
        <v>772</v>
      </c>
      <c r="E39" s="62">
        <v>34854</v>
      </c>
      <c r="F39" s="55">
        <f t="shared" ca="1" si="15"/>
        <v>30</v>
      </c>
      <c r="G39" s="62">
        <v>44903</v>
      </c>
      <c r="H39" s="62">
        <f t="shared" ca="1" si="2"/>
        <v>44903</v>
      </c>
      <c r="I39" s="92" t="str">
        <f t="shared" ca="1" si="3"/>
        <v>0 Anos e 0 meses</v>
      </c>
      <c r="J39" s="55" t="s">
        <v>960</v>
      </c>
      <c r="K39" s="55"/>
      <c r="L39" s="55"/>
      <c r="M39" s="55"/>
      <c r="N39" s="55"/>
      <c r="U39" s="62">
        <v>44903</v>
      </c>
      <c r="V39" s="86"/>
      <c r="W39" s="63" t="s">
        <v>325</v>
      </c>
      <c r="X39" s="93"/>
    </row>
    <row r="40" spans="1:24">
      <c r="A40" s="63">
        <f t="shared" si="12"/>
        <v>9</v>
      </c>
      <c r="B40" s="63" t="str">
        <f t="shared" ca="1" si="14"/>
        <v>Adulto</v>
      </c>
      <c r="C40" s="85" t="s">
        <v>961</v>
      </c>
      <c r="D40" s="55" t="s">
        <v>698</v>
      </c>
      <c r="E40" s="62">
        <v>33131</v>
      </c>
      <c r="F40" s="55">
        <f t="shared" ca="1" si="15"/>
        <v>35</v>
      </c>
      <c r="G40" s="62">
        <v>44903</v>
      </c>
      <c r="H40" s="62">
        <f t="shared" ca="1" si="2"/>
        <v>44993</v>
      </c>
      <c r="I40" s="92" t="str">
        <f t="shared" ca="1" si="3"/>
        <v>0 Anos e 3 meses</v>
      </c>
      <c r="J40" s="55" t="s">
        <v>962</v>
      </c>
      <c r="K40" s="55" t="s">
        <v>963</v>
      </c>
      <c r="L40" s="55"/>
      <c r="M40" s="55"/>
      <c r="N40" s="55"/>
      <c r="Q40" s="63" t="s">
        <v>896</v>
      </c>
      <c r="U40" s="62">
        <v>44993</v>
      </c>
      <c r="V40" s="86"/>
      <c r="W40" s="63" t="s">
        <v>325</v>
      </c>
      <c r="X40" s="93"/>
    </row>
    <row r="41" spans="1:24">
      <c r="A41" s="63">
        <f t="shared" si="12"/>
        <v>12</v>
      </c>
      <c r="B41" s="63" t="str">
        <f t="shared" ca="1" si="14"/>
        <v>Adulto</v>
      </c>
      <c r="C41" s="85" t="s">
        <v>964</v>
      </c>
      <c r="D41" s="55" t="s">
        <v>772</v>
      </c>
      <c r="E41" s="62">
        <v>27383</v>
      </c>
      <c r="F41" s="55">
        <f t="shared" ca="1" si="15"/>
        <v>51</v>
      </c>
      <c r="G41" s="62">
        <v>44904</v>
      </c>
      <c r="H41" s="62">
        <f t="shared" ca="1" si="2"/>
        <v>44904</v>
      </c>
      <c r="I41" s="92" t="str">
        <f t="shared" ca="1" si="3"/>
        <v>0 Anos e 0 meses</v>
      </c>
      <c r="J41" s="55" t="s">
        <v>965</v>
      </c>
      <c r="K41" s="55"/>
      <c r="L41" s="55"/>
      <c r="M41" s="55"/>
      <c r="N41" s="55"/>
      <c r="U41" s="62">
        <v>44904</v>
      </c>
      <c r="V41" s="86"/>
      <c r="W41" s="63" t="s">
        <v>922</v>
      </c>
      <c r="X41" s="93"/>
    </row>
    <row r="42" spans="1:24">
      <c r="A42" s="63" t="str">
        <f t="shared" si="12"/>
        <v/>
      </c>
      <c r="B42" s="63" t="s">
        <v>770</v>
      </c>
      <c r="C42" s="85" t="s">
        <v>966</v>
      </c>
      <c r="D42" s="55" t="s">
        <v>698</v>
      </c>
      <c r="E42" s="62"/>
      <c r="F42" s="55" t="str">
        <f t="shared" ca="1" si="15"/>
        <v/>
      </c>
      <c r="G42" s="97">
        <v>44907</v>
      </c>
      <c r="H42" s="62">
        <f t="shared" ca="1" si="2"/>
        <v>45091</v>
      </c>
      <c r="I42" s="92" t="str">
        <f t="shared" ca="1" si="3"/>
        <v>0 Anos e 6 meses</v>
      </c>
      <c r="J42" s="55" t="s">
        <v>967</v>
      </c>
      <c r="K42" s="55"/>
      <c r="L42" s="55"/>
      <c r="M42" s="55"/>
      <c r="N42" s="55" t="s">
        <v>968</v>
      </c>
      <c r="O42" s="63" t="s">
        <v>969</v>
      </c>
      <c r="P42" s="63" t="s">
        <v>970</v>
      </c>
      <c r="Q42" s="63" t="s">
        <v>971</v>
      </c>
      <c r="R42" s="63" t="s">
        <v>972</v>
      </c>
      <c r="U42" s="62">
        <v>45091</v>
      </c>
      <c r="V42" s="86"/>
      <c r="W42" s="63" t="s">
        <v>735</v>
      </c>
      <c r="X42" s="93" t="s">
        <v>736</v>
      </c>
    </row>
    <row r="43" spans="1:24">
      <c r="A43" s="63">
        <f t="shared" si="12"/>
        <v>10</v>
      </c>
      <c r="B43" s="63" t="str">
        <f t="shared" ref="B43:B46" ca="1" si="16">IF(F43="","", IF(F43&lt;12,"Criança",IF(F43&lt;18,"Adolescente",IF(F43&lt;26,"Jovem",IF(F43&lt;60,"Adulto", "Idoso")))))</f>
        <v>Adolescente</v>
      </c>
      <c r="C43" s="85" t="s">
        <v>973</v>
      </c>
      <c r="D43" s="55" t="s">
        <v>834</v>
      </c>
      <c r="E43" s="62">
        <v>41208</v>
      </c>
      <c r="F43" s="55">
        <f t="shared" ca="1" si="15"/>
        <v>13</v>
      </c>
      <c r="G43" s="62">
        <v>44958</v>
      </c>
      <c r="H43" s="62">
        <f t="shared" ca="1" si="2"/>
        <v>45021</v>
      </c>
      <c r="I43" s="92" t="str">
        <f t="shared" ca="1" si="3"/>
        <v>0 Anos e 2 meses</v>
      </c>
      <c r="J43" s="55"/>
      <c r="K43" s="55" t="s">
        <v>893</v>
      </c>
      <c r="L43" s="55" t="s">
        <v>974</v>
      </c>
      <c r="M43" s="55" t="s">
        <v>975</v>
      </c>
      <c r="N43" s="55" t="s">
        <v>976</v>
      </c>
      <c r="O43" s="63" t="s">
        <v>977</v>
      </c>
      <c r="P43" s="63" t="s">
        <v>978</v>
      </c>
      <c r="Q43" s="63" t="s">
        <v>979</v>
      </c>
      <c r="R43" s="63" t="s">
        <v>980</v>
      </c>
      <c r="S43" s="63" t="s">
        <v>981</v>
      </c>
      <c r="T43" s="63" t="s">
        <v>982</v>
      </c>
      <c r="U43" s="62">
        <v>45021</v>
      </c>
      <c r="V43" s="86" t="s">
        <v>983</v>
      </c>
      <c r="W43" s="63" t="s">
        <v>325</v>
      </c>
      <c r="X43" s="93"/>
    </row>
    <row r="44" spans="1:24">
      <c r="A44" s="63">
        <f t="shared" si="12"/>
        <v>5</v>
      </c>
      <c r="B44" s="63" t="str">
        <f t="shared" ca="1" si="16"/>
        <v>Adulto</v>
      </c>
      <c r="C44" s="85" t="s">
        <v>984</v>
      </c>
      <c r="D44" s="55" t="s">
        <v>772</v>
      </c>
      <c r="E44" s="62">
        <v>33740</v>
      </c>
      <c r="F44" s="55">
        <f t="shared" ca="1" si="15"/>
        <v>33</v>
      </c>
      <c r="G44" s="62">
        <v>44958</v>
      </c>
      <c r="H44" s="62">
        <f t="shared" ca="1" si="2"/>
        <v>44958</v>
      </c>
      <c r="I44" s="92" t="str">
        <f t="shared" ca="1" si="3"/>
        <v>0 Anos e 0 meses</v>
      </c>
      <c r="J44" s="55" t="s">
        <v>985</v>
      </c>
      <c r="K44" s="55" t="s">
        <v>843</v>
      </c>
      <c r="L44" s="55"/>
      <c r="M44" s="55"/>
      <c r="N44" s="55" t="s">
        <v>986</v>
      </c>
      <c r="Q44" s="63" t="s">
        <v>987</v>
      </c>
      <c r="T44" s="63" t="s">
        <v>988</v>
      </c>
      <c r="U44" s="62">
        <v>44958</v>
      </c>
      <c r="V44" s="86" t="s">
        <v>989</v>
      </c>
      <c r="W44" s="63" t="s">
        <v>325</v>
      </c>
      <c r="X44" s="93"/>
    </row>
    <row r="45" spans="1:24">
      <c r="A45" s="63">
        <f t="shared" si="12"/>
        <v>9</v>
      </c>
      <c r="B45" s="63" t="str">
        <f t="shared" ca="1" si="16"/>
        <v>Adolescente</v>
      </c>
      <c r="C45" s="85" t="s">
        <v>990</v>
      </c>
      <c r="D45" s="55" t="s">
        <v>698</v>
      </c>
      <c r="E45" s="62">
        <v>39721</v>
      </c>
      <c r="F45" s="55">
        <f t="shared" ca="1" si="15"/>
        <v>17</v>
      </c>
      <c r="G45" s="62">
        <v>44965</v>
      </c>
      <c r="H45" s="62">
        <f t="shared" ca="1" si="2"/>
        <v>45055</v>
      </c>
      <c r="I45" s="92" t="str">
        <f t="shared" ca="1" si="3"/>
        <v>0 Anos e 3 meses</v>
      </c>
      <c r="J45" s="55"/>
      <c r="K45" s="55" t="s">
        <v>893</v>
      </c>
      <c r="L45" s="55" t="s">
        <v>844</v>
      </c>
      <c r="M45" s="55" t="s">
        <v>845</v>
      </c>
      <c r="N45" s="55"/>
      <c r="O45" s="63" t="s">
        <v>991</v>
      </c>
      <c r="P45" s="63" t="s">
        <v>765</v>
      </c>
      <c r="Q45" s="63" t="s">
        <v>706</v>
      </c>
      <c r="R45" s="63" t="s">
        <v>992</v>
      </c>
      <c r="S45" s="63" t="s">
        <v>848</v>
      </c>
      <c r="T45" s="63" t="s">
        <v>849</v>
      </c>
      <c r="U45" s="62">
        <v>45055</v>
      </c>
      <c r="V45" s="86"/>
      <c r="W45" s="63" t="s">
        <v>993</v>
      </c>
      <c r="X45" s="93"/>
    </row>
    <row r="46" spans="1:24">
      <c r="A46" s="63">
        <f t="shared" si="12"/>
        <v>4</v>
      </c>
      <c r="B46" s="63" t="str">
        <f t="shared" ca="1" si="16"/>
        <v>Adulto</v>
      </c>
      <c r="C46" s="85" t="s">
        <v>994</v>
      </c>
      <c r="D46" s="55" t="s">
        <v>698</v>
      </c>
      <c r="E46" s="62">
        <v>34429</v>
      </c>
      <c r="F46" s="55">
        <f t="shared" ca="1" si="15"/>
        <v>31</v>
      </c>
      <c r="G46" s="62">
        <v>44960</v>
      </c>
      <c r="H46" s="62">
        <f t="shared" ca="1" si="2"/>
        <v>45027</v>
      </c>
      <c r="I46" s="92" t="str">
        <f t="shared" ca="1" si="3"/>
        <v>0 Anos e 2 meses</v>
      </c>
      <c r="J46" s="55" t="s">
        <v>995</v>
      </c>
      <c r="K46" s="55" t="s">
        <v>996</v>
      </c>
      <c r="L46" s="55"/>
      <c r="M46" s="55"/>
      <c r="N46" s="55"/>
      <c r="U46" s="62">
        <v>45027</v>
      </c>
      <c r="V46" s="86"/>
      <c r="W46" s="63" t="s">
        <v>325</v>
      </c>
      <c r="X46" s="93"/>
    </row>
    <row r="47" spans="1:24">
      <c r="A47" s="63" t="str">
        <f t="shared" si="12"/>
        <v/>
      </c>
      <c r="B47" s="63" t="s">
        <v>770</v>
      </c>
      <c r="C47" s="85" t="s">
        <v>934</v>
      </c>
      <c r="D47" s="55" t="s">
        <v>772</v>
      </c>
      <c r="E47" s="62"/>
      <c r="F47" s="55" t="str">
        <f t="shared" ca="1" si="15"/>
        <v/>
      </c>
      <c r="G47" s="62">
        <v>44994</v>
      </c>
      <c r="H47" s="62">
        <f t="shared" ca="1" si="2"/>
        <v>45015</v>
      </c>
      <c r="I47" s="92" t="str">
        <f t="shared" ca="1" si="3"/>
        <v>0 Anos e 0 meses</v>
      </c>
      <c r="J47" s="55" t="s">
        <v>932</v>
      </c>
      <c r="K47" s="55" t="s">
        <v>997</v>
      </c>
      <c r="L47" s="55"/>
      <c r="M47" s="55"/>
      <c r="N47" s="55"/>
      <c r="Q47" s="63" t="s">
        <v>706</v>
      </c>
      <c r="T47" s="63" t="s">
        <v>948</v>
      </c>
      <c r="U47" s="62">
        <v>45015</v>
      </c>
      <c r="V47" s="86"/>
      <c r="W47" s="63" t="s">
        <v>325</v>
      </c>
      <c r="X47" s="93"/>
    </row>
    <row r="48" spans="1:24">
      <c r="A48" s="63">
        <f t="shared" si="12"/>
        <v>6</v>
      </c>
      <c r="B48" s="63" t="str">
        <f ca="1">IF(F48="","", IF(F48&lt;12,"Criança",IF(F48&lt;18,"Adolescente",IF(F48&lt;26,"Jovem",IF(F48&lt;60,"Adulto", "Idoso")))))</f>
        <v>Criança</v>
      </c>
      <c r="C48" s="85" t="s">
        <v>998</v>
      </c>
      <c r="D48" s="55" t="s">
        <v>834</v>
      </c>
      <c r="E48" s="62">
        <v>41818</v>
      </c>
      <c r="F48" s="55">
        <f t="shared" ca="1" si="15"/>
        <v>11</v>
      </c>
      <c r="G48" s="62">
        <v>45000</v>
      </c>
      <c r="H48" s="62">
        <f t="shared" ca="1" si="2"/>
        <v>45111</v>
      </c>
      <c r="I48" s="92" t="str">
        <f t="shared" ca="1" si="3"/>
        <v>0 Anos e 3 meses</v>
      </c>
      <c r="J48" s="55"/>
      <c r="K48" s="55" t="s">
        <v>893</v>
      </c>
      <c r="L48" s="55" t="s">
        <v>999</v>
      </c>
      <c r="M48" s="55" t="s">
        <v>1000</v>
      </c>
      <c r="N48" s="55"/>
      <c r="O48" s="63" t="s">
        <v>1001</v>
      </c>
      <c r="P48" s="63" t="s">
        <v>906</v>
      </c>
      <c r="Q48" s="63" t="s">
        <v>706</v>
      </c>
      <c r="R48" s="63" t="s">
        <v>1002</v>
      </c>
      <c r="S48" s="63" t="s">
        <v>1003</v>
      </c>
      <c r="T48" s="63" t="s">
        <v>1004</v>
      </c>
      <c r="U48" s="62">
        <v>45111</v>
      </c>
      <c r="V48" s="86" t="s">
        <v>1005</v>
      </c>
      <c r="W48" s="63" t="s">
        <v>769</v>
      </c>
      <c r="X48" s="93"/>
    </row>
    <row r="49" spans="1:24">
      <c r="A49" s="63">
        <f t="shared" si="12"/>
        <v>8</v>
      </c>
      <c r="B49" s="63" t="s">
        <v>770</v>
      </c>
      <c r="C49" s="85" t="s">
        <v>1006</v>
      </c>
      <c r="D49" s="55" t="s">
        <v>698</v>
      </c>
      <c r="E49" s="62">
        <v>36376</v>
      </c>
      <c r="F49" s="55">
        <f t="shared" ca="1" si="15"/>
        <v>26</v>
      </c>
      <c r="G49" s="62">
        <v>45028</v>
      </c>
      <c r="H49" s="62">
        <f t="shared" ca="1" si="2"/>
        <v>45072</v>
      </c>
      <c r="I49" s="92" t="str">
        <f t="shared" ca="1" si="3"/>
        <v>0 Anos e 1 meses</v>
      </c>
      <c r="J49" s="55" t="s">
        <v>1007</v>
      </c>
      <c r="K49" s="55" t="s">
        <v>1008</v>
      </c>
      <c r="L49" s="55" t="s">
        <v>1009</v>
      </c>
      <c r="M49" s="55" t="s">
        <v>1010</v>
      </c>
      <c r="N49" s="55" t="s">
        <v>1011</v>
      </c>
      <c r="O49" s="63" t="s">
        <v>1012</v>
      </c>
      <c r="P49" s="63" t="s">
        <v>731</v>
      </c>
      <c r="Q49" s="63" t="s">
        <v>706</v>
      </c>
      <c r="R49" s="63" t="s">
        <v>1013</v>
      </c>
      <c r="U49" s="62">
        <v>45072</v>
      </c>
      <c r="V49" s="86"/>
      <c r="W49" s="63" t="s">
        <v>1014</v>
      </c>
      <c r="X49" s="93" t="s">
        <v>1015</v>
      </c>
    </row>
    <row r="50" spans="1:24">
      <c r="A50" s="63">
        <f t="shared" si="12"/>
        <v>4</v>
      </c>
      <c r="B50" s="63" t="str">
        <f t="shared" ref="B50:B54" ca="1" si="17">IF(F50="","", IF(F50&lt;12,"Criança",IF(F50&lt;18,"Adolescente",IF(F50&lt;26,"Jovem",IF(F50&lt;60,"Adulto", "Idoso")))))</f>
        <v>Adulto</v>
      </c>
      <c r="C50" s="85" t="s">
        <v>1016</v>
      </c>
      <c r="D50" s="55" t="s">
        <v>834</v>
      </c>
      <c r="E50" s="62">
        <v>33345</v>
      </c>
      <c r="F50" s="55">
        <f t="shared" ca="1" si="15"/>
        <v>34</v>
      </c>
      <c r="G50" s="62">
        <v>45042</v>
      </c>
      <c r="H50" s="62">
        <f t="shared" ca="1" si="2"/>
        <v>45137</v>
      </c>
      <c r="I50" s="92" t="str">
        <f t="shared" ca="1" si="3"/>
        <v>0 Anos e 3 meses</v>
      </c>
      <c r="J50" s="55" t="s">
        <v>1017</v>
      </c>
      <c r="K50" s="55" t="s">
        <v>843</v>
      </c>
      <c r="L50" s="55"/>
      <c r="M50" s="55"/>
      <c r="N50" s="55"/>
      <c r="Q50" s="63" t="s">
        <v>706</v>
      </c>
      <c r="U50" s="62">
        <v>45137</v>
      </c>
      <c r="V50" s="86"/>
      <c r="W50" s="63" t="s">
        <v>769</v>
      </c>
      <c r="X50" s="93" t="s">
        <v>1018</v>
      </c>
    </row>
    <row r="51" spans="1:24">
      <c r="A51" s="63">
        <f t="shared" si="12"/>
        <v>7</v>
      </c>
      <c r="B51" s="63" t="str">
        <f t="shared" ca="1" si="17"/>
        <v>Adulto</v>
      </c>
      <c r="C51" s="85" t="s">
        <v>1019</v>
      </c>
      <c r="D51" s="55" t="s">
        <v>834</v>
      </c>
      <c r="E51" s="62">
        <v>34897</v>
      </c>
      <c r="F51" s="55">
        <f t="shared" ca="1" si="15"/>
        <v>30</v>
      </c>
      <c r="G51" s="62">
        <v>45049</v>
      </c>
      <c r="H51" s="62">
        <f t="shared" ca="1" si="2"/>
        <v>45206</v>
      </c>
      <c r="I51" s="92" t="str">
        <f t="shared" ca="1" si="3"/>
        <v>0 Anos e 5 meses</v>
      </c>
      <c r="J51" s="55" t="s">
        <v>1020</v>
      </c>
      <c r="K51" s="55" t="s">
        <v>1021</v>
      </c>
      <c r="L51" s="55"/>
      <c r="M51" s="55"/>
      <c r="N51" s="55"/>
      <c r="Q51" s="63" t="s">
        <v>706</v>
      </c>
      <c r="U51" s="62">
        <v>45206</v>
      </c>
      <c r="V51" s="86" t="s">
        <v>1022</v>
      </c>
      <c r="W51" s="63" t="s">
        <v>1023</v>
      </c>
      <c r="X51" s="93" t="s">
        <v>736</v>
      </c>
    </row>
    <row r="52" spans="1:24">
      <c r="A52" s="63">
        <f t="shared" si="12"/>
        <v>9</v>
      </c>
      <c r="B52" s="63" t="str">
        <f t="shared" ca="1" si="17"/>
        <v>Jovem</v>
      </c>
      <c r="C52" s="85" t="s">
        <v>1024</v>
      </c>
      <c r="D52" s="55" t="s">
        <v>772</v>
      </c>
      <c r="E52" s="62">
        <v>37140</v>
      </c>
      <c r="F52" s="55">
        <f t="shared" ca="1" si="15"/>
        <v>24</v>
      </c>
      <c r="G52" s="62">
        <v>45076</v>
      </c>
      <c r="H52" s="62">
        <f t="shared" ca="1" si="2"/>
        <v>45076</v>
      </c>
      <c r="I52" s="92" t="str">
        <f t="shared" ca="1" si="3"/>
        <v>0 Anos e 0 meses</v>
      </c>
      <c r="J52" s="55" t="s">
        <v>1025</v>
      </c>
      <c r="K52" s="55" t="s">
        <v>1026</v>
      </c>
      <c r="L52" s="55"/>
      <c r="M52" s="55"/>
      <c r="N52" s="55"/>
      <c r="Q52" s="63" t="s">
        <v>706</v>
      </c>
      <c r="U52" s="62">
        <v>45076</v>
      </c>
      <c r="V52" s="86"/>
      <c r="W52" s="63" t="s">
        <v>325</v>
      </c>
      <c r="X52" s="93"/>
    </row>
    <row r="53" spans="1:24">
      <c r="A53" s="63">
        <f t="shared" si="12"/>
        <v>4</v>
      </c>
      <c r="B53" s="63" t="str">
        <f t="shared" ca="1" si="17"/>
        <v>Adulto</v>
      </c>
      <c r="C53" s="85" t="s">
        <v>1027</v>
      </c>
      <c r="D53" s="55" t="s">
        <v>698</v>
      </c>
      <c r="E53" s="62">
        <v>31505</v>
      </c>
      <c r="F53" s="55">
        <f t="shared" ca="1" si="15"/>
        <v>39</v>
      </c>
      <c r="G53" s="62">
        <v>45084</v>
      </c>
      <c r="H53" s="62">
        <f t="shared" ca="1" si="2"/>
        <v>45335</v>
      </c>
      <c r="I53" s="92" t="str">
        <f t="shared" ca="1" si="3"/>
        <v>0 Anos e 8 meses</v>
      </c>
      <c r="J53" s="55" t="s">
        <v>1028</v>
      </c>
      <c r="K53" s="55" t="s">
        <v>1029</v>
      </c>
      <c r="L53" s="55"/>
      <c r="M53" s="55"/>
      <c r="N53" s="55"/>
      <c r="P53" s="63" t="s">
        <v>1030</v>
      </c>
      <c r="Q53" s="63" t="s">
        <v>706</v>
      </c>
      <c r="U53" s="62">
        <v>45335</v>
      </c>
      <c r="V53" s="86"/>
      <c r="W53" s="63" t="s">
        <v>769</v>
      </c>
      <c r="X53" s="93"/>
    </row>
    <row r="54" spans="1:24">
      <c r="A54" s="63">
        <f t="shared" si="12"/>
        <v>12</v>
      </c>
      <c r="B54" s="63" t="str">
        <f t="shared" ca="1" si="17"/>
        <v>Adulto</v>
      </c>
      <c r="C54" s="85" t="s">
        <v>1031</v>
      </c>
      <c r="D54" s="55" t="s">
        <v>834</v>
      </c>
      <c r="E54" s="62">
        <v>32124</v>
      </c>
      <c r="F54" s="55">
        <f t="shared" ca="1" si="15"/>
        <v>38</v>
      </c>
      <c r="G54" s="62">
        <v>45086</v>
      </c>
      <c r="H54" s="62">
        <f t="shared" ca="1" si="2"/>
        <v>45181</v>
      </c>
      <c r="I54" s="92" t="str">
        <f t="shared" ca="1" si="3"/>
        <v>0 Anos e 3 meses</v>
      </c>
      <c r="J54" s="55" t="s">
        <v>1032</v>
      </c>
      <c r="K54" s="55" t="s">
        <v>1033</v>
      </c>
      <c r="L54" s="55" t="s">
        <v>1034</v>
      </c>
      <c r="M54" s="55" t="s">
        <v>1035</v>
      </c>
      <c r="N54" s="55"/>
      <c r="Q54" s="63" t="s">
        <v>706</v>
      </c>
      <c r="U54" s="62">
        <v>45181</v>
      </c>
      <c r="V54" s="86" t="s">
        <v>1036</v>
      </c>
      <c r="W54" s="63" t="s">
        <v>332</v>
      </c>
      <c r="X54" s="93"/>
    </row>
    <row r="55" spans="1:24">
      <c r="A55" s="63" t="str">
        <f t="shared" si="12"/>
        <v/>
      </c>
      <c r="B55" s="63" t="s">
        <v>947</v>
      </c>
      <c r="C55" s="85" t="s">
        <v>1037</v>
      </c>
      <c r="D55" s="55" t="s">
        <v>772</v>
      </c>
      <c r="E55" s="62"/>
      <c r="F55" s="55" t="str">
        <f t="shared" ca="1" si="15"/>
        <v/>
      </c>
      <c r="G55" s="62">
        <v>45104</v>
      </c>
      <c r="H55" s="62">
        <f t="shared" ca="1" si="2"/>
        <v>45118</v>
      </c>
      <c r="I55" s="92" t="str">
        <f t="shared" ca="1" si="3"/>
        <v>0 Anos e 0 meses</v>
      </c>
      <c r="J55" s="55" t="s">
        <v>1038</v>
      </c>
      <c r="K55" s="55"/>
      <c r="L55" s="55"/>
      <c r="M55" s="55"/>
      <c r="N55" s="55"/>
      <c r="Q55" s="63" t="s">
        <v>706</v>
      </c>
      <c r="U55" s="62">
        <v>45118</v>
      </c>
      <c r="V55" s="86"/>
      <c r="W55" s="63" t="s">
        <v>325</v>
      </c>
      <c r="X55" s="93"/>
    </row>
    <row r="56" spans="1:24">
      <c r="A56" s="63">
        <f t="shared" si="12"/>
        <v>12</v>
      </c>
      <c r="B56" s="63" t="s">
        <v>770</v>
      </c>
      <c r="C56" s="85" t="s">
        <v>1039</v>
      </c>
      <c r="D56" s="55" t="s">
        <v>772</v>
      </c>
      <c r="E56" s="62">
        <v>27735</v>
      </c>
      <c r="F56" s="55">
        <f t="shared" ca="1" si="15"/>
        <v>50</v>
      </c>
      <c r="G56" s="62">
        <v>45112</v>
      </c>
      <c r="H56" s="62">
        <f t="shared" ca="1" si="2"/>
        <v>45112</v>
      </c>
      <c r="I56" s="92" t="str">
        <f t="shared" ca="1" si="3"/>
        <v>0 Anos e 0 meses</v>
      </c>
      <c r="J56" s="55" t="s">
        <v>1040</v>
      </c>
      <c r="K56" s="55"/>
      <c r="L56" s="55"/>
      <c r="M56" s="55"/>
      <c r="N56" s="55"/>
      <c r="Q56" s="63" t="s">
        <v>706</v>
      </c>
      <c r="U56" s="62">
        <v>45112</v>
      </c>
      <c r="V56" s="86"/>
      <c r="W56" s="63" t="s">
        <v>1041</v>
      </c>
      <c r="X56" s="93"/>
    </row>
    <row r="57" spans="1:24">
      <c r="A57" s="63" t="str">
        <f t="shared" si="12"/>
        <v/>
      </c>
      <c r="B57" s="63" t="s">
        <v>770</v>
      </c>
      <c r="C57" s="85" t="s">
        <v>119</v>
      </c>
      <c r="D57" s="55" t="s">
        <v>772</v>
      </c>
      <c r="E57" s="62"/>
      <c r="F57" s="55" t="str">
        <f t="shared" ca="1" si="15"/>
        <v/>
      </c>
      <c r="G57" s="62">
        <v>45115</v>
      </c>
      <c r="H57" s="62">
        <f t="shared" ca="1" si="2"/>
        <v>45115</v>
      </c>
      <c r="I57" s="92" t="str">
        <f t="shared" ca="1" si="3"/>
        <v>0 Anos e 0 meses</v>
      </c>
      <c r="J57" s="55" t="s">
        <v>1042</v>
      </c>
      <c r="K57" s="55"/>
      <c r="L57" s="55"/>
      <c r="M57" s="55"/>
      <c r="N57" s="55" t="s">
        <v>1043</v>
      </c>
      <c r="Q57" s="63" t="s">
        <v>706</v>
      </c>
      <c r="U57" s="62">
        <v>45115</v>
      </c>
      <c r="V57" s="86"/>
      <c r="W57" s="63" t="s">
        <v>325</v>
      </c>
      <c r="X57" s="93" t="s">
        <v>1044</v>
      </c>
    </row>
    <row r="58" spans="1:24">
      <c r="A58" s="63">
        <f t="shared" si="12"/>
        <v>10</v>
      </c>
      <c r="B58" s="63" t="str">
        <f ca="1">IF(F58="","", IF(F58&lt;12,"Criança",IF(F58&lt;18,"Adolescente",IF(F58&lt;26,"Jovem",IF(F58&lt;60,"Adulto", "Idoso")))))</f>
        <v>Jovem</v>
      </c>
      <c r="C58" s="85" t="s">
        <v>1045</v>
      </c>
      <c r="D58" s="55" t="s">
        <v>698</v>
      </c>
      <c r="E58" s="62">
        <v>37190</v>
      </c>
      <c r="F58" s="55">
        <f t="shared" ca="1" si="15"/>
        <v>24</v>
      </c>
      <c r="G58" s="62">
        <v>45121</v>
      </c>
      <c r="H58" s="62">
        <f t="shared" ca="1" si="2"/>
        <v>45370</v>
      </c>
      <c r="I58" s="92" t="str">
        <f t="shared" ca="1" si="3"/>
        <v>0 Anos e 8 meses</v>
      </c>
      <c r="J58" s="55" t="s">
        <v>1046</v>
      </c>
      <c r="K58" s="55" t="s">
        <v>1047</v>
      </c>
      <c r="L58" s="55"/>
      <c r="M58" s="55"/>
      <c r="N58" s="55"/>
      <c r="O58" s="63" t="s">
        <v>1048</v>
      </c>
      <c r="P58" s="63" t="s">
        <v>1049</v>
      </c>
      <c r="Q58" s="63" t="s">
        <v>896</v>
      </c>
      <c r="R58" s="63" t="s">
        <v>1050</v>
      </c>
      <c r="U58" s="62">
        <v>45370</v>
      </c>
      <c r="V58" s="86" t="s">
        <v>1051</v>
      </c>
      <c r="W58" s="63" t="s">
        <v>944</v>
      </c>
      <c r="X58" s="93" t="s">
        <v>1052</v>
      </c>
    </row>
    <row r="59" spans="1:24">
      <c r="A59" s="63" t="str">
        <f t="shared" si="12"/>
        <v/>
      </c>
      <c r="B59" s="63" t="s">
        <v>770</v>
      </c>
      <c r="C59" s="85" t="s">
        <v>1053</v>
      </c>
      <c r="D59" s="55" t="s">
        <v>698</v>
      </c>
      <c r="E59" s="62"/>
      <c r="F59" s="55" t="str">
        <f t="shared" ca="1" si="15"/>
        <v/>
      </c>
      <c r="G59" s="62">
        <v>45141</v>
      </c>
      <c r="H59" s="62">
        <f t="shared" ca="1" si="2"/>
        <v>45175</v>
      </c>
      <c r="I59" s="92" t="str">
        <f t="shared" ca="1" si="3"/>
        <v>0 Anos e 1 meses</v>
      </c>
      <c r="J59" s="55" t="s">
        <v>1054</v>
      </c>
      <c r="K59" s="55" t="s">
        <v>1055</v>
      </c>
      <c r="L59" s="55"/>
      <c r="M59" s="55"/>
      <c r="N59" s="55" t="s">
        <v>1056</v>
      </c>
      <c r="Q59" s="63" t="s">
        <v>1057</v>
      </c>
      <c r="U59" s="62">
        <v>45175</v>
      </c>
      <c r="V59" s="86"/>
      <c r="W59" s="63" t="s">
        <v>1058</v>
      </c>
      <c r="X59" s="93"/>
    </row>
    <row r="60" spans="1:24">
      <c r="A60" s="63">
        <f t="shared" si="12"/>
        <v>6</v>
      </c>
      <c r="B60" s="63" t="str">
        <f ca="1">IF(F60="","", IF(F60&lt;12,"Criança",IF(F60&lt;18,"Adolescente",IF(F60&lt;26,"Jovem",IF(F60&lt;60,"Adulto", "Idoso")))))</f>
        <v>Adolescente</v>
      </c>
      <c r="C60" s="85" t="s">
        <v>1059</v>
      </c>
      <c r="D60" s="55" t="s">
        <v>834</v>
      </c>
      <c r="E60" s="62">
        <v>41065</v>
      </c>
      <c r="F60" s="55">
        <f t="shared" ca="1" si="15"/>
        <v>13</v>
      </c>
      <c r="G60" s="62">
        <v>45169</v>
      </c>
      <c r="H60" s="62">
        <f t="shared" ca="1" si="2"/>
        <v>45270</v>
      </c>
      <c r="I60" s="92" t="str">
        <f t="shared" ca="1" si="3"/>
        <v>0 Anos e 3 meses</v>
      </c>
      <c r="J60" s="55"/>
      <c r="K60" s="55" t="s">
        <v>700</v>
      </c>
      <c r="L60" s="55" t="s">
        <v>1060</v>
      </c>
      <c r="M60" s="55" t="s">
        <v>1061</v>
      </c>
      <c r="N60" s="55"/>
      <c r="Q60" s="63" t="s">
        <v>1062</v>
      </c>
      <c r="S60" s="63" t="s">
        <v>1063</v>
      </c>
      <c r="T60" s="63" t="s">
        <v>1064</v>
      </c>
      <c r="U60" s="97">
        <v>45270</v>
      </c>
      <c r="V60" s="86" t="s">
        <v>1065</v>
      </c>
      <c r="W60" s="63" t="s">
        <v>1066</v>
      </c>
      <c r="X60" s="93"/>
    </row>
    <row r="61" spans="1:24">
      <c r="A61" s="63" t="str">
        <f t="shared" si="12"/>
        <v/>
      </c>
      <c r="B61" s="63" t="s">
        <v>770</v>
      </c>
      <c r="C61" s="85" t="s">
        <v>1067</v>
      </c>
      <c r="D61" s="55" t="s">
        <v>698</v>
      </c>
      <c r="E61" s="62"/>
      <c r="F61" s="55" t="str">
        <f t="shared" ca="1" si="15"/>
        <v/>
      </c>
      <c r="G61" s="62">
        <v>45175</v>
      </c>
      <c r="H61" s="62">
        <f t="shared" ca="1" si="2"/>
        <v>45224</v>
      </c>
      <c r="I61" s="92" t="str">
        <f t="shared" ca="1" si="3"/>
        <v>0 Anos e 1 meses</v>
      </c>
      <c r="J61" s="55" t="s">
        <v>1068</v>
      </c>
      <c r="K61" s="55"/>
      <c r="L61" s="55"/>
      <c r="M61" s="55"/>
      <c r="N61" s="55" t="s">
        <v>1069</v>
      </c>
      <c r="Q61" s="63" t="s">
        <v>1070</v>
      </c>
      <c r="U61" s="97">
        <v>45224</v>
      </c>
      <c r="V61" s="86"/>
      <c r="W61" s="63" t="s">
        <v>332</v>
      </c>
      <c r="X61" s="93"/>
    </row>
    <row r="62" spans="1:24">
      <c r="A62" s="63">
        <f t="shared" si="12"/>
        <v>8</v>
      </c>
      <c r="B62" s="63" t="str">
        <f ca="1">IF(F62="","", IF(F62&lt;12,"Criança",IF(F62&lt;18,"Adolescente",IF(F62&lt;26,"Jovem",IF(F62&lt;60,"Adulto", "Idoso")))))</f>
        <v>Idoso</v>
      </c>
      <c r="C62" s="85" t="s">
        <v>1071</v>
      </c>
      <c r="D62" s="55" t="s">
        <v>772</v>
      </c>
      <c r="E62" s="62">
        <v>19225</v>
      </c>
      <c r="F62" s="55">
        <f t="shared" ca="1" si="15"/>
        <v>73</v>
      </c>
      <c r="G62" s="97">
        <v>45210</v>
      </c>
      <c r="H62" s="62">
        <f t="shared" ca="1" si="2"/>
        <v>45210</v>
      </c>
      <c r="I62" s="92" t="str">
        <f t="shared" ca="1" si="3"/>
        <v>0 Anos e 0 meses</v>
      </c>
      <c r="J62" s="55" t="s">
        <v>1072</v>
      </c>
      <c r="K62" s="55"/>
      <c r="L62" s="55" t="s">
        <v>1073</v>
      </c>
      <c r="M62" s="55" t="s">
        <v>1074</v>
      </c>
      <c r="N62" s="55"/>
      <c r="Q62" s="63" t="s">
        <v>706</v>
      </c>
      <c r="U62" s="97">
        <v>45210</v>
      </c>
      <c r="V62" s="86"/>
      <c r="W62" s="63" t="s">
        <v>332</v>
      </c>
      <c r="X62" s="93" t="s">
        <v>1075</v>
      </c>
    </row>
    <row r="63" spans="1:24">
      <c r="A63" s="63" t="str">
        <f t="shared" si="12"/>
        <v/>
      </c>
      <c r="B63" s="63" t="s">
        <v>770</v>
      </c>
      <c r="C63" s="85" t="s">
        <v>1076</v>
      </c>
      <c r="D63" s="55" t="s">
        <v>772</v>
      </c>
      <c r="E63" s="62"/>
      <c r="F63" s="55" t="str">
        <f t="shared" ca="1" si="15"/>
        <v/>
      </c>
      <c r="G63" s="97">
        <v>45210</v>
      </c>
      <c r="H63" s="62">
        <f t="shared" ca="1" si="2"/>
        <v>45210</v>
      </c>
      <c r="I63" s="92" t="str">
        <f t="shared" ca="1" si="3"/>
        <v>0 Anos e 0 meses</v>
      </c>
      <c r="J63" s="55" t="s">
        <v>1077</v>
      </c>
      <c r="K63" s="55" t="s">
        <v>1078</v>
      </c>
      <c r="L63" s="55"/>
      <c r="M63" s="55"/>
      <c r="N63" s="55" t="s">
        <v>1079</v>
      </c>
      <c r="Q63" s="63" t="s">
        <v>706</v>
      </c>
      <c r="U63" s="97">
        <v>45210</v>
      </c>
      <c r="V63" s="86"/>
      <c r="W63" s="63" t="s">
        <v>332</v>
      </c>
      <c r="X63" s="93" t="s">
        <v>1080</v>
      </c>
    </row>
    <row r="64" spans="1:24">
      <c r="A64" s="63">
        <f t="shared" si="12"/>
        <v>2</v>
      </c>
      <c r="B64" s="63" t="s">
        <v>770</v>
      </c>
      <c r="C64" s="85" t="s">
        <v>1081</v>
      </c>
      <c r="D64" s="55" t="s">
        <v>772</v>
      </c>
      <c r="E64" s="62">
        <v>34752</v>
      </c>
      <c r="F64" s="55">
        <f t="shared" ca="1" si="15"/>
        <v>30</v>
      </c>
      <c r="G64" s="97">
        <v>45212</v>
      </c>
      <c r="H64" s="62">
        <f t="shared" ca="1" si="2"/>
        <v>45212</v>
      </c>
      <c r="I64" s="92" t="str">
        <f t="shared" ca="1" si="3"/>
        <v>0 Anos e 0 meses</v>
      </c>
      <c r="J64" s="55" t="s">
        <v>1082</v>
      </c>
      <c r="K64" s="55" t="s">
        <v>726</v>
      </c>
      <c r="L64" s="55" t="s">
        <v>779</v>
      </c>
      <c r="M64" s="55" t="s">
        <v>1083</v>
      </c>
      <c r="N64" s="55"/>
      <c r="O64" s="63" t="s">
        <v>1084</v>
      </c>
      <c r="P64" s="63" t="s">
        <v>765</v>
      </c>
      <c r="Q64" s="63" t="s">
        <v>706</v>
      </c>
      <c r="R64" s="63" t="s">
        <v>1085</v>
      </c>
      <c r="U64" s="97">
        <v>45212</v>
      </c>
      <c r="V64" s="86"/>
      <c r="W64" s="63" t="s">
        <v>1086</v>
      </c>
      <c r="X64" s="93" t="s">
        <v>1087</v>
      </c>
    </row>
    <row r="65" spans="1:24">
      <c r="A65" s="63">
        <f t="shared" si="12"/>
        <v>12</v>
      </c>
      <c r="B65" s="63" t="str">
        <f ca="1">IF(F65="","", IF(F65&lt;12,"Criança",IF(F65&lt;18,"Adolescente",IF(F65&lt;26,"Jovem",IF(F65&lt;60,"Adulto", "Idoso")))))</f>
        <v>Criança</v>
      </c>
      <c r="C65" s="85" t="s">
        <v>1088</v>
      </c>
      <c r="D65" s="55" t="s">
        <v>698</v>
      </c>
      <c r="E65" s="62">
        <v>42367</v>
      </c>
      <c r="F65" s="55">
        <f t="shared" ca="1" si="15"/>
        <v>10</v>
      </c>
      <c r="G65" s="97">
        <v>45216</v>
      </c>
      <c r="H65" s="62">
        <f t="shared" ca="1" si="2"/>
        <v>45317</v>
      </c>
      <c r="I65" s="92" t="str">
        <f t="shared" ca="1" si="3"/>
        <v>0 Anos e 3 meses</v>
      </c>
      <c r="J65" s="55"/>
      <c r="K65" s="55" t="s">
        <v>893</v>
      </c>
      <c r="L65" s="55" t="s">
        <v>1089</v>
      </c>
      <c r="M65" s="55" t="s">
        <v>1090</v>
      </c>
      <c r="N65" s="55"/>
      <c r="Q65" s="63" t="s">
        <v>706</v>
      </c>
      <c r="S65" s="63" t="s">
        <v>1091</v>
      </c>
      <c r="T65" s="63" t="s">
        <v>1092</v>
      </c>
      <c r="U65" s="62">
        <v>45317</v>
      </c>
      <c r="V65" s="86"/>
      <c r="W65" s="63" t="s">
        <v>908</v>
      </c>
      <c r="X65" s="93"/>
    </row>
    <row r="66" spans="1:24">
      <c r="A66" s="63" t="str">
        <f t="shared" si="12"/>
        <v/>
      </c>
      <c r="B66" s="63" t="s">
        <v>770</v>
      </c>
      <c r="C66" s="85" t="s">
        <v>1093</v>
      </c>
      <c r="D66" s="55" t="s">
        <v>698</v>
      </c>
      <c r="E66" s="62"/>
      <c r="F66" s="55" t="str">
        <f t="shared" ca="1" si="15"/>
        <v/>
      </c>
      <c r="G66" s="97">
        <v>45219</v>
      </c>
      <c r="H66" s="62">
        <f t="shared" ca="1" si="2"/>
        <v>45293</v>
      </c>
      <c r="I66" s="92" t="str">
        <f t="shared" ca="1" si="3"/>
        <v>0 Anos e 2 meses</v>
      </c>
      <c r="J66" s="55" t="s">
        <v>1094</v>
      </c>
      <c r="K66" s="55" t="s">
        <v>1095</v>
      </c>
      <c r="L66" s="55"/>
      <c r="M66" s="55"/>
      <c r="N66" s="55"/>
      <c r="Q66" s="63" t="s">
        <v>706</v>
      </c>
      <c r="U66" s="62">
        <v>45293</v>
      </c>
      <c r="V66" s="86"/>
      <c r="W66" s="63" t="s">
        <v>332</v>
      </c>
      <c r="X66" s="93"/>
    </row>
    <row r="67" spans="1:24">
      <c r="A67" s="63">
        <f t="shared" si="12"/>
        <v>2</v>
      </c>
      <c r="B67" s="63" t="s">
        <v>770</v>
      </c>
      <c r="C67" s="85" t="s">
        <v>1096</v>
      </c>
      <c r="D67" s="55" t="s">
        <v>772</v>
      </c>
      <c r="E67" s="62">
        <v>34380</v>
      </c>
      <c r="F67" s="55">
        <f t="shared" ca="1" si="15"/>
        <v>31</v>
      </c>
      <c r="G67" s="97">
        <v>45224</v>
      </c>
      <c r="H67" s="62">
        <f t="shared" ca="1" si="2"/>
        <v>45224</v>
      </c>
      <c r="I67" s="92" t="str">
        <f t="shared" ca="1" si="3"/>
        <v>0 Anos e 0 meses</v>
      </c>
      <c r="J67" s="98" t="s">
        <v>1097</v>
      </c>
      <c r="K67" s="55" t="s">
        <v>726</v>
      </c>
      <c r="L67" s="55"/>
      <c r="M67" s="55"/>
      <c r="N67" s="55"/>
      <c r="Q67" s="63" t="s">
        <v>706</v>
      </c>
      <c r="U67" s="97">
        <v>45224</v>
      </c>
      <c r="V67" s="86"/>
      <c r="W67" s="63" t="s">
        <v>1098</v>
      </c>
      <c r="X67" s="93" t="s">
        <v>1099</v>
      </c>
    </row>
    <row r="68" spans="1:24">
      <c r="A68" s="63">
        <f t="shared" si="12"/>
        <v>4</v>
      </c>
      <c r="B68" s="63" t="str">
        <f t="shared" ref="B68:B75" ca="1" si="18">IF(F68="","", IF(F68&lt;12,"Criança",IF(F68&lt;18,"Adolescente",IF(F68&lt;26,"Jovem",IF(F68&lt;60,"Adulto", "Idoso")))))</f>
        <v>Adulto</v>
      </c>
      <c r="C68" s="85" t="s">
        <v>1100</v>
      </c>
      <c r="D68" s="55" t="s">
        <v>698</v>
      </c>
      <c r="E68" s="62">
        <v>33349</v>
      </c>
      <c r="F68" s="55">
        <f t="shared" ca="1" si="15"/>
        <v>34</v>
      </c>
      <c r="G68" s="62">
        <v>45239</v>
      </c>
      <c r="H68" s="62">
        <f t="shared" ca="1" si="2"/>
        <v>45269</v>
      </c>
      <c r="I68" s="92" t="str">
        <f t="shared" ca="1" si="3"/>
        <v>0 Anos e 1 meses</v>
      </c>
      <c r="J68" s="55" t="s">
        <v>1101</v>
      </c>
      <c r="K68" s="55" t="s">
        <v>1102</v>
      </c>
      <c r="L68" s="55" t="s">
        <v>1103</v>
      </c>
      <c r="M68" s="55" t="s">
        <v>1104</v>
      </c>
      <c r="N68" s="55" t="s">
        <v>1105</v>
      </c>
      <c r="O68" s="63" t="s">
        <v>1106</v>
      </c>
      <c r="P68" s="63" t="s">
        <v>1107</v>
      </c>
      <c r="Q68" s="63" t="s">
        <v>706</v>
      </c>
      <c r="R68" s="63" t="s">
        <v>1108</v>
      </c>
      <c r="S68" s="63" t="s">
        <v>1109</v>
      </c>
      <c r="T68" s="63" t="s">
        <v>1110</v>
      </c>
      <c r="U68" s="62">
        <v>45269</v>
      </c>
      <c r="V68" s="86" t="s">
        <v>1111</v>
      </c>
      <c r="W68" s="63" t="s">
        <v>1112</v>
      </c>
      <c r="X68" s="93"/>
    </row>
    <row r="69" spans="1:24">
      <c r="A69" s="63">
        <f t="shared" si="12"/>
        <v>11</v>
      </c>
      <c r="B69" s="63" t="str">
        <f t="shared" ca="1" si="18"/>
        <v>Adulto</v>
      </c>
      <c r="C69" s="85" t="s">
        <v>1113</v>
      </c>
      <c r="D69" s="55" t="s">
        <v>698</v>
      </c>
      <c r="E69" s="62">
        <v>33548</v>
      </c>
      <c r="F69" s="55">
        <f t="shared" ca="1" si="15"/>
        <v>34</v>
      </c>
      <c r="G69" s="62">
        <v>45267</v>
      </c>
      <c r="H69" s="62">
        <f t="shared" ca="1" si="2"/>
        <v>45419</v>
      </c>
      <c r="I69" s="92" t="str">
        <f t="shared" ca="1" si="3"/>
        <v>0 Anos e 5 meses</v>
      </c>
      <c r="J69" s="55">
        <v>62984628781</v>
      </c>
      <c r="K69" s="55" t="s">
        <v>1114</v>
      </c>
      <c r="L69" s="55" t="s">
        <v>1115</v>
      </c>
      <c r="M69" s="55" t="s">
        <v>1116</v>
      </c>
      <c r="N69" s="55" t="s">
        <v>1117</v>
      </c>
      <c r="O69" s="63" t="s">
        <v>1118</v>
      </c>
      <c r="P69" s="63" t="s">
        <v>1119</v>
      </c>
      <c r="Q69" s="63" t="s">
        <v>706</v>
      </c>
      <c r="R69" s="2" t="s">
        <v>1120</v>
      </c>
      <c r="S69" s="63" t="s">
        <v>1121</v>
      </c>
      <c r="T69" s="63" t="s">
        <v>1122</v>
      </c>
      <c r="U69" s="62">
        <v>45419</v>
      </c>
      <c r="V69" s="86" t="s">
        <v>1123</v>
      </c>
      <c r="W69" s="63" t="s">
        <v>1124</v>
      </c>
      <c r="X69" s="93"/>
    </row>
    <row r="70" spans="1:24">
      <c r="A70" s="63">
        <f t="shared" si="12"/>
        <v>3</v>
      </c>
      <c r="B70" s="63" t="str">
        <f t="shared" ca="1" si="18"/>
        <v>Adulto</v>
      </c>
      <c r="C70" s="85" t="s">
        <v>1125</v>
      </c>
      <c r="D70" s="55" t="s">
        <v>772</v>
      </c>
      <c r="E70" s="62">
        <v>34771</v>
      </c>
      <c r="F70" s="55">
        <f t="shared" ca="1" si="15"/>
        <v>30</v>
      </c>
      <c r="G70" s="62">
        <v>45268</v>
      </c>
      <c r="H70" s="62">
        <f t="shared" ca="1" si="2"/>
        <v>45279</v>
      </c>
      <c r="I70" s="92" t="str">
        <f t="shared" ca="1" si="3"/>
        <v>0 Anos e 0 meses</v>
      </c>
      <c r="J70" s="55" t="s">
        <v>1126</v>
      </c>
      <c r="K70" s="55" t="s">
        <v>1127</v>
      </c>
      <c r="L70" s="55" t="s">
        <v>1128</v>
      </c>
      <c r="M70" s="55" t="s">
        <v>1129</v>
      </c>
      <c r="N70" s="55" t="s">
        <v>1130</v>
      </c>
      <c r="O70" s="63" t="s">
        <v>1131</v>
      </c>
      <c r="P70" s="63" t="s">
        <v>807</v>
      </c>
      <c r="Q70" s="63" t="s">
        <v>1132</v>
      </c>
      <c r="R70" s="63" t="s">
        <v>1133</v>
      </c>
      <c r="S70" s="63" t="s">
        <v>1134</v>
      </c>
      <c r="T70" s="63" t="s">
        <v>1135</v>
      </c>
      <c r="U70" s="97">
        <v>45279</v>
      </c>
      <c r="V70" s="86" t="s">
        <v>1136</v>
      </c>
      <c r="W70" s="63" t="s">
        <v>1137</v>
      </c>
      <c r="X70" s="93" t="s">
        <v>736</v>
      </c>
    </row>
    <row r="71" spans="1:24">
      <c r="A71" s="63">
        <f t="shared" si="12"/>
        <v>1</v>
      </c>
      <c r="B71" s="63" t="str">
        <f t="shared" ca="1" si="18"/>
        <v>Adulto</v>
      </c>
      <c r="C71" s="85" t="s">
        <v>1138</v>
      </c>
      <c r="D71" s="55" t="s">
        <v>698</v>
      </c>
      <c r="E71" s="62">
        <v>35444</v>
      </c>
      <c r="F71" s="55">
        <f t="shared" ca="1" si="15"/>
        <v>29</v>
      </c>
      <c r="G71" s="97">
        <v>45272</v>
      </c>
      <c r="H71" s="62">
        <f t="shared" ca="1" si="2"/>
        <v>45342</v>
      </c>
      <c r="I71" s="92" t="str">
        <f t="shared" ca="1" si="3"/>
        <v>0 Anos e 2 meses</v>
      </c>
      <c r="J71" s="55" t="s">
        <v>1139</v>
      </c>
      <c r="K71" s="55"/>
      <c r="L71" s="55" t="s">
        <v>1140</v>
      </c>
      <c r="M71" s="55" t="s">
        <v>1141</v>
      </c>
      <c r="N71" s="55" t="s">
        <v>1142</v>
      </c>
      <c r="O71" s="63" t="s">
        <v>1143</v>
      </c>
      <c r="P71" s="63" t="s">
        <v>1144</v>
      </c>
      <c r="Q71" s="63" t="s">
        <v>706</v>
      </c>
      <c r="R71" s="99" t="s">
        <v>1145</v>
      </c>
      <c r="S71" s="63" t="s">
        <v>1146</v>
      </c>
      <c r="T71" s="63" t="s">
        <v>1147</v>
      </c>
      <c r="U71" s="62">
        <v>45342</v>
      </c>
      <c r="V71" s="86" t="s">
        <v>1148</v>
      </c>
      <c r="W71" s="63" t="s">
        <v>1149</v>
      </c>
      <c r="X71" s="93"/>
    </row>
    <row r="72" spans="1:24">
      <c r="A72" s="63">
        <f t="shared" si="12"/>
        <v>1</v>
      </c>
      <c r="B72" s="63" t="str">
        <f t="shared" ca="1" si="18"/>
        <v>Adulto</v>
      </c>
      <c r="C72" s="85" t="s">
        <v>1150</v>
      </c>
      <c r="D72" s="55" t="s">
        <v>698</v>
      </c>
      <c r="E72" s="62">
        <v>30691</v>
      </c>
      <c r="F72" s="55">
        <f t="shared" ca="1" si="15"/>
        <v>42</v>
      </c>
      <c r="G72" s="62">
        <v>45295</v>
      </c>
      <c r="H72" s="62">
        <f t="shared" ca="1" si="2"/>
        <v>45433</v>
      </c>
      <c r="I72" s="92" t="str">
        <f t="shared" ca="1" si="3"/>
        <v>0 Anos e 4 meses</v>
      </c>
      <c r="J72" s="55" t="s">
        <v>1151</v>
      </c>
      <c r="K72" s="55" t="s">
        <v>1114</v>
      </c>
      <c r="L72" s="55" t="s">
        <v>1152</v>
      </c>
      <c r="M72" s="55" t="s">
        <v>1153</v>
      </c>
      <c r="N72" s="55" t="s">
        <v>1154</v>
      </c>
      <c r="O72" s="63" t="s">
        <v>1118</v>
      </c>
      <c r="P72" s="63" t="s">
        <v>1119</v>
      </c>
      <c r="Q72" s="63" t="s">
        <v>706</v>
      </c>
      <c r="R72" s="2" t="s">
        <v>1155</v>
      </c>
      <c r="S72" s="63" t="s">
        <v>1156</v>
      </c>
      <c r="T72" s="63" t="s">
        <v>1157</v>
      </c>
      <c r="U72" s="62">
        <v>45433</v>
      </c>
      <c r="V72" s="86" t="s">
        <v>1158</v>
      </c>
      <c r="W72" s="63" t="s">
        <v>1159</v>
      </c>
      <c r="X72" s="93"/>
    </row>
    <row r="73" spans="1:24">
      <c r="A73" s="63">
        <f t="shared" si="12"/>
        <v>7</v>
      </c>
      <c r="B73" s="63" t="str">
        <f t="shared" ca="1" si="18"/>
        <v>Criança</v>
      </c>
      <c r="C73" s="85" t="s">
        <v>1160</v>
      </c>
      <c r="D73" s="55" t="s">
        <v>698</v>
      </c>
      <c r="E73" s="62">
        <v>42928</v>
      </c>
      <c r="F73" s="55">
        <f t="shared" ca="1" si="15"/>
        <v>8</v>
      </c>
      <c r="G73" s="62">
        <v>45314</v>
      </c>
      <c r="H73" s="62">
        <f t="shared" ca="1" si="2"/>
        <v>45386</v>
      </c>
      <c r="I73" s="92" t="str">
        <f t="shared" ca="1" si="3"/>
        <v>0 Anos e 2 meses</v>
      </c>
      <c r="J73" s="55"/>
      <c r="K73" s="55" t="s">
        <v>1161</v>
      </c>
      <c r="L73" s="55" t="s">
        <v>1162</v>
      </c>
      <c r="M73" s="55" t="s">
        <v>1163</v>
      </c>
      <c r="N73" s="55" t="s">
        <v>1164</v>
      </c>
      <c r="O73" s="63" t="s">
        <v>1165</v>
      </c>
      <c r="P73" s="63" t="s">
        <v>1166</v>
      </c>
      <c r="Q73" s="63" t="s">
        <v>706</v>
      </c>
      <c r="R73" s="63" t="s">
        <v>1167</v>
      </c>
      <c r="S73" s="63" t="s">
        <v>1168</v>
      </c>
      <c r="T73" s="63" t="s">
        <v>1169</v>
      </c>
      <c r="U73" s="62">
        <v>45386</v>
      </c>
      <c r="V73" s="86" t="s">
        <v>1170</v>
      </c>
      <c r="W73" s="63" t="s">
        <v>1171</v>
      </c>
      <c r="X73" s="93" t="s">
        <v>1172</v>
      </c>
    </row>
    <row r="74" spans="1:24">
      <c r="A74" s="63">
        <f t="shared" si="12"/>
        <v>2</v>
      </c>
      <c r="B74" s="63" t="str">
        <f t="shared" ca="1" si="18"/>
        <v>Adulto</v>
      </c>
      <c r="C74" s="85" t="s">
        <v>1173</v>
      </c>
      <c r="D74" s="55" t="s">
        <v>698</v>
      </c>
      <c r="E74" s="62">
        <v>32906</v>
      </c>
      <c r="F74" s="55">
        <f t="shared" ca="1" si="15"/>
        <v>35</v>
      </c>
      <c r="G74" s="62">
        <v>45328</v>
      </c>
      <c r="H74" s="62">
        <f t="shared" ca="1" si="2"/>
        <v>45364</v>
      </c>
      <c r="I74" s="92" t="str">
        <f t="shared" ca="1" si="3"/>
        <v>0 Anos e 1 meses</v>
      </c>
      <c r="J74" s="55" t="s">
        <v>1174</v>
      </c>
      <c r="K74" s="55" t="s">
        <v>1175</v>
      </c>
      <c r="L74" s="55"/>
      <c r="M74" s="55"/>
      <c r="N74" s="55"/>
      <c r="Q74" s="63" t="s">
        <v>896</v>
      </c>
      <c r="U74" s="62">
        <v>45364</v>
      </c>
      <c r="V74" s="86"/>
      <c r="W74" s="63" t="s">
        <v>332</v>
      </c>
      <c r="X74" s="93"/>
    </row>
    <row r="75" spans="1:24">
      <c r="A75" s="63">
        <f t="shared" si="12"/>
        <v>1</v>
      </c>
      <c r="B75" s="63" t="str">
        <f t="shared" ca="1" si="18"/>
        <v>Adulto</v>
      </c>
      <c r="C75" s="85" t="s">
        <v>1176</v>
      </c>
      <c r="D75" s="55" t="s">
        <v>772</v>
      </c>
      <c r="E75" s="62">
        <v>32877</v>
      </c>
      <c r="F75" s="55">
        <f t="shared" ca="1" si="15"/>
        <v>36</v>
      </c>
      <c r="G75" s="62">
        <v>45342</v>
      </c>
      <c r="H75" s="62">
        <f t="shared" ca="1" si="2"/>
        <v>45342</v>
      </c>
      <c r="I75" s="92" t="str">
        <f t="shared" ca="1" si="3"/>
        <v>0 Anos e 0 meses</v>
      </c>
      <c r="J75" s="55" t="s">
        <v>1177</v>
      </c>
      <c r="K75" s="55"/>
      <c r="L75" s="55"/>
      <c r="M75" s="55"/>
      <c r="N75" s="55"/>
      <c r="Q75" s="63" t="s">
        <v>706</v>
      </c>
      <c r="U75" s="62">
        <v>45342</v>
      </c>
      <c r="V75" s="86"/>
      <c r="W75" s="63" t="s">
        <v>1178</v>
      </c>
      <c r="X75" s="93" t="s">
        <v>1179</v>
      </c>
    </row>
    <row r="76" spans="1:24">
      <c r="A76" s="63" t="str">
        <f t="shared" si="12"/>
        <v/>
      </c>
      <c r="B76" s="63" t="s">
        <v>770</v>
      </c>
      <c r="C76" s="85" t="s">
        <v>1180</v>
      </c>
      <c r="D76" s="55" t="s">
        <v>772</v>
      </c>
      <c r="E76" s="62"/>
      <c r="F76" s="55" t="str">
        <f t="shared" ca="1" si="15"/>
        <v/>
      </c>
      <c r="G76" s="62">
        <v>45342</v>
      </c>
      <c r="H76" s="62">
        <f t="shared" ca="1" si="2"/>
        <v>45349</v>
      </c>
      <c r="I76" s="92" t="str">
        <f t="shared" ca="1" si="3"/>
        <v>0 Anos e 0 meses</v>
      </c>
      <c r="J76" s="55" t="s">
        <v>1181</v>
      </c>
      <c r="K76" s="55" t="s">
        <v>1182</v>
      </c>
      <c r="L76" s="55"/>
      <c r="M76" s="55"/>
      <c r="N76" s="55" t="s">
        <v>1183</v>
      </c>
      <c r="Q76" s="63" t="s">
        <v>896</v>
      </c>
      <c r="U76" s="62">
        <v>45349</v>
      </c>
      <c r="V76" s="86"/>
      <c r="W76" s="63" t="s">
        <v>332</v>
      </c>
      <c r="X76" s="93" t="s">
        <v>1184</v>
      </c>
    </row>
    <row r="77" spans="1:24">
      <c r="A77" s="63">
        <f t="shared" si="12"/>
        <v>4</v>
      </c>
      <c r="B77" s="63" t="str">
        <f t="shared" ref="B77:B196" ca="1" si="19">IF(F77="","", IF(F77&lt;12,"Criança",IF(F77&lt;18,"Adolescente",IF(F77&lt;26,"Jovem",IF(F77&lt;60,"Adulto", "Idoso")))))</f>
        <v>Adulto</v>
      </c>
      <c r="C77" s="85" t="s">
        <v>1185</v>
      </c>
      <c r="D77" s="55" t="s">
        <v>772</v>
      </c>
      <c r="E77" s="62">
        <v>30782</v>
      </c>
      <c r="F77" s="55">
        <f t="shared" ca="1" si="15"/>
        <v>41</v>
      </c>
      <c r="G77" s="62">
        <v>45344</v>
      </c>
      <c r="H77" s="62">
        <f t="shared" ca="1" si="2"/>
        <v>45344</v>
      </c>
      <c r="I77" s="92" t="str">
        <f t="shared" ca="1" si="3"/>
        <v>0 Anos e 0 meses</v>
      </c>
      <c r="J77" s="55" t="s">
        <v>1186</v>
      </c>
      <c r="K77" s="55" t="s">
        <v>1029</v>
      </c>
      <c r="L77" s="55"/>
      <c r="M77" s="55"/>
      <c r="N77" s="55"/>
      <c r="P77" s="63" t="s">
        <v>1187</v>
      </c>
      <c r="Q77" s="63" t="s">
        <v>896</v>
      </c>
      <c r="U77" s="62">
        <v>45344</v>
      </c>
      <c r="V77" s="86"/>
      <c r="W77" s="63" t="s">
        <v>1188</v>
      </c>
      <c r="X77" s="93" t="s">
        <v>1189</v>
      </c>
    </row>
    <row r="78" spans="1:24">
      <c r="A78" s="63">
        <f t="shared" si="12"/>
        <v>1</v>
      </c>
      <c r="B78" s="63" t="str">
        <f t="shared" ca="1" si="19"/>
        <v>Jovem</v>
      </c>
      <c r="C78" s="85" t="s">
        <v>1190</v>
      </c>
      <c r="D78" s="55" t="s">
        <v>772</v>
      </c>
      <c r="E78" s="62">
        <v>39450</v>
      </c>
      <c r="F78" s="55">
        <f t="shared" ca="1" si="15"/>
        <v>18</v>
      </c>
      <c r="G78" s="62">
        <v>45370</v>
      </c>
      <c r="H78" s="62">
        <f t="shared" ca="1" si="2"/>
        <v>45378</v>
      </c>
      <c r="I78" s="92" t="str">
        <f t="shared" ca="1" si="3"/>
        <v>0 Anos e 0 meses</v>
      </c>
      <c r="J78" s="55" t="s">
        <v>1191</v>
      </c>
      <c r="K78" s="55" t="s">
        <v>893</v>
      </c>
      <c r="L78" s="55" t="s">
        <v>1192</v>
      </c>
      <c r="M78" s="55" t="s">
        <v>1193</v>
      </c>
      <c r="N78" s="55"/>
      <c r="Q78" s="63" t="s">
        <v>1194</v>
      </c>
      <c r="T78" s="63" t="s">
        <v>1195</v>
      </c>
      <c r="U78" s="62">
        <v>45378</v>
      </c>
      <c r="V78" s="86"/>
      <c r="W78" s="63" t="s">
        <v>1196</v>
      </c>
      <c r="X78" s="93" t="s">
        <v>1197</v>
      </c>
    </row>
    <row r="79" spans="1:24">
      <c r="A79" s="63">
        <f t="shared" si="12"/>
        <v>4</v>
      </c>
      <c r="B79" s="63" t="str">
        <f t="shared" ca="1" si="19"/>
        <v>Adulto</v>
      </c>
      <c r="C79" s="85" t="s">
        <v>1198</v>
      </c>
      <c r="D79" s="55" t="s">
        <v>772</v>
      </c>
      <c r="E79" s="62">
        <v>36266</v>
      </c>
      <c r="F79" s="55">
        <f t="shared" ca="1" si="15"/>
        <v>26</v>
      </c>
      <c r="G79" s="62">
        <v>45364</v>
      </c>
      <c r="H79" s="62">
        <f t="shared" ca="1" si="2"/>
        <v>45377</v>
      </c>
      <c r="I79" s="92" t="str">
        <f t="shared" ca="1" si="3"/>
        <v>0 Anos e 0 meses</v>
      </c>
      <c r="J79" s="55" t="s">
        <v>1199</v>
      </c>
      <c r="K79" s="55" t="s">
        <v>1200</v>
      </c>
      <c r="L79" s="55"/>
      <c r="M79" s="55"/>
      <c r="N79" s="55"/>
      <c r="Q79" s="63" t="s">
        <v>706</v>
      </c>
      <c r="U79" s="62">
        <v>45377</v>
      </c>
      <c r="V79" s="86"/>
      <c r="W79" s="63" t="s">
        <v>1201</v>
      </c>
      <c r="X79" s="93" t="s">
        <v>1202</v>
      </c>
    </row>
    <row r="80" spans="1:24">
      <c r="A80" s="63">
        <f t="shared" si="12"/>
        <v>1</v>
      </c>
      <c r="B80" s="63" t="str">
        <f t="shared" ca="1" si="19"/>
        <v>Idoso</v>
      </c>
      <c r="C80" s="85" t="s">
        <v>1203</v>
      </c>
      <c r="D80" s="55" t="s">
        <v>698</v>
      </c>
      <c r="E80" s="62">
        <v>20119</v>
      </c>
      <c r="F80" s="55">
        <f t="shared" ca="1" si="15"/>
        <v>70</v>
      </c>
      <c r="G80" s="62">
        <v>45387</v>
      </c>
      <c r="H80" s="62">
        <f t="shared" ca="1" si="2"/>
        <v>45499</v>
      </c>
      <c r="I80" s="92" t="str">
        <f t="shared" ca="1" si="3"/>
        <v>0 Anos e 3 meses</v>
      </c>
      <c r="J80" s="55" t="s">
        <v>1204</v>
      </c>
      <c r="K80" s="55" t="s">
        <v>1205</v>
      </c>
      <c r="L80" s="55" t="s">
        <v>1206</v>
      </c>
      <c r="M80" s="55" t="s">
        <v>1207</v>
      </c>
      <c r="N80" s="55"/>
      <c r="Q80" s="63" t="s">
        <v>706</v>
      </c>
      <c r="U80" s="62">
        <v>45499</v>
      </c>
      <c r="V80" s="86"/>
      <c r="W80" s="63" t="s">
        <v>1208</v>
      </c>
      <c r="X80" s="93"/>
    </row>
    <row r="81" spans="1:24">
      <c r="A81" s="63">
        <f t="shared" si="12"/>
        <v>6</v>
      </c>
      <c r="B81" s="63" t="str">
        <f t="shared" ca="1" si="19"/>
        <v>Adulto</v>
      </c>
      <c r="C81" s="85" t="s">
        <v>1209</v>
      </c>
      <c r="D81" s="55" t="s">
        <v>698</v>
      </c>
      <c r="E81" s="62">
        <v>35231</v>
      </c>
      <c r="F81" s="55">
        <f t="shared" ca="1" si="15"/>
        <v>29</v>
      </c>
      <c r="G81" s="62">
        <v>45401</v>
      </c>
      <c r="H81" s="62">
        <f t="shared" ca="1" si="2"/>
        <v>45510</v>
      </c>
      <c r="I81" s="92" t="str">
        <f t="shared" ca="1" si="3"/>
        <v>0 Anos e 3 meses</v>
      </c>
      <c r="J81" s="55" t="s">
        <v>1210</v>
      </c>
      <c r="K81" s="55" t="s">
        <v>1211</v>
      </c>
      <c r="L81" s="55"/>
      <c r="M81" s="55"/>
      <c r="N81" s="55"/>
      <c r="Q81" s="63" t="s">
        <v>706</v>
      </c>
      <c r="U81" s="62">
        <v>45510</v>
      </c>
      <c r="V81" s="86"/>
      <c r="W81" s="63" t="s">
        <v>1201</v>
      </c>
      <c r="X81" s="93"/>
    </row>
    <row r="82" spans="1:24">
      <c r="A82" s="63">
        <f t="shared" si="12"/>
        <v>7</v>
      </c>
      <c r="B82" s="63" t="str">
        <f t="shared" ca="1" si="19"/>
        <v>Idoso</v>
      </c>
      <c r="C82" s="85" t="s">
        <v>1212</v>
      </c>
      <c r="D82" s="55" t="s">
        <v>698</v>
      </c>
      <c r="E82" s="62">
        <v>21749</v>
      </c>
      <c r="F82" s="55">
        <f t="shared" ca="1" si="15"/>
        <v>66</v>
      </c>
      <c r="G82" s="62">
        <v>45404</v>
      </c>
      <c r="H82" s="62">
        <f t="shared" ca="1" si="2"/>
        <v>45532</v>
      </c>
      <c r="I82" s="92" t="str">
        <f t="shared" ca="1" si="3"/>
        <v>0 Anos e 4 meses</v>
      </c>
      <c r="J82" s="55" t="s">
        <v>1213</v>
      </c>
      <c r="K82" s="55" t="s">
        <v>1211</v>
      </c>
      <c r="L82" s="55"/>
      <c r="M82" s="55"/>
      <c r="N82" s="55"/>
      <c r="O82" s="63" t="s">
        <v>1214</v>
      </c>
      <c r="P82" s="63" t="s">
        <v>793</v>
      </c>
      <c r="Q82" s="63" t="s">
        <v>706</v>
      </c>
      <c r="R82" s="63" t="s">
        <v>1215</v>
      </c>
      <c r="U82" s="62">
        <v>45532</v>
      </c>
      <c r="V82" s="86" t="s">
        <v>1216</v>
      </c>
      <c r="W82" s="63" t="s">
        <v>769</v>
      </c>
      <c r="X82" s="93"/>
    </row>
    <row r="83" spans="1:24">
      <c r="A83" s="63">
        <f t="shared" si="12"/>
        <v>2</v>
      </c>
      <c r="B83" s="63" t="str">
        <f t="shared" ca="1" si="19"/>
        <v>Adolescente</v>
      </c>
      <c r="C83" s="85" t="s">
        <v>1217</v>
      </c>
      <c r="D83" s="55" t="s">
        <v>698</v>
      </c>
      <c r="E83" s="62">
        <v>39850</v>
      </c>
      <c r="F83" s="55">
        <f t="shared" ca="1" si="15"/>
        <v>16</v>
      </c>
      <c r="G83" s="62">
        <v>45412</v>
      </c>
      <c r="H83" s="62">
        <f t="shared" ca="1" si="2"/>
        <v>45541</v>
      </c>
      <c r="I83" s="92" t="str">
        <f t="shared" ca="1" si="3"/>
        <v>0 Anos e 4 meses</v>
      </c>
      <c r="J83" s="55" t="s">
        <v>1218</v>
      </c>
      <c r="K83" s="55" t="s">
        <v>1219</v>
      </c>
      <c r="L83" s="55" t="s">
        <v>1220</v>
      </c>
      <c r="M83" s="55" t="s">
        <v>1221</v>
      </c>
      <c r="N83" s="55"/>
      <c r="O83" s="63" t="s">
        <v>1222</v>
      </c>
      <c r="P83" s="63" t="s">
        <v>793</v>
      </c>
      <c r="Q83" s="63" t="s">
        <v>706</v>
      </c>
      <c r="R83" s="63" t="s">
        <v>1223</v>
      </c>
      <c r="S83" s="63" t="s">
        <v>1212</v>
      </c>
      <c r="T83" s="63" t="s">
        <v>1224</v>
      </c>
      <c r="U83" s="62">
        <v>45541</v>
      </c>
      <c r="V83" s="86"/>
      <c r="W83" s="63" t="s">
        <v>769</v>
      </c>
      <c r="X83" s="93"/>
    </row>
    <row r="84" spans="1:24">
      <c r="A84" s="63">
        <f t="shared" si="12"/>
        <v>9</v>
      </c>
      <c r="B84" s="63" t="str">
        <f t="shared" ca="1" si="19"/>
        <v>Adulto</v>
      </c>
      <c r="C84" s="85" t="s">
        <v>1225</v>
      </c>
      <c r="D84" s="55" t="s">
        <v>772</v>
      </c>
      <c r="E84" s="62">
        <v>33875</v>
      </c>
      <c r="F84" s="55">
        <f t="shared" ca="1" si="15"/>
        <v>33</v>
      </c>
      <c r="G84" s="62">
        <v>45419</v>
      </c>
      <c r="H84" s="62">
        <f t="shared" ca="1" si="2"/>
        <v>45433</v>
      </c>
      <c r="I84" s="92" t="str">
        <f t="shared" ca="1" si="3"/>
        <v>0 Anos e 0 meses</v>
      </c>
      <c r="J84" s="55" t="s">
        <v>1226</v>
      </c>
      <c r="K84" s="55" t="s">
        <v>1227</v>
      </c>
      <c r="L84" s="55"/>
      <c r="M84" s="55"/>
      <c r="N84" s="55"/>
      <c r="Q84" s="63" t="s">
        <v>706</v>
      </c>
      <c r="U84" s="62">
        <v>45433</v>
      </c>
      <c r="V84" s="86"/>
      <c r="W84" s="63" t="s">
        <v>1228</v>
      </c>
      <c r="X84" s="93" t="s">
        <v>1229</v>
      </c>
    </row>
    <row r="85" spans="1:24">
      <c r="A85" s="63">
        <f t="shared" si="12"/>
        <v>10</v>
      </c>
      <c r="B85" s="63" t="str">
        <f t="shared" ca="1" si="19"/>
        <v>Adolescente</v>
      </c>
      <c r="C85" s="85" t="s">
        <v>1230</v>
      </c>
      <c r="D85" s="55" t="s">
        <v>698</v>
      </c>
      <c r="E85" s="62">
        <v>40479</v>
      </c>
      <c r="F85" s="55">
        <f t="shared" ca="1" si="15"/>
        <v>15</v>
      </c>
      <c r="G85" s="62">
        <v>45422</v>
      </c>
      <c r="H85" s="62">
        <f t="shared" ca="1" si="2"/>
        <v>45506</v>
      </c>
      <c r="I85" s="92" t="str">
        <f t="shared" ca="1" si="3"/>
        <v>0 Anos e 2 meses</v>
      </c>
      <c r="J85" s="55"/>
      <c r="K85" s="55" t="s">
        <v>1231</v>
      </c>
      <c r="L85" s="55" t="s">
        <v>1232</v>
      </c>
      <c r="M85" s="55" t="s">
        <v>1233</v>
      </c>
      <c r="N85" s="55"/>
      <c r="Q85" s="63" t="s">
        <v>706</v>
      </c>
      <c r="U85" s="62">
        <v>45506</v>
      </c>
      <c r="V85" s="86"/>
      <c r="W85" s="63" t="s">
        <v>1234</v>
      </c>
      <c r="X85" s="93"/>
    </row>
    <row r="86" spans="1:24">
      <c r="A86" s="63">
        <f t="shared" si="12"/>
        <v>4</v>
      </c>
      <c r="B86" s="63" t="str">
        <f t="shared" ca="1" si="19"/>
        <v>Adulto</v>
      </c>
      <c r="C86" s="85" t="s">
        <v>1235</v>
      </c>
      <c r="D86" s="55" t="s">
        <v>698</v>
      </c>
      <c r="E86" s="62">
        <v>34068</v>
      </c>
      <c r="F86" s="55">
        <f t="shared" ca="1" si="15"/>
        <v>32</v>
      </c>
      <c r="G86" s="62">
        <v>45463</v>
      </c>
      <c r="H86" s="62">
        <f t="shared" ca="1" si="2"/>
        <v>45504</v>
      </c>
      <c r="I86" s="92" t="str">
        <f t="shared" ca="1" si="3"/>
        <v>0 Anos e 1 meses</v>
      </c>
      <c r="J86" s="55" t="s">
        <v>1236</v>
      </c>
      <c r="K86" s="55" t="s">
        <v>1237</v>
      </c>
      <c r="L86" s="55"/>
      <c r="M86" s="55"/>
      <c r="N86" s="55"/>
      <c r="Q86" s="63" t="s">
        <v>1070</v>
      </c>
      <c r="U86" s="62">
        <v>45504</v>
      </c>
      <c r="V86" s="86"/>
      <c r="W86" s="63" t="s">
        <v>1238</v>
      </c>
      <c r="X86" s="93"/>
    </row>
    <row r="87" spans="1:24">
      <c r="A87" s="63">
        <f t="shared" si="12"/>
        <v>9</v>
      </c>
      <c r="B87" s="63" t="str">
        <f t="shared" ca="1" si="19"/>
        <v>Adulto</v>
      </c>
      <c r="C87" s="85" t="s">
        <v>1239</v>
      </c>
      <c r="D87" s="55" t="s">
        <v>772</v>
      </c>
      <c r="E87" s="62">
        <v>25107</v>
      </c>
      <c r="F87" s="55">
        <f t="shared" ca="1" si="15"/>
        <v>57</v>
      </c>
      <c r="G87" s="62">
        <v>45468</v>
      </c>
      <c r="H87" s="62">
        <f t="shared" ca="1" si="2"/>
        <v>45468</v>
      </c>
      <c r="I87" s="92" t="str">
        <f t="shared" ca="1" si="3"/>
        <v>0 Anos e 0 meses</v>
      </c>
      <c r="J87" s="55" t="s">
        <v>1240</v>
      </c>
      <c r="K87" s="55"/>
      <c r="L87" s="55"/>
      <c r="M87" s="55"/>
      <c r="N87" s="55"/>
      <c r="Q87" s="63" t="s">
        <v>706</v>
      </c>
      <c r="U87" s="62">
        <v>45468</v>
      </c>
      <c r="V87" s="86"/>
      <c r="W87" s="63" t="s">
        <v>1241</v>
      </c>
      <c r="X87" s="93" t="s">
        <v>1242</v>
      </c>
    </row>
    <row r="88" spans="1:24">
      <c r="A88" s="63">
        <f t="shared" si="12"/>
        <v>12</v>
      </c>
      <c r="B88" s="63" t="str">
        <f t="shared" ca="1" si="19"/>
        <v>Adulto</v>
      </c>
      <c r="C88" s="85" t="s">
        <v>1243</v>
      </c>
      <c r="D88" s="55" t="s">
        <v>698</v>
      </c>
      <c r="E88" s="62">
        <v>31756</v>
      </c>
      <c r="F88" s="55">
        <f t="shared" ca="1" si="15"/>
        <v>39</v>
      </c>
      <c r="G88" s="62">
        <v>45538</v>
      </c>
      <c r="H88" s="62">
        <f t="shared" ca="1" si="2"/>
        <v>45603</v>
      </c>
      <c r="I88" s="92" t="str">
        <f t="shared" ca="1" si="3"/>
        <v>0 Anos e 2 meses</v>
      </c>
      <c r="J88" s="55" t="s">
        <v>1244</v>
      </c>
      <c r="K88" s="55" t="s">
        <v>1245</v>
      </c>
      <c r="L88" s="55"/>
      <c r="M88" s="55"/>
      <c r="N88" s="55"/>
      <c r="Q88" s="63" t="s">
        <v>706</v>
      </c>
      <c r="U88" s="62">
        <v>45603</v>
      </c>
      <c r="V88" s="86"/>
      <c r="W88" s="63" t="s">
        <v>1208</v>
      </c>
      <c r="X88" s="93"/>
    </row>
    <row r="89" spans="1:24">
      <c r="A89" s="63">
        <f t="shared" si="12"/>
        <v>2</v>
      </c>
      <c r="B89" s="63" t="str">
        <f t="shared" ca="1" si="19"/>
        <v>Adulto</v>
      </c>
      <c r="C89" s="100" t="s">
        <v>1246</v>
      </c>
      <c r="D89" s="55" t="s">
        <v>698</v>
      </c>
      <c r="E89" s="62">
        <v>31105</v>
      </c>
      <c r="F89" s="55">
        <f t="shared" ca="1" si="15"/>
        <v>40</v>
      </c>
      <c r="G89" s="62">
        <v>45555</v>
      </c>
      <c r="H89" s="62">
        <f t="shared" ca="1" si="2"/>
        <v>45631</v>
      </c>
      <c r="I89" s="92" t="str">
        <f t="shared" ca="1" si="3"/>
        <v>0 Anos e 2 meses</v>
      </c>
      <c r="J89" s="55" t="s">
        <v>1247</v>
      </c>
      <c r="K89" s="55" t="s">
        <v>1248</v>
      </c>
      <c r="L89" s="55"/>
      <c r="M89" s="55"/>
      <c r="N89" s="55"/>
      <c r="Q89" s="63" t="s">
        <v>706</v>
      </c>
      <c r="U89" s="62">
        <v>45631</v>
      </c>
      <c r="V89" s="86"/>
      <c r="W89" s="63" t="s">
        <v>1249</v>
      </c>
      <c r="X89" s="93"/>
    </row>
    <row r="90" spans="1:24">
      <c r="A90" s="63">
        <f t="shared" si="12"/>
        <v>11</v>
      </c>
      <c r="B90" s="63" t="str">
        <f t="shared" ca="1" si="19"/>
        <v>Adulto</v>
      </c>
      <c r="C90" s="100" t="s">
        <v>1250</v>
      </c>
      <c r="D90" s="55" t="s">
        <v>698</v>
      </c>
      <c r="E90" s="62">
        <v>29187</v>
      </c>
      <c r="F90" s="55">
        <f t="shared" ca="1" si="15"/>
        <v>46</v>
      </c>
      <c r="G90" s="62">
        <v>45555</v>
      </c>
      <c r="H90" s="62">
        <f t="shared" ca="1" si="2"/>
        <v>45673</v>
      </c>
      <c r="I90" s="92" t="str">
        <f t="shared" ca="1" si="3"/>
        <v>0 Anos e 3 meses</v>
      </c>
      <c r="J90" s="55" t="s">
        <v>1251</v>
      </c>
      <c r="K90" s="55" t="s">
        <v>1252</v>
      </c>
      <c r="L90" s="55"/>
      <c r="M90" s="55"/>
      <c r="N90" s="55"/>
      <c r="Q90" s="63" t="s">
        <v>706</v>
      </c>
      <c r="U90" s="62">
        <v>45673</v>
      </c>
      <c r="V90" s="86"/>
      <c r="W90" s="63" t="s">
        <v>769</v>
      </c>
      <c r="X90" s="93"/>
    </row>
    <row r="91" spans="1:24">
      <c r="A91" s="63">
        <f t="shared" si="12"/>
        <v>12</v>
      </c>
      <c r="B91" s="63" t="str">
        <f t="shared" ca="1" si="19"/>
        <v>Jovem</v>
      </c>
      <c r="C91" s="85" t="s">
        <v>1253</v>
      </c>
      <c r="D91" s="55" t="s">
        <v>698</v>
      </c>
      <c r="E91" s="62">
        <v>38708</v>
      </c>
      <c r="F91" s="55">
        <f t="shared" ca="1" si="15"/>
        <v>20</v>
      </c>
      <c r="G91" s="97">
        <v>45212</v>
      </c>
      <c r="H91" s="62">
        <f t="shared" ca="1" si="2"/>
        <v>45688</v>
      </c>
      <c r="I91" s="92" t="str">
        <f t="shared" ca="1" si="3"/>
        <v>1 Anos e 3 meses</v>
      </c>
      <c r="J91" s="55" t="s">
        <v>1254</v>
      </c>
      <c r="K91" s="55" t="s">
        <v>1255</v>
      </c>
      <c r="L91" s="55" t="s">
        <v>1256</v>
      </c>
      <c r="M91" s="55" t="s">
        <v>1257</v>
      </c>
      <c r="N91" s="55" t="s">
        <v>1258</v>
      </c>
      <c r="O91" s="63" t="s">
        <v>1259</v>
      </c>
      <c r="P91" s="63" t="s">
        <v>1260</v>
      </c>
      <c r="Q91" s="63" t="s">
        <v>706</v>
      </c>
      <c r="R91" s="63" t="s">
        <v>1261</v>
      </c>
      <c r="S91" s="63" t="s">
        <v>1262</v>
      </c>
      <c r="T91" s="63" t="s">
        <v>1263</v>
      </c>
      <c r="U91" s="62">
        <v>45688</v>
      </c>
      <c r="V91" s="86" t="s">
        <v>1264</v>
      </c>
      <c r="W91" s="63" t="s">
        <v>1124</v>
      </c>
      <c r="X91" s="93"/>
    </row>
    <row r="92" spans="1:24">
      <c r="A92" s="63">
        <f t="shared" si="12"/>
        <v>1</v>
      </c>
      <c r="B92" s="63" t="str">
        <f t="shared" ca="1" si="19"/>
        <v>Adulto</v>
      </c>
      <c r="C92" s="85" t="s">
        <v>1265</v>
      </c>
      <c r="D92" s="55" t="s">
        <v>698</v>
      </c>
      <c r="E92" s="62">
        <v>30689</v>
      </c>
      <c r="F92" s="55">
        <f t="shared" ca="1" si="15"/>
        <v>42</v>
      </c>
      <c r="G92" s="62">
        <v>45191</v>
      </c>
      <c r="H92" s="62">
        <f t="shared" ca="1" si="2"/>
        <v>45681</v>
      </c>
      <c r="I92" s="92" t="str">
        <f t="shared" ca="1" si="3"/>
        <v>1 Anos e 4 meses</v>
      </c>
      <c r="J92" s="55" t="s">
        <v>1266</v>
      </c>
      <c r="K92" s="55" t="s">
        <v>1267</v>
      </c>
      <c r="L92" s="55" t="s">
        <v>1268</v>
      </c>
      <c r="M92" s="55" t="s">
        <v>1269</v>
      </c>
      <c r="N92" s="55" t="s">
        <v>1270</v>
      </c>
      <c r="O92" s="63" t="s">
        <v>1271</v>
      </c>
      <c r="P92" s="63" t="s">
        <v>1272</v>
      </c>
      <c r="Q92" s="63" t="s">
        <v>706</v>
      </c>
      <c r="R92" s="63" t="s">
        <v>1273</v>
      </c>
      <c r="S92" s="63" t="s">
        <v>1274</v>
      </c>
      <c r="T92" s="63" t="s">
        <v>1275</v>
      </c>
      <c r="U92" s="62">
        <v>45681</v>
      </c>
      <c r="V92" s="86" t="s">
        <v>1276</v>
      </c>
      <c r="W92" s="63" t="s">
        <v>769</v>
      </c>
      <c r="X92" s="93"/>
    </row>
    <row r="93" spans="1:24">
      <c r="A93" s="63">
        <f t="shared" si="12"/>
        <v>4</v>
      </c>
      <c r="B93" s="63" t="str">
        <f t="shared" ca="1" si="19"/>
        <v>Adulto</v>
      </c>
      <c r="C93" s="85" t="s">
        <v>1277</v>
      </c>
      <c r="D93" s="55" t="s">
        <v>698</v>
      </c>
      <c r="E93" s="62">
        <v>33331</v>
      </c>
      <c r="F93" s="55">
        <f t="shared" ca="1" si="15"/>
        <v>34</v>
      </c>
      <c r="G93" s="97">
        <v>44881</v>
      </c>
      <c r="H93" s="62">
        <f t="shared" ca="1" si="2"/>
        <v>45688</v>
      </c>
      <c r="I93" s="92" t="str">
        <f t="shared" ca="1" si="3"/>
        <v>2 Anos e 2 meses</v>
      </c>
      <c r="J93" s="55" t="s">
        <v>1278</v>
      </c>
      <c r="K93" s="55" t="s">
        <v>726</v>
      </c>
      <c r="L93" s="55" t="s">
        <v>1279</v>
      </c>
      <c r="M93" s="55" t="s">
        <v>1280</v>
      </c>
      <c r="N93" s="55" t="s">
        <v>1281</v>
      </c>
      <c r="Q93" s="63" t="s">
        <v>1282</v>
      </c>
      <c r="T93" s="63" t="s">
        <v>1283</v>
      </c>
      <c r="U93" s="62">
        <v>45688</v>
      </c>
      <c r="V93" s="86"/>
      <c r="W93" s="63" t="s">
        <v>1284</v>
      </c>
      <c r="X93" s="93"/>
    </row>
    <row r="94" spans="1:24">
      <c r="A94" s="63">
        <f t="shared" si="12"/>
        <v>7</v>
      </c>
      <c r="B94" s="63" t="str">
        <f t="shared" ca="1" si="19"/>
        <v>Adolescente</v>
      </c>
      <c r="C94" s="85" t="s">
        <v>1285</v>
      </c>
      <c r="D94" s="55" t="s">
        <v>698</v>
      </c>
      <c r="E94" s="62">
        <v>39646</v>
      </c>
      <c r="F94" s="55">
        <f t="shared" ca="1" si="15"/>
        <v>17</v>
      </c>
      <c r="G94" s="62">
        <v>45567</v>
      </c>
      <c r="H94" s="62">
        <f t="shared" ca="1" si="2"/>
        <v>45700</v>
      </c>
      <c r="I94" s="92" t="str">
        <f t="shared" ca="1" si="3"/>
        <v>0 Anos e 4 meses</v>
      </c>
      <c r="J94" s="55" t="s">
        <v>1286</v>
      </c>
      <c r="K94" s="55" t="s">
        <v>1287</v>
      </c>
      <c r="L94" s="55" t="s">
        <v>1288</v>
      </c>
      <c r="M94" s="55" t="s">
        <v>1289</v>
      </c>
      <c r="N94" s="55" t="s">
        <v>1290</v>
      </c>
      <c r="O94" s="63" t="s">
        <v>1291</v>
      </c>
      <c r="P94" s="63" t="s">
        <v>765</v>
      </c>
      <c r="Q94" s="63" t="s">
        <v>706</v>
      </c>
      <c r="R94" s="63" t="s">
        <v>1292</v>
      </c>
      <c r="S94" s="63" t="s">
        <v>1293</v>
      </c>
      <c r="T94" s="63" t="s">
        <v>1294</v>
      </c>
      <c r="U94" s="62">
        <v>45700</v>
      </c>
      <c r="V94" s="86" t="s">
        <v>1295</v>
      </c>
      <c r="W94" s="63" t="s">
        <v>347</v>
      </c>
      <c r="X94" s="93"/>
    </row>
    <row r="95" spans="1:24">
      <c r="A95" s="101">
        <f t="shared" si="12"/>
        <v>9</v>
      </c>
      <c r="B95" s="63" t="str">
        <f t="shared" ca="1" si="19"/>
        <v>Adolescente</v>
      </c>
      <c r="C95" s="85" t="s">
        <v>1296</v>
      </c>
      <c r="D95" s="55" t="s">
        <v>698</v>
      </c>
      <c r="E95" s="62">
        <v>40079</v>
      </c>
      <c r="F95" s="55">
        <f t="shared" ca="1" si="15"/>
        <v>16</v>
      </c>
      <c r="G95" s="102">
        <v>44630</v>
      </c>
      <c r="H95" s="62">
        <f t="shared" ca="1" si="2"/>
        <v>46039</v>
      </c>
      <c r="I95" s="92" t="str">
        <f t="shared" ca="1" si="3"/>
        <v>3 Anos e 10 meses</v>
      </c>
      <c r="J95" s="55" t="s">
        <v>1297</v>
      </c>
      <c r="K95" s="55" t="s">
        <v>700</v>
      </c>
      <c r="L95" s="55" t="s">
        <v>1298</v>
      </c>
      <c r="M95" s="55" t="s">
        <v>1299</v>
      </c>
      <c r="N95" s="55" t="s">
        <v>1300</v>
      </c>
      <c r="O95" s="63" t="s">
        <v>1301</v>
      </c>
      <c r="P95" s="63" t="s">
        <v>906</v>
      </c>
      <c r="Q95" s="63" t="s">
        <v>706</v>
      </c>
      <c r="R95" s="63" t="s">
        <v>1302</v>
      </c>
      <c r="S95" s="63" t="s">
        <v>1303</v>
      </c>
      <c r="T95" s="63" t="s">
        <v>1304</v>
      </c>
      <c r="U95" s="62"/>
      <c r="V95" s="86"/>
      <c r="W95" s="63" t="s">
        <v>1305</v>
      </c>
      <c r="X95" s="93"/>
    </row>
    <row r="96" spans="1:24">
      <c r="A96" s="63">
        <f t="shared" si="12"/>
        <v>8</v>
      </c>
      <c r="B96" s="63" t="str">
        <f t="shared" ca="1" si="19"/>
        <v>Adulto</v>
      </c>
      <c r="C96" s="85" t="s">
        <v>1306</v>
      </c>
      <c r="D96" s="55" t="s">
        <v>698</v>
      </c>
      <c r="E96" s="62">
        <v>28716</v>
      </c>
      <c r="F96" s="55">
        <f t="shared" ca="1" si="15"/>
        <v>47</v>
      </c>
      <c r="G96" s="62">
        <v>44757</v>
      </c>
      <c r="H96" s="62">
        <f t="shared" ca="1" si="2"/>
        <v>46039</v>
      </c>
      <c r="I96" s="92" t="str">
        <f t="shared" ca="1" si="3"/>
        <v>3 Anos e 6 meses</v>
      </c>
      <c r="J96" s="55" t="s">
        <v>1307</v>
      </c>
      <c r="K96" s="55" t="s">
        <v>1308</v>
      </c>
      <c r="L96" s="55" t="s">
        <v>1309</v>
      </c>
      <c r="M96" s="55" t="s">
        <v>1310</v>
      </c>
      <c r="N96" s="55" t="s">
        <v>1311</v>
      </c>
      <c r="O96" s="63" t="s">
        <v>1312</v>
      </c>
      <c r="P96" s="63" t="s">
        <v>1313</v>
      </c>
      <c r="Q96" s="63" t="s">
        <v>706</v>
      </c>
      <c r="R96" s="63" t="s">
        <v>1314</v>
      </c>
      <c r="U96" s="62"/>
      <c r="V96" s="86" t="s">
        <v>1315</v>
      </c>
      <c r="W96" s="63" t="s">
        <v>769</v>
      </c>
      <c r="X96" s="93"/>
    </row>
    <row r="97" spans="1:24">
      <c r="A97" s="63">
        <f t="shared" si="12"/>
        <v>11</v>
      </c>
      <c r="B97" s="63" t="str">
        <f t="shared" ca="1" si="19"/>
        <v>Adolescente</v>
      </c>
      <c r="C97" s="85" t="s">
        <v>1316</v>
      </c>
      <c r="D97" s="55" t="s">
        <v>842</v>
      </c>
      <c r="E97" s="62">
        <v>41583</v>
      </c>
      <c r="F97" s="55">
        <f t="shared" ca="1" si="15"/>
        <v>12</v>
      </c>
      <c r="G97" s="62">
        <v>44810</v>
      </c>
      <c r="H97" s="62">
        <f t="shared" ca="1" si="2"/>
        <v>46039</v>
      </c>
      <c r="I97" s="92" t="str">
        <f t="shared" ca="1" si="3"/>
        <v>3 Anos e 4 meses</v>
      </c>
      <c r="J97" s="55"/>
      <c r="K97" s="55" t="s">
        <v>1317</v>
      </c>
      <c r="L97" s="55" t="s">
        <v>1318</v>
      </c>
      <c r="M97" s="55" t="s">
        <v>715</v>
      </c>
      <c r="N97" s="55"/>
      <c r="O97" s="63" t="s">
        <v>1319</v>
      </c>
      <c r="P97" s="63" t="s">
        <v>1320</v>
      </c>
      <c r="Q97" s="63" t="s">
        <v>896</v>
      </c>
      <c r="R97" s="63" t="s">
        <v>1321</v>
      </c>
      <c r="S97" s="63" t="s">
        <v>1322</v>
      </c>
      <c r="T97" s="63" t="s">
        <v>1323</v>
      </c>
      <c r="U97" s="55"/>
      <c r="V97" s="86" t="s">
        <v>1324</v>
      </c>
      <c r="W97" s="63" t="s">
        <v>1325</v>
      </c>
      <c r="X97" s="93" t="s">
        <v>1326</v>
      </c>
    </row>
    <row r="98" spans="1:24">
      <c r="A98" s="63">
        <f t="shared" si="12"/>
        <v>1</v>
      </c>
      <c r="B98" s="103" t="str">
        <f t="shared" ca="1" si="19"/>
        <v>Adulto</v>
      </c>
      <c r="C98" s="104" t="s">
        <v>1327</v>
      </c>
      <c r="D98" s="55" t="s">
        <v>698</v>
      </c>
      <c r="E98" s="62">
        <v>30690</v>
      </c>
      <c r="F98" s="55">
        <f t="shared" ca="1" si="15"/>
        <v>42</v>
      </c>
      <c r="G98" s="62">
        <v>44939</v>
      </c>
      <c r="H98" s="62">
        <f t="shared" ca="1" si="2"/>
        <v>46039</v>
      </c>
      <c r="I98" s="92" t="str">
        <f t="shared" ca="1" si="3"/>
        <v>3 Anos e 0 meses</v>
      </c>
      <c r="J98" s="55" t="s">
        <v>1328</v>
      </c>
      <c r="K98" s="55" t="s">
        <v>1329</v>
      </c>
      <c r="L98" s="55"/>
      <c r="M98" s="55"/>
      <c r="N98" s="55"/>
      <c r="Q98" s="63" t="s">
        <v>706</v>
      </c>
      <c r="U98" s="55"/>
      <c r="V98" s="86"/>
      <c r="W98" s="63" t="s">
        <v>870</v>
      </c>
      <c r="X98" s="93" t="s">
        <v>1330</v>
      </c>
    </row>
    <row r="99" spans="1:24">
      <c r="A99" s="63">
        <f t="shared" si="12"/>
        <v>5</v>
      </c>
      <c r="B99" s="63" t="str">
        <f t="shared" ca="1" si="19"/>
        <v>Jovem</v>
      </c>
      <c r="C99" s="85" t="s">
        <v>1331</v>
      </c>
      <c r="D99" s="55" t="s">
        <v>842</v>
      </c>
      <c r="E99" s="62">
        <v>37035</v>
      </c>
      <c r="F99" s="55">
        <f t="shared" ca="1" si="15"/>
        <v>24</v>
      </c>
      <c r="G99" s="62">
        <v>45086</v>
      </c>
      <c r="H99" s="62">
        <f t="shared" ca="1" si="2"/>
        <v>46039</v>
      </c>
      <c r="I99" s="92" t="str">
        <f t="shared" ca="1" si="3"/>
        <v>2 Anos e 7 meses</v>
      </c>
      <c r="J99" s="55" t="s">
        <v>1332</v>
      </c>
      <c r="K99" s="55" t="s">
        <v>1333</v>
      </c>
      <c r="L99" s="55" t="s">
        <v>1334</v>
      </c>
      <c r="M99" s="55" t="s">
        <v>1335</v>
      </c>
      <c r="N99" s="55"/>
      <c r="O99" s="63" t="s">
        <v>1336</v>
      </c>
      <c r="P99" s="63" t="s">
        <v>1337</v>
      </c>
      <c r="Q99" s="63" t="s">
        <v>706</v>
      </c>
      <c r="R99" s="63" t="s">
        <v>1338</v>
      </c>
      <c r="S99" s="63" t="s">
        <v>1339</v>
      </c>
      <c r="T99" s="63" t="s">
        <v>1340</v>
      </c>
      <c r="U99" s="55"/>
      <c r="V99" s="86" t="s">
        <v>1341</v>
      </c>
      <c r="W99" s="63" t="s">
        <v>769</v>
      </c>
      <c r="X99" s="93" t="s">
        <v>1342</v>
      </c>
    </row>
    <row r="100" spans="1:24">
      <c r="A100" s="63">
        <f t="shared" si="12"/>
        <v>11</v>
      </c>
      <c r="B100" s="63" t="str">
        <f t="shared" ca="1" si="19"/>
        <v>Adulto</v>
      </c>
      <c r="C100" s="85" t="s">
        <v>1343</v>
      </c>
      <c r="D100" s="55" t="s">
        <v>698</v>
      </c>
      <c r="E100" s="62">
        <v>33207</v>
      </c>
      <c r="F100" s="55">
        <f t="shared" ca="1" si="15"/>
        <v>35</v>
      </c>
      <c r="G100" s="62">
        <v>45106</v>
      </c>
      <c r="H100" s="62">
        <f t="shared" ca="1" si="2"/>
        <v>46039</v>
      </c>
      <c r="I100" s="92" t="str">
        <f t="shared" ca="1" si="3"/>
        <v>2 Anos e 6 meses</v>
      </c>
      <c r="J100" s="55" t="s">
        <v>1344</v>
      </c>
      <c r="K100" s="55" t="s">
        <v>1345</v>
      </c>
      <c r="L100" s="55" t="s">
        <v>1346</v>
      </c>
      <c r="M100" s="55" t="s">
        <v>1347</v>
      </c>
      <c r="N100" s="55" t="s">
        <v>1348</v>
      </c>
      <c r="O100" s="63" t="s">
        <v>1349</v>
      </c>
      <c r="P100" s="63" t="s">
        <v>1350</v>
      </c>
      <c r="Q100" s="63" t="s">
        <v>706</v>
      </c>
      <c r="R100" s="63" t="s">
        <v>1351</v>
      </c>
      <c r="S100" s="63" t="s">
        <v>1352</v>
      </c>
      <c r="T100" s="63" t="s">
        <v>1353</v>
      </c>
      <c r="U100" s="55"/>
      <c r="V100" s="86" t="s">
        <v>1354</v>
      </c>
      <c r="W100" s="63" t="s">
        <v>1124</v>
      </c>
      <c r="X100" s="93" t="s">
        <v>1355</v>
      </c>
    </row>
    <row r="101" spans="1:24">
      <c r="A101" s="63">
        <f t="shared" si="12"/>
        <v>8</v>
      </c>
      <c r="B101" s="63" t="str">
        <f t="shared" ca="1" si="19"/>
        <v>Adulto</v>
      </c>
      <c r="C101" s="85" t="s">
        <v>1356</v>
      </c>
      <c r="D101" s="55" t="s">
        <v>698</v>
      </c>
      <c r="E101" s="62">
        <v>35658</v>
      </c>
      <c r="F101" s="55">
        <f t="shared" ca="1" si="15"/>
        <v>28</v>
      </c>
      <c r="G101" s="62">
        <v>45118</v>
      </c>
      <c r="H101" s="62">
        <f t="shared" ca="1" si="2"/>
        <v>46039</v>
      </c>
      <c r="I101" s="92" t="str">
        <f t="shared" ca="1" si="3"/>
        <v>2 Anos e 6 meses</v>
      </c>
      <c r="J101" s="55" t="s">
        <v>1357</v>
      </c>
      <c r="K101" s="55" t="s">
        <v>1358</v>
      </c>
      <c r="L101" s="55" t="s">
        <v>1359</v>
      </c>
      <c r="M101" s="55" t="s">
        <v>1360</v>
      </c>
      <c r="N101" s="55" t="s">
        <v>1361</v>
      </c>
      <c r="O101" s="63" t="s">
        <v>1362</v>
      </c>
      <c r="P101" s="63" t="s">
        <v>1363</v>
      </c>
      <c r="Q101" s="63" t="s">
        <v>706</v>
      </c>
      <c r="R101" s="63" t="s">
        <v>1364</v>
      </c>
      <c r="S101" s="63" t="s">
        <v>1365</v>
      </c>
      <c r="T101" s="63" t="s">
        <v>1366</v>
      </c>
      <c r="U101" s="55"/>
      <c r="V101" s="86" t="s">
        <v>1367</v>
      </c>
      <c r="W101" s="63" t="s">
        <v>870</v>
      </c>
      <c r="X101" s="93"/>
    </row>
    <row r="102" spans="1:24">
      <c r="A102" s="63">
        <f t="shared" si="12"/>
        <v>8</v>
      </c>
      <c r="B102" s="63" t="str">
        <f t="shared" ca="1" si="19"/>
        <v>Adulto</v>
      </c>
      <c r="C102" s="85" t="s">
        <v>1368</v>
      </c>
      <c r="D102" s="55" t="s">
        <v>698</v>
      </c>
      <c r="E102" s="62">
        <v>31637</v>
      </c>
      <c r="F102" s="55">
        <f t="shared" ca="1" si="15"/>
        <v>39</v>
      </c>
      <c r="G102" s="62">
        <v>45205</v>
      </c>
      <c r="H102" s="62">
        <f t="shared" ca="1" si="2"/>
        <v>46039</v>
      </c>
      <c r="I102" s="92" t="str">
        <f t="shared" ca="1" si="3"/>
        <v>2 Anos e 3 meses</v>
      </c>
      <c r="J102" s="55" t="s">
        <v>1369</v>
      </c>
      <c r="K102" s="55" t="s">
        <v>1358</v>
      </c>
      <c r="L102" s="55" t="s">
        <v>1370</v>
      </c>
      <c r="M102" s="55" t="s">
        <v>1371</v>
      </c>
      <c r="N102" s="55" t="s">
        <v>1372</v>
      </c>
      <c r="P102" s="63" t="s">
        <v>1373</v>
      </c>
      <c r="Q102" s="63" t="s">
        <v>706</v>
      </c>
      <c r="S102" s="63" t="s">
        <v>1374</v>
      </c>
      <c r="T102" s="63" t="s">
        <v>1375</v>
      </c>
      <c r="U102" s="55"/>
      <c r="V102" s="86" t="s">
        <v>1376</v>
      </c>
      <c r="W102" s="63" t="s">
        <v>1201</v>
      </c>
      <c r="X102" s="93"/>
    </row>
    <row r="103" spans="1:24">
      <c r="A103" s="63">
        <f t="shared" si="12"/>
        <v>11</v>
      </c>
      <c r="B103" s="103" t="str">
        <f t="shared" ca="1" si="19"/>
        <v>Adulto</v>
      </c>
      <c r="C103" s="104" t="s">
        <v>1377</v>
      </c>
      <c r="D103" s="55" t="s">
        <v>698</v>
      </c>
      <c r="E103" s="62">
        <v>33919</v>
      </c>
      <c r="F103" s="55">
        <f t="shared" ca="1" si="15"/>
        <v>33</v>
      </c>
      <c r="G103" s="97">
        <v>45210</v>
      </c>
      <c r="H103" s="62">
        <f t="shared" ca="1" si="2"/>
        <v>46039</v>
      </c>
      <c r="I103" s="92" t="str">
        <f t="shared" ca="1" si="3"/>
        <v>2 Anos e 3 meses</v>
      </c>
      <c r="J103" s="55" t="s">
        <v>1378</v>
      </c>
      <c r="K103" s="55" t="s">
        <v>1379</v>
      </c>
      <c r="L103" s="55" t="s">
        <v>1240</v>
      </c>
      <c r="M103" s="55" t="s">
        <v>1380</v>
      </c>
      <c r="N103" s="55"/>
      <c r="Q103" s="63" t="s">
        <v>1381</v>
      </c>
      <c r="T103" s="63" t="s">
        <v>1382</v>
      </c>
      <c r="U103" s="55"/>
      <c r="V103" s="86"/>
      <c r="W103" s="63" t="s">
        <v>1383</v>
      </c>
      <c r="X103" s="93"/>
    </row>
    <row r="104" spans="1:24">
      <c r="A104" s="63">
        <f t="shared" si="12"/>
        <v>4</v>
      </c>
      <c r="B104" s="63" t="str">
        <f t="shared" ca="1" si="19"/>
        <v>Jovem</v>
      </c>
      <c r="C104" s="104" t="s">
        <v>1384</v>
      </c>
      <c r="D104" s="55" t="s">
        <v>698</v>
      </c>
      <c r="E104" s="62">
        <v>36645</v>
      </c>
      <c r="F104" s="55">
        <f t="shared" ca="1" si="15"/>
        <v>25</v>
      </c>
      <c r="G104" s="97">
        <v>45217</v>
      </c>
      <c r="H104" s="62">
        <f t="shared" ca="1" si="2"/>
        <v>46039</v>
      </c>
      <c r="I104" s="92" t="str">
        <f t="shared" ca="1" si="3"/>
        <v>2 Anos e 3 meses</v>
      </c>
      <c r="J104" s="55" t="s">
        <v>1385</v>
      </c>
      <c r="K104" s="55" t="s">
        <v>1386</v>
      </c>
      <c r="L104" s="55"/>
      <c r="M104" s="55"/>
      <c r="N104" s="55"/>
      <c r="Q104" s="63" t="s">
        <v>1387</v>
      </c>
      <c r="U104" s="55"/>
      <c r="V104" s="86"/>
      <c r="W104" s="63" t="s">
        <v>769</v>
      </c>
      <c r="X104" s="93"/>
    </row>
    <row r="105" spans="1:24">
      <c r="A105" s="63">
        <f t="shared" si="12"/>
        <v>10</v>
      </c>
      <c r="B105" s="63" t="str">
        <f t="shared" ca="1" si="19"/>
        <v>Adulto</v>
      </c>
      <c r="C105" s="85" t="s">
        <v>1388</v>
      </c>
      <c r="D105" s="55" t="s">
        <v>698</v>
      </c>
      <c r="E105" s="62">
        <v>27687</v>
      </c>
      <c r="F105" s="55">
        <f t="shared" ca="1" si="15"/>
        <v>50</v>
      </c>
      <c r="G105" s="62">
        <v>45233</v>
      </c>
      <c r="H105" s="62">
        <f t="shared" ca="1" si="2"/>
        <v>46039</v>
      </c>
      <c r="I105" s="92" t="str">
        <f t="shared" ca="1" si="3"/>
        <v>2 Anos e 2 meses</v>
      </c>
      <c r="J105" s="55" t="s">
        <v>1389</v>
      </c>
      <c r="K105" s="55" t="s">
        <v>1390</v>
      </c>
      <c r="L105" s="55" t="s">
        <v>1391</v>
      </c>
      <c r="M105" s="55" t="s">
        <v>1392</v>
      </c>
      <c r="N105" s="55" t="s">
        <v>1393</v>
      </c>
      <c r="O105" s="63" t="s">
        <v>1394</v>
      </c>
      <c r="P105" s="63" t="s">
        <v>1260</v>
      </c>
      <c r="Q105" s="63" t="s">
        <v>706</v>
      </c>
      <c r="R105" s="63" t="s">
        <v>1395</v>
      </c>
      <c r="S105" s="63" t="s">
        <v>1396</v>
      </c>
      <c r="T105" s="63" t="s">
        <v>1397</v>
      </c>
      <c r="U105" s="55"/>
      <c r="V105" s="86" t="s">
        <v>1398</v>
      </c>
      <c r="W105" s="63" t="s">
        <v>769</v>
      </c>
      <c r="X105" s="93" t="s">
        <v>1399</v>
      </c>
    </row>
    <row r="106" spans="1:24">
      <c r="A106" s="63">
        <f t="shared" si="12"/>
        <v>11</v>
      </c>
      <c r="B106" s="63" t="str">
        <f t="shared" ca="1" si="19"/>
        <v>Adolescente</v>
      </c>
      <c r="C106" s="104" t="s">
        <v>1400</v>
      </c>
      <c r="D106" s="55" t="s">
        <v>698</v>
      </c>
      <c r="E106" s="62">
        <v>39775</v>
      </c>
      <c r="F106" s="55">
        <f t="shared" ca="1" si="15"/>
        <v>17</v>
      </c>
      <c r="G106" s="62">
        <v>45321</v>
      </c>
      <c r="H106" s="62">
        <f t="shared" ca="1" si="2"/>
        <v>46039</v>
      </c>
      <c r="I106" s="92" t="str">
        <f t="shared" ca="1" si="3"/>
        <v>1 Anos e 11 meses</v>
      </c>
      <c r="J106" s="55" t="s">
        <v>1401</v>
      </c>
      <c r="K106" s="55" t="s">
        <v>1287</v>
      </c>
      <c r="L106" s="55"/>
      <c r="M106" s="55"/>
      <c r="N106" s="55"/>
      <c r="U106" s="55"/>
      <c r="V106" s="86"/>
      <c r="W106" s="63" t="s">
        <v>1402</v>
      </c>
      <c r="X106" s="93"/>
    </row>
    <row r="107" spans="1:24">
      <c r="A107" s="63">
        <f t="shared" si="12"/>
        <v>5</v>
      </c>
      <c r="B107" s="63" t="str">
        <f t="shared" ca="1" si="19"/>
        <v>Adulto</v>
      </c>
      <c r="C107" s="104" t="s">
        <v>1403</v>
      </c>
      <c r="D107" s="55" t="s">
        <v>698</v>
      </c>
      <c r="E107" s="62">
        <v>35556</v>
      </c>
      <c r="F107" s="55">
        <f t="shared" ca="1" si="15"/>
        <v>28</v>
      </c>
      <c r="G107" s="62">
        <v>45385</v>
      </c>
      <c r="H107" s="62">
        <f t="shared" ca="1" si="2"/>
        <v>46039</v>
      </c>
      <c r="I107" s="92" t="str">
        <f t="shared" ca="1" si="3"/>
        <v>1 Anos e 9 meses</v>
      </c>
      <c r="J107" s="55" t="s">
        <v>1404</v>
      </c>
      <c r="K107" s="55"/>
      <c r="L107" s="55"/>
      <c r="M107" s="55"/>
      <c r="N107" s="55"/>
      <c r="U107" s="55"/>
      <c r="V107" s="86"/>
      <c r="W107" s="63" t="s">
        <v>1124</v>
      </c>
      <c r="X107" s="93"/>
    </row>
    <row r="108" spans="1:24">
      <c r="A108" s="63">
        <f t="shared" si="12"/>
        <v>9</v>
      </c>
      <c r="B108" s="63" t="str">
        <f t="shared" ca="1" si="19"/>
        <v>Adulto</v>
      </c>
      <c r="C108" s="85" t="s">
        <v>1405</v>
      </c>
      <c r="D108" s="55" t="s">
        <v>698</v>
      </c>
      <c r="E108" s="62">
        <v>27274</v>
      </c>
      <c r="F108" s="55">
        <f t="shared" ca="1" si="15"/>
        <v>51</v>
      </c>
      <c r="G108" s="62">
        <v>45448</v>
      </c>
      <c r="H108" s="62">
        <f t="shared" ca="1" si="2"/>
        <v>46039</v>
      </c>
      <c r="I108" s="92" t="str">
        <f t="shared" ca="1" si="3"/>
        <v>1 Anos e 7 meses</v>
      </c>
      <c r="J108" s="55" t="s">
        <v>1406</v>
      </c>
      <c r="K108" s="55" t="s">
        <v>1407</v>
      </c>
      <c r="L108" s="55" t="s">
        <v>1408</v>
      </c>
      <c r="M108" s="55" t="s">
        <v>1409</v>
      </c>
      <c r="N108" s="55" t="s">
        <v>1410</v>
      </c>
      <c r="O108" s="63" t="s">
        <v>1411</v>
      </c>
      <c r="P108" s="63" t="s">
        <v>1412</v>
      </c>
      <c r="Q108" s="63" t="s">
        <v>1413</v>
      </c>
      <c r="R108" s="63" t="s">
        <v>1414</v>
      </c>
      <c r="S108" s="63" t="s">
        <v>1415</v>
      </c>
      <c r="T108" s="63" t="s">
        <v>1416</v>
      </c>
      <c r="U108" s="55"/>
      <c r="V108" s="86" t="s">
        <v>1417</v>
      </c>
      <c r="W108" s="63" t="s">
        <v>1418</v>
      </c>
      <c r="X108" s="93"/>
    </row>
    <row r="109" spans="1:24">
      <c r="A109" s="63">
        <f t="shared" si="12"/>
        <v>10</v>
      </c>
      <c r="B109" s="63" t="str">
        <f t="shared" ca="1" si="19"/>
        <v>Adulto</v>
      </c>
      <c r="C109" s="104" t="s">
        <v>1419</v>
      </c>
      <c r="D109" s="55" t="s">
        <v>698</v>
      </c>
      <c r="E109" s="62">
        <v>29137</v>
      </c>
      <c r="F109" s="55">
        <f t="shared" ca="1" si="15"/>
        <v>46</v>
      </c>
      <c r="G109" s="62">
        <v>45568</v>
      </c>
      <c r="H109" s="62">
        <f t="shared" ca="1" si="2"/>
        <v>46039</v>
      </c>
      <c r="I109" s="92" t="str">
        <f t="shared" ca="1" si="3"/>
        <v>1 Anos e 3 meses</v>
      </c>
      <c r="J109" s="55" t="s">
        <v>1420</v>
      </c>
      <c r="K109" s="55" t="s">
        <v>1421</v>
      </c>
      <c r="L109" s="55"/>
      <c r="M109" s="55"/>
      <c r="N109" s="55"/>
      <c r="Q109" s="63" t="s">
        <v>1422</v>
      </c>
      <c r="U109" s="55"/>
      <c r="V109" s="86"/>
      <c r="W109" s="63" t="s">
        <v>1423</v>
      </c>
      <c r="X109" s="93"/>
    </row>
    <row r="110" spans="1:24">
      <c r="A110" s="63">
        <f t="shared" si="12"/>
        <v>1</v>
      </c>
      <c r="B110" s="63" t="str">
        <f t="shared" ca="1" si="19"/>
        <v>Adulto</v>
      </c>
      <c r="C110" s="85" t="s">
        <v>1424</v>
      </c>
      <c r="D110" s="55" t="s">
        <v>698</v>
      </c>
      <c r="E110" s="62">
        <v>31787</v>
      </c>
      <c r="F110" s="55">
        <f t="shared" ca="1" si="15"/>
        <v>39</v>
      </c>
      <c r="G110" s="62">
        <v>45142</v>
      </c>
      <c r="H110" s="62">
        <f t="shared" ca="1" si="2"/>
        <v>45182</v>
      </c>
      <c r="I110" s="92" t="str">
        <f t="shared" ca="1" si="3"/>
        <v>0 Anos e 1 meses</v>
      </c>
      <c r="J110" s="55" t="s">
        <v>1425</v>
      </c>
      <c r="K110" s="55" t="s">
        <v>937</v>
      </c>
      <c r="L110" s="55" t="s">
        <v>1426</v>
      </c>
      <c r="M110" s="55" t="s">
        <v>1427</v>
      </c>
      <c r="N110" s="55" t="s">
        <v>1428</v>
      </c>
      <c r="O110" s="63" t="s">
        <v>1429</v>
      </c>
      <c r="P110" s="63" t="s">
        <v>1430</v>
      </c>
      <c r="Q110" s="63" t="s">
        <v>1057</v>
      </c>
      <c r="R110" s="63" t="s">
        <v>1431</v>
      </c>
      <c r="S110" s="63" t="s">
        <v>1432</v>
      </c>
      <c r="T110" s="63" t="s">
        <v>1433</v>
      </c>
      <c r="U110" s="62">
        <v>45182</v>
      </c>
      <c r="V110" s="86" t="s">
        <v>1434</v>
      </c>
      <c r="W110" s="63" t="s">
        <v>332</v>
      </c>
      <c r="X110" s="93"/>
    </row>
    <row r="111" spans="1:24">
      <c r="A111" s="63" t="str">
        <f t="shared" si="12"/>
        <v/>
      </c>
      <c r="B111" s="63" t="str">
        <f t="shared" ca="1" si="19"/>
        <v/>
      </c>
      <c r="C111" s="85"/>
      <c r="D111" s="62"/>
      <c r="E111" s="62"/>
      <c r="F111" s="55" t="str">
        <f t="shared" ca="1" si="15"/>
        <v/>
      </c>
      <c r="G111" s="55"/>
      <c r="H111" s="62">
        <f t="shared" ca="1" si="2"/>
        <v>46039</v>
      </c>
      <c r="I111" s="92" t="str">
        <f t="shared" si="3"/>
        <v/>
      </c>
      <c r="J111" s="55"/>
      <c r="K111" s="55"/>
      <c r="L111" s="55"/>
      <c r="M111" s="55"/>
      <c r="N111" s="55"/>
      <c r="U111" s="55"/>
      <c r="V111" s="86"/>
      <c r="X111" s="93"/>
    </row>
    <row r="112" spans="1:24">
      <c r="A112" s="63" t="str">
        <f t="shared" si="12"/>
        <v/>
      </c>
      <c r="B112" s="63" t="str">
        <f t="shared" ca="1" si="19"/>
        <v/>
      </c>
      <c r="C112" s="85"/>
      <c r="D112" s="62"/>
      <c r="E112" s="62"/>
      <c r="F112" s="55" t="str">
        <f t="shared" ca="1" si="15"/>
        <v/>
      </c>
      <c r="G112" s="55"/>
      <c r="H112" s="62">
        <f t="shared" ca="1" si="2"/>
        <v>46039</v>
      </c>
      <c r="I112" s="92" t="str">
        <f t="shared" si="3"/>
        <v/>
      </c>
      <c r="J112" s="55"/>
      <c r="K112" s="55"/>
      <c r="L112" s="55"/>
      <c r="M112" s="55"/>
      <c r="N112" s="55"/>
      <c r="U112" s="55"/>
      <c r="V112" s="86"/>
      <c r="X112" s="93"/>
    </row>
    <row r="113" spans="1:24">
      <c r="A113" s="63" t="str">
        <f t="shared" si="12"/>
        <v/>
      </c>
      <c r="B113" s="63" t="str">
        <f t="shared" ca="1" si="19"/>
        <v/>
      </c>
      <c r="C113" s="85"/>
      <c r="D113" s="62"/>
      <c r="E113" s="62"/>
      <c r="F113" s="55" t="str">
        <f t="shared" ca="1" si="15"/>
        <v/>
      </c>
      <c r="G113" s="55"/>
      <c r="H113" s="62">
        <f t="shared" ca="1" si="2"/>
        <v>46039</v>
      </c>
      <c r="I113" s="92" t="str">
        <f t="shared" si="3"/>
        <v/>
      </c>
      <c r="J113" s="55"/>
      <c r="K113" s="55"/>
      <c r="L113" s="55"/>
      <c r="M113" s="55"/>
      <c r="N113" s="55"/>
      <c r="U113" s="55"/>
      <c r="V113" s="86"/>
      <c r="X113" s="93"/>
    </row>
    <row r="114" spans="1:24">
      <c r="A114" s="63" t="str">
        <f t="shared" si="12"/>
        <v/>
      </c>
      <c r="B114" s="63" t="str">
        <f t="shared" ca="1" si="19"/>
        <v/>
      </c>
      <c r="C114" s="85"/>
      <c r="D114" s="62"/>
      <c r="E114" s="62"/>
      <c r="F114" s="55" t="str">
        <f t="shared" ca="1" si="15"/>
        <v/>
      </c>
      <c r="G114" s="55"/>
      <c r="H114" s="62">
        <f t="shared" ca="1" si="2"/>
        <v>46039</v>
      </c>
      <c r="I114" s="92" t="str">
        <f t="shared" si="3"/>
        <v/>
      </c>
      <c r="J114" s="55"/>
      <c r="K114" s="55"/>
      <c r="L114" s="55"/>
      <c r="M114" s="55"/>
      <c r="N114" s="55"/>
      <c r="U114" s="55"/>
      <c r="V114" s="86"/>
      <c r="X114" s="93"/>
    </row>
    <row r="115" spans="1:24">
      <c r="A115" s="63" t="str">
        <f t="shared" si="12"/>
        <v/>
      </c>
      <c r="B115" s="63" t="str">
        <f t="shared" ca="1" si="19"/>
        <v/>
      </c>
      <c r="C115" s="85"/>
      <c r="D115" s="62"/>
      <c r="E115" s="62"/>
      <c r="F115" s="55" t="str">
        <f t="shared" ca="1" si="15"/>
        <v/>
      </c>
      <c r="G115" s="55"/>
      <c r="H115" s="62">
        <f t="shared" ca="1" si="2"/>
        <v>46039</v>
      </c>
      <c r="I115" s="92" t="str">
        <f t="shared" si="3"/>
        <v/>
      </c>
      <c r="J115" s="55"/>
      <c r="K115" s="55"/>
      <c r="L115" s="55"/>
      <c r="M115" s="55"/>
      <c r="N115" s="55"/>
      <c r="U115" s="55"/>
      <c r="V115" s="86"/>
      <c r="X115" s="93"/>
    </row>
    <row r="116" spans="1:24">
      <c r="A116" s="63" t="str">
        <f t="shared" si="12"/>
        <v/>
      </c>
      <c r="B116" s="63" t="str">
        <f t="shared" ca="1" si="19"/>
        <v/>
      </c>
      <c r="C116" s="85"/>
      <c r="D116" s="62"/>
      <c r="E116" s="62"/>
      <c r="F116" s="55" t="str">
        <f t="shared" ca="1" si="15"/>
        <v/>
      </c>
      <c r="G116" s="55"/>
      <c r="H116" s="62">
        <f t="shared" ca="1" si="2"/>
        <v>46039</v>
      </c>
      <c r="I116" s="92" t="str">
        <f t="shared" si="3"/>
        <v/>
      </c>
      <c r="J116" s="55"/>
      <c r="K116" s="55"/>
      <c r="L116" s="55"/>
      <c r="M116" s="55"/>
      <c r="N116" s="55"/>
      <c r="U116" s="55"/>
      <c r="V116" s="86"/>
      <c r="X116" s="93"/>
    </row>
    <row r="117" spans="1:24">
      <c r="A117" s="63" t="str">
        <f t="shared" si="12"/>
        <v/>
      </c>
      <c r="B117" s="63" t="str">
        <f t="shared" ca="1" si="19"/>
        <v/>
      </c>
      <c r="C117" s="85"/>
      <c r="D117" s="62"/>
      <c r="E117" s="62"/>
      <c r="F117" s="55" t="str">
        <f t="shared" ca="1" si="15"/>
        <v/>
      </c>
      <c r="G117" s="55"/>
      <c r="H117" s="62">
        <f t="shared" ca="1" si="2"/>
        <v>46039</v>
      </c>
      <c r="I117" s="92" t="str">
        <f t="shared" si="3"/>
        <v/>
      </c>
      <c r="J117" s="55"/>
      <c r="K117" s="55"/>
      <c r="L117" s="55"/>
      <c r="M117" s="55"/>
      <c r="N117" s="55"/>
      <c r="U117" s="55"/>
      <c r="V117" s="86"/>
      <c r="X117" s="93"/>
    </row>
    <row r="118" spans="1:24">
      <c r="A118" s="63" t="str">
        <f t="shared" si="12"/>
        <v/>
      </c>
      <c r="B118" s="63" t="str">
        <f t="shared" ca="1" si="19"/>
        <v/>
      </c>
      <c r="C118" s="85"/>
      <c r="D118" s="62"/>
      <c r="E118" s="62"/>
      <c r="F118" s="55" t="str">
        <f t="shared" ca="1" si="15"/>
        <v/>
      </c>
      <c r="G118" s="55"/>
      <c r="H118" s="62">
        <f t="shared" ca="1" si="2"/>
        <v>46039</v>
      </c>
      <c r="I118" s="92" t="str">
        <f t="shared" si="3"/>
        <v/>
      </c>
      <c r="J118" s="55"/>
      <c r="K118" s="55"/>
      <c r="L118" s="55"/>
      <c r="M118" s="55"/>
      <c r="N118" s="55"/>
      <c r="U118" s="55"/>
      <c r="V118" s="86"/>
      <c r="X118" s="93"/>
    </row>
    <row r="119" spans="1:24">
      <c r="A119" s="63" t="str">
        <f t="shared" si="12"/>
        <v/>
      </c>
      <c r="B119" s="63" t="str">
        <f t="shared" ca="1" si="19"/>
        <v/>
      </c>
      <c r="C119" s="85"/>
      <c r="D119" s="62"/>
      <c r="E119" s="62"/>
      <c r="F119" s="55" t="str">
        <f t="shared" ca="1" si="15"/>
        <v/>
      </c>
      <c r="G119" s="55"/>
      <c r="H119" s="62">
        <f t="shared" ca="1" si="2"/>
        <v>46039</v>
      </c>
      <c r="I119" s="92" t="str">
        <f t="shared" si="3"/>
        <v/>
      </c>
      <c r="J119" s="55"/>
      <c r="K119" s="55"/>
      <c r="L119" s="55"/>
      <c r="M119" s="55"/>
      <c r="N119" s="55"/>
      <c r="U119" s="55"/>
      <c r="V119" s="86"/>
      <c r="X119" s="93"/>
    </row>
    <row r="120" spans="1:24">
      <c r="A120" s="63" t="str">
        <f t="shared" si="12"/>
        <v/>
      </c>
      <c r="B120" s="63" t="str">
        <f t="shared" ca="1" si="19"/>
        <v/>
      </c>
      <c r="C120" s="85"/>
      <c r="D120" s="62"/>
      <c r="E120" s="62"/>
      <c r="F120" s="55" t="str">
        <f t="shared" ca="1" si="15"/>
        <v/>
      </c>
      <c r="G120" s="55"/>
      <c r="H120" s="62">
        <f t="shared" ca="1" si="2"/>
        <v>46039</v>
      </c>
      <c r="I120" s="92" t="str">
        <f t="shared" si="3"/>
        <v/>
      </c>
      <c r="J120" s="55"/>
      <c r="K120" s="55"/>
      <c r="L120" s="55"/>
      <c r="M120" s="55"/>
      <c r="N120" s="55"/>
      <c r="U120" s="55"/>
      <c r="V120" s="86"/>
      <c r="X120" s="93"/>
    </row>
    <row r="121" spans="1:24">
      <c r="A121" s="63" t="str">
        <f t="shared" si="12"/>
        <v/>
      </c>
      <c r="B121" s="63" t="str">
        <f t="shared" ca="1" si="19"/>
        <v/>
      </c>
      <c r="C121" s="85"/>
      <c r="D121" s="62"/>
      <c r="E121" s="62"/>
      <c r="F121" s="55" t="str">
        <f t="shared" ca="1" si="15"/>
        <v/>
      </c>
      <c r="G121" s="55"/>
      <c r="H121" s="62">
        <f t="shared" ca="1" si="2"/>
        <v>46039</v>
      </c>
      <c r="I121" s="92" t="str">
        <f t="shared" si="3"/>
        <v/>
      </c>
      <c r="J121" s="55"/>
      <c r="K121" s="55"/>
      <c r="L121" s="55"/>
      <c r="M121" s="55"/>
      <c r="N121" s="55"/>
      <c r="U121" s="55"/>
      <c r="V121" s="86"/>
      <c r="X121" s="93"/>
    </row>
    <row r="122" spans="1:24">
      <c r="A122" s="63" t="str">
        <f t="shared" si="12"/>
        <v/>
      </c>
      <c r="B122" s="63" t="str">
        <f t="shared" ca="1" si="19"/>
        <v/>
      </c>
      <c r="C122" s="85"/>
      <c r="D122" s="62"/>
      <c r="E122" s="62"/>
      <c r="F122" s="55" t="str">
        <f t="shared" ca="1" si="15"/>
        <v/>
      </c>
      <c r="G122" s="55"/>
      <c r="H122" s="62">
        <f t="shared" ca="1" si="2"/>
        <v>46039</v>
      </c>
      <c r="I122" s="92" t="str">
        <f t="shared" si="3"/>
        <v/>
      </c>
      <c r="J122" s="55"/>
      <c r="K122" s="55"/>
      <c r="L122" s="55"/>
      <c r="M122" s="55"/>
      <c r="N122" s="55"/>
      <c r="U122" s="55"/>
      <c r="V122" s="86"/>
      <c r="X122" s="93"/>
    </row>
    <row r="123" spans="1:24">
      <c r="A123" s="63" t="str">
        <f t="shared" si="12"/>
        <v/>
      </c>
      <c r="B123" s="63" t="str">
        <f t="shared" ca="1" si="19"/>
        <v/>
      </c>
      <c r="C123" s="85"/>
      <c r="D123" s="62"/>
      <c r="E123" s="62"/>
      <c r="F123" s="55" t="str">
        <f t="shared" ca="1" si="15"/>
        <v/>
      </c>
      <c r="G123" s="55"/>
      <c r="H123" s="62">
        <f t="shared" ca="1" si="2"/>
        <v>46039</v>
      </c>
      <c r="I123" s="92" t="str">
        <f t="shared" si="3"/>
        <v/>
      </c>
      <c r="J123" s="55"/>
      <c r="K123" s="55"/>
      <c r="L123" s="55"/>
      <c r="M123" s="55"/>
      <c r="N123" s="55"/>
      <c r="U123" s="55"/>
      <c r="V123" s="86"/>
      <c r="X123" s="93"/>
    </row>
    <row r="124" spans="1:24">
      <c r="A124" s="63" t="str">
        <f t="shared" si="12"/>
        <v/>
      </c>
      <c r="B124" s="63" t="str">
        <f t="shared" ca="1" si="19"/>
        <v/>
      </c>
      <c r="C124" s="85"/>
      <c r="D124" s="62"/>
      <c r="E124" s="62"/>
      <c r="F124" s="55" t="str">
        <f t="shared" ca="1" si="15"/>
        <v/>
      </c>
      <c r="G124" s="55"/>
      <c r="H124" s="62">
        <f t="shared" ca="1" si="2"/>
        <v>46039</v>
      </c>
      <c r="I124" s="92" t="str">
        <f t="shared" si="3"/>
        <v/>
      </c>
      <c r="J124" s="55"/>
      <c r="K124" s="55"/>
      <c r="L124" s="55"/>
      <c r="M124" s="55"/>
      <c r="N124" s="55"/>
      <c r="U124" s="55"/>
      <c r="V124" s="86"/>
      <c r="X124" s="93"/>
    </row>
    <row r="125" spans="1:24">
      <c r="A125" s="63" t="str">
        <f t="shared" si="12"/>
        <v/>
      </c>
      <c r="B125" s="63" t="str">
        <f t="shared" ca="1" si="19"/>
        <v/>
      </c>
      <c r="C125" s="85"/>
      <c r="D125" s="62"/>
      <c r="E125" s="62"/>
      <c r="F125" s="55" t="str">
        <f t="shared" ca="1" si="15"/>
        <v/>
      </c>
      <c r="G125" s="55"/>
      <c r="H125" s="62">
        <f t="shared" ca="1" si="2"/>
        <v>46039</v>
      </c>
      <c r="I125" s="92" t="str">
        <f t="shared" si="3"/>
        <v/>
      </c>
      <c r="J125" s="55"/>
      <c r="K125" s="55"/>
      <c r="L125" s="55"/>
      <c r="M125" s="55"/>
      <c r="N125" s="55"/>
      <c r="U125" s="55"/>
      <c r="V125" s="86"/>
      <c r="X125" s="93"/>
    </row>
    <row r="126" spans="1:24">
      <c r="A126" s="63" t="str">
        <f t="shared" si="12"/>
        <v/>
      </c>
      <c r="B126" s="63" t="str">
        <f t="shared" ca="1" si="19"/>
        <v/>
      </c>
      <c r="C126" s="85"/>
      <c r="D126" s="62"/>
      <c r="E126" s="62"/>
      <c r="F126" s="55" t="str">
        <f t="shared" ca="1" si="15"/>
        <v/>
      </c>
      <c r="G126" s="55"/>
      <c r="H126" s="62">
        <f t="shared" ca="1" si="2"/>
        <v>46039</v>
      </c>
      <c r="I126" s="92" t="str">
        <f t="shared" si="3"/>
        <v/>
      </c>
      <c r="J126" s="55"/>
      <c r="K126" s="55"/>
      <c r="L126" s="55"/>
      <c r="M126" s="55"/>
      <c r="N126" s="55"/>
      <c r="U126" s="55"/>
      <c r="V126" s="86"/>
      <c r="X126" s="93"/>
    </row>
    <row r="127" spans="1:24">
      <c r="A127" s="63" t="str">
        <f t="shared" si="12"/>
        <v/>
      </c>
      <c r="B127" s="63" t="str">
        <f t="shared" ca="1" si="19"/>
        <v/>
      </c>
      <c r="C127" s="85"/>
      <c r="D127" s="62"/>
      <c r="E127" s="62"/>
      <c r="F127" s="55" t="str">
        <f t="shared" ca="1" si="15"/>
        <v/>
      </c>
      <c r="G127" s="55"/>
      <c r="H127" s="62">
        <f t="shared" ca="1" si="2"/>
        <v>46039</v>
      </c>
      <c r="I127" s="92" t="str">
        <f t="shared" si="3"/>
        <v/>
      </c>
      <c r="J127" s="55"/>
      <c r="K127" s="55"/>
      <c r="L127" s="55"/>
      <c r="M127" s="55"/>
      <c r="N127" s="55"/>
      <c r="U127" s="55"/>
      <c r="V127" s="86"/>
      <c r="X127" s="93"/>
    </row>
    <row r="128" spans="1:24">
      <c r="A128" s="63" t="str">
        <f t="shared" si="12"/>
        <v/>
      </c>
      <c r="B128" s="63" t="str">
        <f t="shared" ca="1" si="19"/>
        <v/>
      </c>
      <c r="C128" s="85"/>
      <c r="D128" s="62"/>
      <c r="E128" s="62"/>
      <c r="F128" s="55" t="str">
        <f t="shared" ca="1" si="15"/>
        <v/>
      </c>
      <c r="G128" s="55"/>
      <c r="H128" s="62">
        <f t="shared" ca="1" si="2"/>
        <v>46039</v>
      </c>
      <c r="I128" s="92" t="str">
        <f t="shared" si="3"/>
        <v/>
      </c>
      <c r="J128" s="55"/>
      <c r="K128" s="55"/>
      <c r="L128" s="55"/>
      <c r="M128" s="55"/>
      <c r="N128" s="55"/>
      <c r="U128" s="55"/>
      <c r="V128" s="86"/>
      <c r="X128" s="93"/>
    </row>
    <row r="129" spans="1:24">
      <c r="A129" s="63" t="str">
        <f t="shared" si="12"/>
        <v/>
      </c>
      <c r="B129" s="63" t="str">
        <f t="shared" ca="1" si="19"/>
        <v/>
      </c>
      <c r="C129" s="85"/>
      <c r="D129" s="62"/>
      <c r="E129" s="62"/>
      <c r="F129" s="55" t="str">
        <f t="shared" ca="1" si="15"/>
        <v/>
      </c>
      <c r="G129" s="55"/>
      <c r="H129" s="62">
        <f t="shared" ca="1" si="2"/>
        <v>46039</v>
      </c>
      <c r="I129" s="92" t="str">
        <f t="shared" si="3"/>
        <v/>
      </c>
      <c r="J129" s="55"/>
      <c r="K129" s="55"/>
      <c r="L129" s="55"/>
      <c r="M129" s="55"/>
      <c r="N129" s="55"/>
      <c r="U129" s="55"/>
      <c r="V129" s="86"/>
      <c r="X129" s="93"/>
    </row>
    <row r="130" spans="1:24">
      <c r="A130" s="63" t="str">
        <f t="shared" si="12"/>
        <v/>
      </c>
      <c r="B130" s="63" t="str">
        <f t="shared" ca="1" si="19"/>
        <v/>
      </c>
      <c r="C130" s="85"/>
      <c r="D130" s="62"/>
      <c r="E130" s="62"/>
      <c r="F130" s="55" t="str">
        <f t="shared" ca="1" si="15"/>
        <v/>
      </c>
      <c r="G130" s="55"/>
      <c r="H130" s="62">
        <f t="shared" ca="1" si="2"/>
        <v>46039</v>
      </c>
      <c r="I130" s="92" t="str">
        <f t="shared" si="3"/>
        <v/>
      </c>
      <c r="J130" s="55"/>
      <c r="K130" s="55"/>
      <c r="L130" s="55"/>
      <c r="M130" s="55"/>
      <c r="N130" s="55"/>
      <c r="U130" s="55"/>
      <c r="V130" s="86"/>
      <c r="X130" s="93"/>
    </row>
    <row r="131" spans="1:24">
      <c r="A131" s="63" t="str">
        <f t="shared" si="12"/>
        <v/>
      </c>
      <c r="B131" s="63" t="str">
        <f t="shared" ca="1" si="19"/>
        <v/>
      </c>
      <c r="C131" s="85"/>
      <c r="D131" s="62"/>
      <c r="E131" s="62"/>
      <c r="F131" s="55" t="str">
        <f t="shared" ca="1" si="15"/>
        <v/>
      </c>
      <c r="G131" s="55"/>
      <c r="H131" s="62">
        <f t="shared" ca="1" si="2"/>
        <v>46039</v>
      </c>
      <c r="I131" s="92" t="str">
        <f t="shared" si="3"/>
        <v/>
      </c>
      <c r="J131" s="55"/>
      <c r="K131" s="55"/>
      <c r="L131" s="55"/>
      <c r="M131" s="55"/>
      <c r="N131" s="55"/>
      <c r="U131" s="55"/>
      <c r="V131" s="86"/>
      <c r="X131" s="93"/>
    </row>
    <row r="132" spans="1:24">
      <c r="A132" s="63" t="str">
        <f t="shared" si="12"/>
        <v/>
      </c>
      <c r="B132" s="63" t="str">
        <f t="shared" ca="1" si="19"/>
        <v/>
      </c>
      <c r="C132" s="85"/>
      <c r="D132" s="62"/>
      <c r="E132" s="62"/>
      <c r="F132" s="55" t="str">
        <f t="shared" ca="1" si="15"/>
        <v/>
      </c>
      <c r="G132" s="55"/>
      <c r="H132" s="62">
        <f t="shared" ca="1" si="2"/>
        <v>46039</v>
      </c>
      <c r="I132" s="92" t="str">
        <f t="shared" si="3"/>
        <v/>
      </c>
      <c r="J132" s="55"/>
      <c r="K132" s="55"/>
      <c r="L132" s="55"/>
      <c r="M132" s="55"/>
      <c r="N132" s="55"/>
      <c r="U132" s="55"/>
      <c r="V132" s="86"/>
      <c r="X132" s="93"/>
    </row>
    <row r="133" spans="1:24">
      <c r="A133" s="63" t="str">
        <f t="shared" si="12"/>
        <v/>
      </c>
      <c r="B133" s="63" t="str">
        <f t="shared" ca="1" si="19"/>
        <v/>
      </c>
      <c r="C133" s="85"/>
      <c r="D133" s="62"/>
      <c r="E133" s="62"/>
      <c r="F133" s="55" t="str">
        <f t="shared" ca="1" si="15"/>
        <v/>
      </c>
      <c r="G133" s="55"/>
      <c r="H133" s="62">
        <f t="shared" ca="1" si="2"/>
        <v>46039</v>
      </c>
      <c r="I133" s="92" t="str">
        <f t="shared" si="3"/>
        <v/>
      </c>
      <c r="J133" s="55"/>
      <c r="K133" s="55"/>
      <c r="L133" s="55"/>
      <c r="M133" s="55"/>
      <c r="N133" s="55"/>
      <c r="U133" s="55"/>
      <c r="V133" s="86"/>
      <c r="X133" s="93"/>
    </row>
    <row r="134" spans="1:24">
      <c r="A134" s="63" t="str">
        <f t="shared" si="12"/>
        <v/>
      </c>
      <c r="B134" s="63" t="str">
        <f t="shared" ca="1" si="19"/>
        <v/>
      </c>
      <c r="C134" s="85"/>
      <c r="D134" s="62"/>
      <c r="E134" s="62"/>
      <c r="F134" s="55" t="str">
        <f t="shared" ca="1" si="15"/>
        <v/>
      </c>
      <c r="G134" s="55"/>
      <c r="H134" s="62">
        <f t="shared" ca="1" si="2"/>
        <v>46039</v>
      </c>
      <c r="I134" s="92" t="str">
        <f t="shared" si="3"/>
        <v/>
      </c>
      <c r="J134" s="55"/>
      <c r="K134" s="55"/>
      <c r="L134" s="55"/>
      <c r="M134" s="55"/>
      <c r="N134" s="55"/>
      <c r="U134" s="55"/>
      <c r="V134" s="86"/>
      <c r="X134" s="93"/>
    </row>
    <row r="135" spans="1:24">
      <c r="A135" s="63" t="str">
        <f t="shared" si="12"/>
        <v/>
      </c>
      <c r="B135" s="63" t="str">
        <f t="shared" ca="1" si="19"/>
        <v/>
      </c>
      <c r="C135" s="85"/>
      <c r="D135" s="62"/>
      <c r="E135" s="62"/>
      <c r="F135" s="55" t="str">
        <f t="shared" ca="1" si="15"/>
        <v/>
      </c>
      <c r="G135" s="55"/>
      <c r="H135" s="62">
        <f t="shared" ca="1" si="2"/>
        <v>46039</v>
      </c>
      <c r="I135" s="92" t="str">
        <f t="shared" si="3"/>
        <v/>
      </c>
      <c r="J135" s="55"/>
      <c r="K135" s="55"/>
      <c r="L135" s="55"/>
      <c r="M135" s="55"/>
      <c r="N135" s="55"/>
      <c r="U135" s="55"/>
      <c r="V135" s="86"/>
      <c r="X135" s="93"/>
    </row>
    <row r="136" spans="1:24">
      <c r="A136" s="63" t="str">
        <f t="shared" si="12"/>
        <v/>
      </c>
      <c r="B136" s="63" t="str">
        <f t="shared" ca="1" si="19"/>
        <v/>
      </c>
      <c r="C136" s="85"/>
      <c r="D136" s="62"/>
      <c r="E136" s="62"/>
      <c r="F136" s="55" t="str">
        <f t="shared" ca="1" si="15"/>
        <v/>
      </c>
      <c r="G136" s="55"/>
      <c r="H136" s="62">
        <f t="shared" ca="1" si="2"/>
        <v>46039</v>
      </c>
      <c r="I136" s="92" t="str">
        <f t="shared" si="3"/>
        <v/>
      </c>
      <c r="J136" s="55"/>
      <c r="K136" s="55"/>
      <c r="L136" s="55"/>
      <c r="M136" s="55"/>
      <c r="N136" s="55"/>
      <c r="U136" s="55"/>
      <c r="V136" s="86"/>
      <c r="X136" s="93"/>
    </row>
    <row r="137" spans="1:24">
      <c r="A137" s="63" t="str">
        <f t="shared" si="12"/>
        <v/>
      </c>
      <c r="B137" s="63" t="str">
        <f t="shared" ca="1" si="19"/>
        <v/>
      </c>
      <c r="C137" s="85"/>
      <c r="D137" s="62"/>
      <c r="E137" s="62"/>
      <c r="F137" s="55" t="str">
        <f t="shared" ca="1" si="15"/>
        <v/>
      </c>
      <c r="G137" s="55"/>
      <c r="H137" s="62">
        <f t="shared" ca="1" si="2"/>
        <v>46039</v>
      </c>
      <c r="I137" s="92" t="str">
        <f t="shared" si="3"/>
        <v/>
      </c>
      <c r="J137" s="55"/>
      <c r="K137" s="55"/>
      <c r="L137" s="55"/>
      <c r="M137" s="55"/>
      <c r="N137" s="55"/>
      <c r="U137" s="55"/>
      <c r="V137" s="86"/>
      <c r="X137" s="93"/>
    </row>
    <row r="138" spans="1:24">
      <c r="A138" s="63" t="str">
        <f t="shared" si="12"/>
        <v/>
      </c>
      <c r="B138" s="63" t="str">
        <f t="shared" ca="1" si="19"/>
        <v/>
      </c>
      <c r="C138" s="85"/>
      <c r="D138" s="62"/>
      <c r="E138" s="62"/>
      <c r="F138" s="55" t="str">
        <f t="shared" ca="1" si="15"/>
        <v/>
      </c>
      <c r="G138" s="55"/>
      <c r="H138" s="62">
        <f t="shared" ca="1" si="2"/>
        <v>46039</v>
      </c>
      <c r="I138" s="92" t="str">
        <f t="shared" si="3"/>
        <v/>
      </c>
      <c r="J138" s="55"/>
      <c r="K138" s="55"/>
      <c r="L138" s="55"/>
      <c r="M138" s="55"/>
      <c r="N138" s="55"/>
      <c r="U138" s="55"/>
      <c r="V138" s="86"/>
      <c r="X138" s="93"/>
    </row>
    <row r="139" spans="1:24">
      <c r="A139" s="63" t="str">
        <f t="shared" si="12"/>
        <v/>
      </c>
      <c r="B139" s="63" t="str">
        <f t="shared" ca="1" si="19"/>
        <v/>
      </c>
      <c r="C139" s="85"/>
      <c r="D139" s="62"/>
      <c r="E139" s="62"/>
      <c r="F139" s="55" t="str">
        <f t="shared" ca="1" si="15"/>
        <v/>
      </c>
      <c r="G139" s="55"/>
      <c r="H139" s="62">
        <f t="shared" ca="1" si="2"/>
        <v>46039</v>
      </c>
      <c r="I139" s="92" t="str">
        <f t="shared" si="3"/>
        <v/>
      </c>
      <c r="J139" s="55"/>
      <c r="K139" s="55"/>
      <c r="L139" s="55"/>
      <c r="M139" s="55"/>
      <c r="N139" s="55"/>
      <c r="U139" s="55"/>
      <c r="V139" s="86"/>
      <c r="X139" s="93"/>
    </row>
    <row r="140" spans="1:24">
      <c r="A140" s="63" t="str">
        <f t="shared" si="12"/>
        <v/>
      </c>
      <c r="B140" s="63" t="str">
        <f t="shared" ca="1" si="19"/>
        <v/>
      </c>
      <c r="C140" s="85"/>
      <c r="D140" s="62"/>
      <c r="E140" s="62"/>
      <c r="F140" s="55" t="str">
        <f t="shared" ca="1" si="15"/>
        <v/>
      </c>
      <c r="G140" s="55"/>
      <c r="H140" s="62">
        <f t="shared" ca="1" si="2"/>
        <v>46039</v>
      </c>
      <c r="I140" s="92" t="str">
        <f t="shared" si="3"/>
        <v/>
      </c>
      <c r="J140" s="55"/>
      <c r="K140" s="55"/>
      <c r="L140" s="55"/>
      <c r="M140" s="55"/>
      <c r="N140" s="55"/>
      <c r="U140" s="55"/>
      <c r="V140" s="86"/>
      <c r="X140" s="93"/>
    </row>
    <row r="141" spans="1:24">
      <c r="A141" s="63" t="str">
        <f t="shared" si="12"/>
        <v/>
      </c>
      <c r="B141" s="63" t="str">
        <f t="shared" si="19"/>
        <v/>
      </c>
      <c r="C141" s="85"/>
      <c r="D141" s="62"/>
      <c r="E141" s="62"/>
      <c r="F141" s="55"/>
      <c r="G141" s="55"/>
      <c r="H141" s="62">
        <f t="shared" ca="1" si="2"/>
        <v>46039</v>
      </c>
      <c r="I141" s="92" t="str">
        <f t="shared" si="3"/>
        <v/>
      </c>
      <c r="J141" s="55"/>
      <c r="K141" s="55"/>
      <c r="L141" s="55"/>
      <c r="M141" s="55"/>
      <c r="N141" s="55"/>
      <c r="U141" s="55"/>
      <c r="V141" s="86"/>
      <c r="X141" s="93"/>
    </row>
    <row r="142" spans="1:24">
      <c r="A142" s="63" t="str">
        <f t="shared" si="12"/>
        <v/>
      </c>
      <c r="B142" s="63" t="str">
        <f t="shared" si="19"/>
        <v/>
      </c>
      <c r="C142" s="85"/>
      <c r="D142" s="62"/>
      <c r="E142" s="62"/>
      <c r="F142" s="55"/>
      <c r="G142" s="55"/>
      <c r="H142" s="62">
        <f t="shared" ca="1" si="2"/>
        <v>46039</v>
      </c>
      <c r="I142" s="92" t="str">
        <f t="shared" si="3"/>
        <v/>
      </c>
      <c r="J142" s="55"/>
      <c r="K142" s="55"/>
      <c r="L142" s="55"/>
      <c r="M142" s="55"/>
      <c r="N142" s="55"/>
      <c r="U142" s="55"/>
      <c r="V142" s="86"/>
      <c r="X142" s="93"/>
    </row>
    <row r="143" spans="1:24">
      <c r="A143" s="63" t="str">
        <f t="shared" si="12"/>
        <v/>
      </c>
      <c r="B143" s="63" t="str">
        <f t="shared" si="19"/>
        <v/>
      </c>
      <c r="C143" s="85"/>
      <c r="D143" s="62"/>
      <c r="E143" s="62"/>
      <c r="F143" s="55"/>
      <c r="G143" s="55"/>
      <c r="H143" s="62">
        <f t="shared" ca="1" si="2"/>
        <v>46039</v>
      </c>
      <c r="I143" s="92" t="str">
        <f t="shared" si="3"/>
        <v/>
      </c>
      <c r="J143" s="55"/>
      <c r="K143" s="55"/>
      <c r="L143" s="55"/>
      <c r="M143" s="55"/>
      <c r="N143" s="55"/>
      <c r="U143" s="55"/>
      <c r="V143" s="86"/>
      <c r="X143" s="93"/>
    </row>
    <row r="144" spans="1:24">
      <c r="A144" s="63" t="str">
        <f t="shared" si="12"/>
        <v/>
      </c>
      <c r="B144" s="63" t="str">
        <f t="shared" si="19"/>
        <v/>
      </c>
      <c r="C144" s="85"/>
      <c r="D144" s="62"/>
      <c r="E144" s="62"/>
      <c r="F144" s="55"/>
      <c r="G144" s="55"/>
      <c r="H144" s="62">
        <f t="shared" ca="1" si="2"/>
        <v>46039</v>
      </c>
      <c r="I144" s="92" t="str">
        <f t="shared" si="3"/>
        <v/>
      </c>
      <c r="J144" s="55"/>
      <c r="K144" s="55"/>
      <c r="L144" s="55"/>
      <c r="M144" s="55"/>
      <c r="N144" s="55"/>
      <c r="U144" s="55"/>
      <c r="V144" s="86"/>
      <c r="X144" s="93"/>
    </row>
    <row r="145" spans="1:24">
      <c r="A145" s="63" t="str">
        <f t="shared" si="12"/>
        <v/>
      </c>
      <c r="B145" s="63" t="str">
        <f t="shared" si="19"/>
        <v/>
      </c>
      <c r="C145" s="85"/>
      <c r="D145" s="62"/>
      <c r="E145" s="62"/>
      <c r="F145" s="55"/>
      <c r="G145" s="55"/>
      <c r="H145" s="62">
        <f t="shared" ca="1" si="2"/>
        <v>46039</v>
      </c>
      <c r="I145" s="92" t="str">
        <f t="shared" si="3"/>
        <v/>
      </c>
      <c r="J145" s="55"/>
      <c r="K145" s="55"/>
      <c r="L145" s="55"/>
      <c r="M145" s="55"/>
      <c r="N145" s="55"/>
      <c r="U145" s="55"/>
      <c r="V145" s="86"/>
      <c r="X145" s="93"/>
    </row>
    <row r="146" spans="1:24">
      <c r="A146" s="63" t="str">
        <f t="shared" si="12"/>
        <v/>
      </c>
      <c r="B146" s="63" t="str">
        <f t="shared" si="19"/>
        <v/>
      </c>
      <c r="C146" s="85"/>
      <c r="D146" s="62"/>
      <c r="E146" s="62"/>
      <c r="F146" s="55"/>
      <c r="G146" s="55"/>
      <c r="H146" s="62">
        <f t="shared" ca="1" si="2"/>
        <v>46039</v>
      </c>
      <c r="I146" s="92" t="str">
        <f t="shared" si="3"/>
        <v/>
      </c>
      <c r="J146" s="55"/>
      <c r="K146" s="55"/>
      <c r="L146" s="55"/>
      <c r="M146" s="55"/>
      <c r="N146" s="55"/>
      <c r="U146" s="55"/>
      <c r="V146" s="86"/>
      <c r="X146" s="93"/>
    </row>
    <row r="147" spans="1:24">
      <c r="A147" s="63" t="str">
        <f t="shared" si="12"/>
        <v/>
      </c>
      <c r="B147" s="63" t="str">
        <f t="shared" si="19"/>
        <v/>
      </c>
      <c r="C147" s="85"/>
      <c r="D147" s="62"/>
      <c r="E147" s="62"/>
      <c r="F147" s="55"/>
      <c r="G147" s="55"/>
      <c r="H147" s="62">
        <f t="shared" ca="1" si="2"/>
        <v>46039</v>
      </c>
      <c r="I147" s="92" t="str">
        <f t="shared" si="3"/>
        <v/>
      </c>
      <c r="J147" s="55"/>
      <c r="K147" s="55"/>
      <c r="L147" s="55"/>
      <c r="M147" s="55"/>
      <c r="N147" s="55"/>
      <c r="U147" s="55"/>
      <c r="V147" s="86"/>
      <c r="X147" s="93"/>
    </row>
    <row r="148" spans="1:24">
      <c r="A148" s="63" t="str">
        <f t="shared" si="12"/>
        <v/>
      </c>
      <c r="B148" s="63" t="str">
        <f t="shared" si="19"/>
        <v/>
      </c>
      <c r="C148" s="85"/>
      <c r="D148" s="62"/>
      <c r="E148" s="62"/>
      <c r="F148" s="55"/>
      <c r="G148" s="55"/>
      <c r="H148" s="62">
        <f t="shared" ca="1" si="2"/>
        <v>46039</v>
      </c>
      <c r="I148" s="92" t="str">
        <f t="shared" si="3"/>
        <v/>
      </c>
      <c r="J148" s="55"/>
      <c r="K148" s="55"/>
      <c r="L148" s="55"/>
      <c r="M148" s="55"/>
      <c r="N148" s="55"/>
      <c r="U148" s="55"/>
      <c r="V148" s="86"/>
      <c r="X148" s="93"/>
    </row>
    <row r="149" spans="1:24">
      <c r="A149" s="63" t="str">
        <f t="shared" si="12"/>
        <v/>
      </c>
      <c r="B149" s="63" t="str">
        <f t="shared" si="19"/>
        <v/>
      </c>
      <c r="C149" s="85"/>
      <c r="D149" s="62"/>
      <c r="E149" s="62"/>
      <c r="F149" s="55"/>
      <c r="G149" s="55"/>
      <c r="H149" s="62">
        <f t="shared" ca="1" si="2"/>
        <v>46039</v>
      </c>
      <c r="I149" s="92" t="str">
        <f t="shared" si="3"/>
        <v/>
      </c>
      <c r="J149" s="55"/>
      <c r="K149" s="55"/>
      <c r="L149" s="55"/>
      <c r="M149" s="55"/>
      <c r="N149" s="55"/>
      <c r="U149" s="55"/>
      <c r="V149" s="86"/>
      <c r="X149" s="93"/>
    </row>
    <row r="150" spans="1:24">
      <c r="A150" s="63" t="str">
        <f t="shared" si="12"/>
        <v/>
      </c>
      <c r="B150" s="63" t="str">
        <f t="shared" si="19"/>
        <v/>
      </c>
      <c r="C150" s="85"/>
      <c r="D150" s="62"/>
      <c r="E150" s="62"/>
      <c r="F150" s="55"/>
      <c r="G150" s="55"/>
      <c r="H150" s="62">
        <f t="shared" ca="1" si="2"/>
        <v>46039</v>
      </c>
      <c r="I150" s="92" t="str">
        <f t="shared" si="3"/>
        <v/>
      </c>
      <c r="J150" s="55"/>
      <c r="K150" s="55"/>
      <c r="L150" s="55"/>
      <c r="M150" s="55"/>
      <c r="N150" s="55"/>
      <c r="U150" s="55"/>
      <c r="V150" s="86"/>
      <c r="X150" s="93"/>
    </row>
    <row r="151" spans="1:24">
      <c r="A151" s="63" t="str">
        <f t="shared" si="12"/>
        <v/>
      </c>
      <c r="B151" s="63" t="str">
        <f t="shared" si="19"/>
        <v/>
      </c>
      <c r="C151" s="85"/>
      <c r="D151" s="62"/>
      <c r="E151" s="62"/>
      <c r="F151" s="55"/>
      <c r="G151" s="55"/>
      <c r="H151" s="62">
        <f t="shared" ca="1" si="2"/>
        <v>46039</v>
      </c>
      <c r="I151" s="92" t="str">
        <f t="shared" si="3"/>
        <v/>
      </c>
      <c r="J151" s="55"/>
      <c r="K151" s="55"/>
      <c r="L151" s="55"/>
      <c r="M151" s="55"/>
      <c r="N151" s="55"/>
      <c r="U151" s="55"/>
      <c r="V151" s="86"/>
      <c r="X151" s="93"/>
    </row>
    <row r="152" spans="1:24">
      <c r="A152" s="63" t="str">
        <f t="shared" si="12"/>
        <v/>
      </c>
      <c r="B152" s="63" t="str">
        <f t="shared" si="19"/>
        <v/>
      </c>
      <c r="C152" s="85"/>
      <c r="D152" s="62"/>
      <c r="E152" s="62"/>
      <c r="F152" s="55"/>
      <c r="G152" s="55"/>
      <c r="H152" s="62">
        <f t="shared" ca="1" si="2"/>
        <v>46039</v>
      </c>
      <c r="I152" s="92" t="str">
        <f t="shared" si="3"/>
        <v/>
      </c>
      <c r="J152" s="55"/>
      <c r="K152" s="55"/>
      <c r="L152" s="55"/>
      <c r="M152" s="55"/>
      <c r="N152" s="55"/>
      <c r="U152" s="55"/>
      <c r="V152" s="86"/>
      <c r="X152" s="93"/>
    </row>
    <row r="153" spans="1:24">
      <c r="A153" s="63" t="str">
        <f t="shared" si="12"/>
        <v/>
      </c>
      <c r="B153" s="63" t="str">
        <f t="shared" si="19"/>
        <v/>
      </c>
      <c r="C153" s="85"/>
      <c r="D153" s="62"/>
      <c r="E153" s="62"/>
      <c r="F153" s="55"/>
      <c r="G153" s="55"/>
      <c r="H153" s="62">
        <f t="shared" ca="1" si="2"/>
        <v>46039</v>
      </c>
      <c r="I153" s="92" t="str">
        <f t="shared" si="3"/>
        <v/>
      </c>
      <c r="J153" s="55"/>
      <c r="K153" s="55"/>
      <c r="L153" s="55"/>
      <c r="M153" s="55"/>
      <c r="N153" s="55"/>
      <c r="U153" s="55"/>
      <c r="V153" s="86"/>
      <c r="X153" s="93"/>
    </row>
    <row r="154" spans="1:24">
      <c r="A154" s="63" t="str">
        <f t="shared" si="12"/>
        <v/>
      </c>
      <c r="B154" s="63" t="str">
        <f t="shared" si="19"/>
        <v/>
      </c>
      <c r="C154" s="85"/>
      <c r="D154" s="62"/>
      <c r="E154" s="62"/>
      <c r="F154" s="55"/>
      <c r="G154" s="55"/>
      <c r="H154" s="62">
        <f t="shared" ca="1" si="2"/>
        <v>46039</v>
      </c>
      <c r="I154" s="92" t="str">
        <f t="shared" si="3"/>
        <v/>
      </c>
      <c r="J154" s="55"/>
      <c r="K154" s="55"/>
      <c r="L154" s="55"/>
      <c r="M154" s="55"/>
      <c r="N154" s="55"/>
      <c r="U154" s="55"/>
      <c r="V154" s="86"/>
      <c r="X154" s="93"/>
    </row>
    <row r="155" spans="1:24">
      <c r="A155" s="63" t="str">
        <f t="shared" si="12"/>
        <v/>
      </c>
      <c r="B155" s="63" t="str">
        <f t="shared" si="19"/>
        <v/>
      </c>
      <c r="C155" s="85"/>
      <c r="D155" s="62"/>
      <c r="E155" s="62"/>
      <c r="F155" s="55"/>
      <c r="G155" s="55"/>
      <c r="H155" s="62">
        <f t="shared" ca="1" si="2"/>
        <v>46039</v>
      </c>
      <c r="I155" s="92" t="str">
        <f t="shared" si="3"/>
        <v/>
      </c>
      <c r="J155" s="55"/>
      <c r="K155" s="55"/>
      <c r="L155" s="55"/>
      <c r="M155" s="55"/>
      <c r="N155" s="55"/>
      <c r="U155" s="55"/>
      <c r="V155" s="86"/>
      <c r="X155" s="93"/>
    </row>
    <row r="156" spans="1:24">
      <c r="A156" s="63" t="str">
        <f t="shared" si="12"/>
        <v/>
      </c>
      <c r="B156" s="63" t="str">
        <f t="shared" si="19"/>
        <v/>
      </c>
      <c r="C156" s="85"/>
      <c r="D156" s="62"/>
      <c r="E156" s="62"/>
      <c r="F156" s="55"/>
      <c r="G156" s="55"/>
      <c r="H156" s="62">
        <f t="shared" ca="1" si="2"/>
        <v>46039</v>
      </c>
      <c r="I156" s="92" t="str">
        <f t="shared" si="3"/>
        <v/>
      </c>
      <c r="J156" s="55"/>
      <c r="K156" s="55"/>
      <c r="L156" s="55"/>
      <c r="M156" s="55"/>
      <c r="N156" s="55"/>
      <c r="U156" s="55"/>
      <c r="V156" s="86"/>
      <c r="X156" s="93"/>
    </row>
    <row r="157" spans="1:24">
      <c r="A157" s="63" t="str">
        <f t="shared" si="12"/>
        <v/>
      </c>
      <c r="B157" s="63" t="str">
        <f t="shared" si="19"/>
        <v/>
      </c>
      <c r="C157" s="85"/>
      <c r="D157" s="62"/>
      <c r="E157" s="62"/>
      <c r="F157" s="55"/>
      <c r="G157" s="55"/>
      <c r="H157" s="62">
        <f t="shared" ca="1" si="2"/>
        <v>46039</v>
      </c>
      <c r="I157" s="92" t="str">
        <f t="shared" si="3"/>
        <v/>
      </c>
      <c r="J157" s="55"/>
      <c r="K157" s="55"/>
      <c r="L157" s="55"/>
      <c r="M157" s="55"/>
      <c r="N157" s="55"/>
      <c r="U157" s="55"/>
      <c r="V157" s="86"/>
      <c r="X157" s="93"/>
    </row>
    <row r="158" spans="1:24">
      <c r="A158" s="63" t="str">
        <f t="shared" si="12"/>
        <v/>
      </c>
      <c r="B158" s="63" t="str">
        <f t="shared" si="19"/>
        <v/>
      </c>
      <c r="C158" s="85"/>
      <c r="D158" s="62"/>
      <c r="E158" s="62"/>
      <c r="F158" s="55"/>
      <c r="G158" s="55"/>
      <c r="H158" s="62">
        <f t="shared" ca="1" si="2"/>
        <v>46039</v>
      </c>
      <c r="I158" s="92" t="str">
        <f t="shared" si="3"/>
        <v/>
      </c>
      <c r="J158" s="55"/>
      <c r="K158" s="55"/>
      <c r="L158" s="55"/>
      <c r="M158" s="55"/>
      <c r="N158" s="55"/>
      <c r="U158" s="55"/>
      <c r="V158" s="86"/>
      <c r="X158" s="93"/>
    </row>
    <row r="159" spans="1:24">
      <c r="A159" s="63" t="str">
        <f t="shared" si="12"/>
        <v/>
      </c>
      <c r="B159" s="63" t="str">
        <f t="shared" si="19"/>
        <v/>
      </c>
      <c r="C159" s="85"/>
      <c r="D159" s="62"/>
      <c r="E159" s="62"/>
      <c r="F159" s="55"/>
      <c r="G159" s="55"/>
      <c r="H159" s="62">
        <f t="shared" ca="1" si="2"/>
        <v>46039</v>
      </c>
      <c r="I159" s="92" t="str">
        <f t="shared" si="3"/>
        <v/>
      </c>
      <c r="J159" s="55"/>
      <c r="K159" s="55"/>
      <c r="L159" s="55"/>
      <c r="M159" s="55"/>
      <c r="N159" s="55"/>
      <c r="U159" s="55"/>
      <c r="V159" s="86"/>
      <c r="X159" s="93"/>
    </row>
    <row r="160" spans="1:24">
      <c r="A160" s="63" t="str">
        <f t="shared" si="12"/>
        <v/>
      </c>
      <c r="B160" s="63" t="str">
        <f t="shared" si="19"/>
        <v/>
      </c>
      <c r="C160" s="85"/>
      <c r="D160" s="62"/>
      <c r="E160" s="62"/>
      <c r="F160" s="55"/>
      <c r="G160" s="55"/>
      <c r="H160" s="62">
        <f t="shared" ca="1" si="2"/>
        <v>46039</v>
      </c>
      <c r="I160" s="92" t="str">
        <f t="shared" si="3"/>
        <v/>
      </c>
      <c r="J160" s="55"/>
      <c r="K160" s="55"/>
      <c r="L160" s="55"/>
      <c r="M160" s="55"/>
      <c r="N160" s="55"/>
      <c r="U160" s="55"/>
      <c r="V160" s="86"/>
      <c r="X160" s="93"/>
    </row>
    <row r="161" spans="1:24">
      <c r="A161" s="63" t="str">
        <f t="shared" si="12"/>
        <v/>
      </c>
      <c r="B161" s="63" t="str">
        <f t="shared" si="19"/>
        <v/>
      </c>
      <c r="C161" s="85"/>
      <c r="D161" s="62"/>
      <c r="E161" s="62"/>
      <c r="F161" s="55"/>
      <c r="G161" s="55"/>
      <c r="H161" s="62">
        <f t="shared" ca="1" si="2"/>
        <v>46039</v>
      </c>
      <c r="I161" s="92" t="str">
        <f t="shared" si="3"/>
        <v/>
      </c>
      <c r="J161" s="55"/>
      <c r="K161" s="55"/>
      <c r="L161" s="55"/>
      <c r="M161" s="55"/>
      <c r="N161" s="55"/>
      <c r="U161" s="55"/>
      <c r="V161" s="86"/>
      <c r="X161" s="93"/>
    </row>
    <row r="162" spans="1:24">
      <c r="A162" s="63" t="str">
        <f t="shared" si="12"/>
        <v/>
      </c>
      <c r="B162" s="63" t="str">
        <f t="shared" si="19"/>
        <v/>
      </c>
      <c r="C162" s="85"/>
      <c r="D162" s="62"/>
      <c r="E162" s="62"/>
      <c r="F162" s="55"/>
      <c r="G162" s="55"/>
      <c r="H162" s="62">
        <f t="shared" ca="1" si="2"/>
        <v>46039</v>
      </c>
      <c r="I162" s="92" t="str">
        <f t="shared" si="3"/>
        <v/>
      </c>
      <c r="J162" s="55"/>
      <c r="K162" s="55"/>
      <c r="L162" s="55"/>
      <c r="M162" s="55"/>
      <c r="N162" s="55"/>
      <c r="U162" s="55"/>
      <c r="V162" s="86"/>
      <c r="X162" s="93"/>
    </row>
    <row r="163" spans="1:24">
      <c r="A163" s="63" t="str">
        <f t="shared" si="12"/>
        <v/>
      </c>
      <c r="B163" s="63" t="str">
        <f t="shared" si="19"/>
        <v/>
      </c>
      <c r="C163" s="85"/>
      <c r="D163" s="62"/>
      <c r="E163" s="62"/>
      <c r="F163" s="55"/>
      <c r="G163" s="55"/>
      <c r="H163" s="62">
        <f t="shared" ca="1" si="2"/>
        <v>46039</v>
      </c>
      <c r="I163" s="92" t="str">
        <f t="shared" si="3"/>
        <v/>
      </c>
      <c r="J163" s="55"/>
      <c r="K163" s="55"/>
      <c r="L163" s="55"/>
      <c r="M163" s="55"/>
      <c r="N163" s="55"/>
      <c r="U163" s="55"/>
      <c r="V163" s="86"/>
      <c r="X163" s="93"/>
    </row>
    <row r="164" spans="1:24">
      <c r="A164" s="63" t="str">
        <f t="shared" si="12"/>
        <v/>
      </c>
      <c r="B164" s="63" t="str">
        <f t="shared" si="19"/>
        <v/>
      </c>
      <c r="C164" s="85"/>
      <c r="D164" s="62"/>
      <c r="E164" s="62"/>
      <c r="F164" s="55"/>
      <c r="G164" s="55"/>
      <c r="H164" s="62">
        <f t="shared" ca="1" si="2"/>
        <v>46039</v>
      </c>
      <c r="I164" s="92" t="str">
        <f t="shared" si="3"/>
        <v/>
      </c>
      <c r="J164" s="55"/>
      <c r="K164" s="55"/>
      <c r="L164" s="55"/>
      <c r="M164" s="55"/>
      <c r="N164" s="55"/>
      <c r="U164" s="55"/>
      <c r="V164" s="86"/>
      <c r="X164" s="93"/>
    </row>
    <row r="165" spans="1:24">
      <c r="A165" s="63" t="str">
        <f t="shared" si="12"/>
        <v/>
      </c>
      <c r="B165" s="63" t="str">
        <f t="shared" si="19"/>
        <v/>
      </c>
      <c r="C165" s="85"/>
      <c r="D165" s="62"/>
      <c r="E165" s="62"/>
      <c r="F165" s="55"/>
      <c r="G165" s="55"/>
      <c r="H165" s="62">
        <f t="shared" ca="1" si="2"/>
        <v>46039</v>
      </c>
      <c r="I165" s="92" t="str">
        <f t="shared" si="3"/>
        <v/>
      </c>
      <c r="J165" s="55"/>
      <c r="K165" s="55"/>
      <c r="L165" s="55"/>
      <c r="M165" s="55"/>
      <c r="N165" s="55"/>
      <c r="U165" s="55"/>
      <c r="V165" s="86"/>
      <c r="X165" s="93"/>
    </row>
    <row r="166" spans="1:24">
      <c r="A166" s="63" t="str">
        <f t="shared" si="12"/>
        <v/>
      </c>
      <c r="B166" s="63" t="str">
        <f t="shared" si="19"/>
        <v/>
      </c>
      <c r="C166" s="85"/>
      <c r="D166" s="62"/>
      <c r="E166" s="62"/>
      <c r="F166" s="55"/>
      <c r="G166" s="55"/>
      <c r="H166" s="62">
        <f t="shared" ca="1" si="2"/>
        <v>46039</v>
      </c>
      <c r="I166" s="92" t="str">
        <f t="shared" si="3"/>
        <v/>
      </c>
      <c r="J166" s="55"/>
      <c r="K166" s="55"/>
      <c r="L166" s="55"/>
      <c r="M166" s="55"/>
      <c r="N166" s="55"/>
      <c r="U166" s="55"/>
      <c r="V166" s="86"/>
      <c r="X166" s="93"/>
    </row>
    <row r="167" spans="1:24">
      <c r="A167" s="63" t="str">
        <f t="shared" si="12"/>
        <v/>
      </c>
      <c r="B167" s="63" t="str">
        <f t="shared" si="19"/>
        <v/>
      </c>
      <c r="C167" s="85"/>
      <c r="D167" s="62"/>
      <c r="E167" s="62"/>
      <c r="F167" s="55"/>
      <c r="G167" s="55"/>
      <c r="H167" s="62">
        <f t="shared" ca="1" si="2"/>
        <v>46039</v>
      </c>
      <c r="I167" s="92" t="str">
        <f t="shared" si="3"/>
        <v/>
      </c>
      <c r="J167" s="55"/>
      <c r="K167" s="55"/>
      <c r="L167" s="55"/>
      <c r="M167" s="55"/>
      <c r="N167" s="55"/>
      <c r="U167" s="55"/>
      <c r="V167" s="86"/>
      <c r="X167" s="93"/>
    </row>
    <row r="168" spans="1:24">
      <c r="A168" s="63" t="str">
        <f t="shared" si="12"/>
        <v/>
      </c>
      <c r="B168" s="63" t="str">
        <f t="shared" si="19"/>
        <v/>
      </c>
      <c r="C168" s="85"/>
      <c r="D168" s="62"/>
      <c r="E168" s="62"/>
      <c r="F168" s="55"/>
      <c r="G168" s="55"/>
      <c r="H168" s="62">
        <f t="shared" ca="1" si="2"/>
        <v>46039</v>
      </c>
      <c r="I168" s="92" t="str">
        <f t="shared" si="3"/>
        <v/>
      </c>
      <c r="J168" s="55"/>
      <c r="K168" s="55"/>
      <c r="L168" s="55"/>
      <c r="M168" s="55"/>
      <c r="N168" s="55"/>
      <c r="U168" s="55"/>
      <c r="V168" s="86"/>
      <c r="X168" s="93"/>
    </row>
    <row r="169" spans="1:24">
      <c r="A169" s="63" t="str">
        <f t="shared" si="12"/>
        <v/>
      </c>
      <c r="B169" s="63" t="str">
        <f t="shared" si="19"/>
        <v/>
      </c>
      <c r="C169" s="85"/>
      <c r="D169" s="62"/>
      <c r="E169" s="62"/>
      <c r="F169" s="55"/>
      <c r="G169" s="55"/>
      <c r="H169" s="62">
        <f t="shared" ca="1" si="2"/>
        <v>46039</v>
      </c>
      <c r="I169" s="92" t="str">
        <f t="shared" si="3"/>
        <v/>
      </c>
      <c r="J169" s="55"/>
      <c r="K169" s="55"/>
      <c r="L169" s="55"/>
      <c r="M169" s="55"/>
      <c r="N169" s="55"/>
      <c r="U169" s="55"/>
      <c r="V169" s="86"/>
      <c r="X169" s="93"/>
    </row>
    <row r="170" spans="1:24">
      <c r="A170" s="63" t="str">
        <f t="shared" si="12"/>
        <v/>
      </c>
      <c r="B170" s="63" t="str">
        <f t="shared" si="19"/>
        <v/>
      </c>
      <c r="C170" s="85"/>
      <c r="D170" s="62"/>
      <c r="E170" s="62"/>
      <c r="F170" s="55"/>
      <c r="G170" s="55"/>
      <c r="H170" s="62">
        <f t="shared" ca="1" si="2"/>
        <v>46039</v>
      </c>
      <c r="I170" s="92" t="str">
        <f t="shared" si="3"/>
        <v/>
      </c>
      <c r="J170" s="55"/>
      <c r="K170" s="55"/>
      <c r="L170" s="55"/>
      <c r="M170" s="55"/>
      <c r="N170" s="55"/>
      <c r="U170" s="55"/>
      <c r="V170" s="86"/>
      <c r="X170" s="93"/>
    </row>
    <row r="171" spans="1:24">
      <c r="A171" s="63" t="str">
        <f t="shared" si="12"/>
        <v/>
      </c>
      <c r="B171" s="63" t="str">
        <f t="shared" si="19"/>
        <v/>
      </c>
      <c r="C171" s="85"/>
      <c r="D171" s="62"/>
      <c r="E171" s="62"/>
      <c r="F171" s="55"/>
      <c r="G171" s="55"/>
      <c r="H171" s="62">
        <f t="shared" ca="1" si="2"/>
        <v>46039</v>
      </c>
      <c r="I171" s="92" t="str">
        <f t="shared" si="3"/>
        <v/>
      </c>
      <c r="J171" s="55"/>
      <c r="K171" s="55"/>
      <c r="L171" s="55"/>
      <c r="M171" s="55"/>
      <c r="N171" s="55"/>
      <c r="U171" s="55"/>
      <c r="V171" s="86"/>
      <c r="X171" s="93"/>
    </row>
    <row r="172" spans="1:24">
      <c r="A172" s="63" t="str">
        <f t="shared" si="12"/>
        <v/>
      </c>
      <c r="B172" s="63" t="str">
        <f t="shared" si="19"/>
        <v/>
      </c>
      <c r="C172" s="85"/>
      <c r="D172" s="62"/>
      <c r="E172" s="62"/>
      <c r="F172" s="55"/>
      <c r="G172" s="55"/>
      <c r="H172" s="62">
        <f t="shared" ca="1" si="2"/>
        <v>46039</v>
      </c>
      <c r="I172" s="92" t="str">
        <f t="shared" si="3"/>
        <v/>
      </c>
      <c r="J172" s="55"/>
      <c r="K172" s="55"/>
      <c r="L172" s="55"/>
      <c r="M172" s="55"/>
      <c r="N172" s="55"/>
      <c r="U172" s="55"/>
      <c r="V172" s="86"/>
      <c r="X172" s="93"/>
    </row>
    <row r="173" spans="1:24">
      <c r="A173" s="63" t="str">
        <f t="shared" si="12"/>
        <v/>
      </c>
      <c r="B173" s="63" t="str">
        <f t="shared" si="19"/>
        <v/>
      </c>
      <c r="C173" s="85"/>
      <c r="D173" s="62"/>
      <c r="E173" s="62"/>
      <c r="F173" s="55"/>
      <c r="G173" s="55"/>
      <c r="H173" s="62">
        <f t="shared" ca="1" si="2"/>
        <v>46039</v>
      </c>
      <c r="I173" s="92" t="str">
        <f t="shared" si="3"/>
        <v/>
      </c>
      <c r="J173" s="55"/>
      <c r="K173" s="55"/>
      <c r="L173" s="55"/>
      <c r="M173" s="55"/>
      <c r="N173" s="55"/>
      <c r="U173" s="55"/>
      <c r="V173" s="86"/>
      <c r="X173" s="93"/>
    </row>
    <row r="174" spans="1:24">
      <c r="A174" s="63" t="str">
        <f t="shared" si="12"/>
        <v/>
      </c>
      <c r="B174" s="63" t="str">
        <f t="shared" si="19"/>
        <v/>
      </c>
      <c r="C174" s="85"/>
      <c r="D174" s="62"/>
      <c r="E174" s="62"/>
      <c r="F174" s="55"/>
      <c r="G174" s="55"/>
      <c r="H174" s="62">
        <f t="shared" ca="1" si="2"/>
        <v>46039</v>
      </c>
      <c r="I174" s="92" t="str">
        <f t="shared" si="3"/>
        <v/>
      </c>
      <c r="J174" s="55"/>
      <c r="K174" s="55"/>
      <c r="L174" s="55"/>
      <c r="M174" s="55"/>
      <c r="N174" s="55"/>
      <c r="U174" s="55"/>
      <c r="V174" s="86"/>
      <c r="X174" s="93"/>
    </row>
    <row r="175" spans="1:24">
      <c r="A175" s="63" t="str">
        <f t="shared" si="12"/>
        <v/>
      </c>
      <c r="B175" s="63" t="str">
        <f t="shared" si="19"/>
        <v/>
      </c>
      <c r="C175" s="85"/>
      <c r="D175" s="62"/>
      <c r="E175" s="62"/>
      <c r="F175" s="55"/>
      <c r="G175" s="55"/>
      <c r="H175" s="62">
        <f t="shared" ca="1" si="2"/>
        <v>46039</v>
      </c>
      <c r="I175" s="92" t="str">
        <f t="shared" si="3"/>
        <v/>
      </c>
      <c r="J175" s="55"/>
      <c r="K175" s="55"/>
      <c r="L175" s="55"/>
      <c r="M175" s="55"/>
      <c r="N175" s="55"/>
      <c r="U175" s="55"/>
      <c r="V175" s="86"/>
      <c r="X175" s="93"/>
    </row>
    <row r="176" spans="1:24">
      <c r="A176" s="63" t="str">
        <f t="shared" si="12"/>
        <v/>
      </c>
      <c r="B176" s="63" t="str">
        <f t="shared" si="19"/>
        <v/>
      </c>
      <c r="C176" s="85"/>
      <c r="D176" s="62"/>
      <c r="E176" s="62"/>
      <c r="F176" s="55"/>
      <c r="G176" s="55"/>
      <c r="H176" s="62">
        <f t="shared" ca="1" si="2"/>
        <v>46039</v>
      </c>
      <c r="I176" s="92" t="str">
        <f t="shared" si="3"/>
        <v/>
      </c>
      <c r="J176" s="55"/>
      <c r="K176" s="55"/>
      <c r="L176" s="55"/>
      <c r="M176" s="55"/>
      <c r="N176" s="55"/>
      <c r="U176" s="55"/>
      <c r="V176" s="86"/>
      <c r="X176" s="93"/>
    </row>
    <row r="177" spans="1:24">
      <c r="A177" s="63" t="str">
        <f t="shared" si="12"/>
        <v/>
      </c>
      <c r="B177" s="63" t="str">
        <f t="shared" si="19"/>
        <v/>
      </c>
      <c r="C177" s="85"/>
      <c r="D177" s="62"/>
      <c r="E177" s="62"/>
      <c r="F177" s="55"/>
      <c r="G177" s="55"/>
      <c r="H177" s="62">
        <f t="shared" ca="1" si="2"/>
        <v>46039</v>
      </c>
      <c r="I177" s="92" t="str">
        <f t="shared" si="3"/>
        <v/>
      </c>
      <c r="J177" s="55"/>
      <c r="K177" s="55"/>
      <c r="L177" s="55"/>
      <c r="M177" s="55"/>
      <c r="N177" s="55"/>
      <c r="U177" s="55"/>
      <c r="V177" s="86"/>
      <c r="X177" s="93"/>
    </row>
    <row r="178" spans="1:24">
      <c r="A178" s="63" t="str">
        <f t="shared" si="12"/>
        <v/>
      </c>
      <c r="B178" s="63" t="str">
        <f t="shared" si="19"/>
        <v/>
      </c>
      <c r="C178" s="85"/>
      <c r="D178" s="62"/>
      <c r="E178" s="62"/>
      <c r="F178" s="55"/>
      <c r="G178" s="55"/>
      <c r="H178" s="62">
        <f t="shared" ca="1" si="2"/>
        <v>46039</v>
      </c>
      <c r="I178" s="92" t="str">
        <f t="shared" si="3"/>
        <v/>
      </c>
      <c r="J178" s="55"/>
      <c r="K178" s="55"/>
      <c r="L178" s="55"/>
      <c r="M178" s="55"/>
      <c r="N178" s="55"/>
      <c r="U178" s="55"/>
      <c r="V178" s="86"/>
      <c r="X178" s="93"/>
    </row>
    <row r="179" spans="1:24">
      <c r="A179" s="63" t="str">
        <f t="shared" si="12"/>
        <v/>
      </c>
      <c r="B179" s="63" t="str">
        <f t="shared" si="19"/>
        <v/>
      </c>
      <c r="C179" s="85"/>
      <c r="D179" s="62"/>
      <c r="E179" s="62"/>
      <c r="F179" s="55"/>
      <c r="G179" s="55"/>
      <c r="H179" s="62">
        <f t="shared" ca="1" si="2"/>
        <v>46039</v>
      </c>
      <c r="I179" s="92" t="str">
        <f t="shared" si="3"/>
        <v/>
      </c>
      <c r="J179" s="55"/>
      <c r="K179" s="55"/>
      <c r="L179" s="55"/>
      <c r="M179" s="55"/>
      <c r="N179" s="55"/>
      <c r="U179" s="55"/>
      <c r="V179" s="86"/>
      <c r="X179" s="93"/>
    </row>
    <row r="180" spans="1:24">
      <c r="A180" s="63" t="str">
        <f t="shared" si="12"/>
        <v/>
      </c>
      <c r="B180" s="63" t="str">
        <f t="shared" si="19"/>
        <v/>
      </c>
      <c r="C180" s="85"/>
      <c r="D180" s="62"/>
      <c r="E180" s="62"/>
      <c r="F180" s="55"/>
      <c r="G180" s="55"/>
      <c r="H180" s="62">
        <f t="shared" ca="1" si="2"/>
        <v>46039</v>
      </c>
      <c r="I180" s="92" t="str">
        <f t="shared" si="3"/>
        <v/>
      </c>
      <c r="J180" s="55"/>
      <c r="K180" s="55"/>
      <c r="L180" s="55"/>
      <c r="M180" s="55"/>
      <c r="N180" s="55"/>
      <c r="U180" s="55"/>
      <c r="V180" s="86"/>
      <c r="X180" s="93"/>
    </row>
    <row r="181" spans="1:24">
      <c r="A181" s="63" t="str">
        <f t="shared" si="12"/>
        <v/>
      </c>
      <c r="B181" s="63" t="str">
        <f t="shared" si="19"/>
        <v/>
      </c>
      <c r="C181" s="85"/>
      <c r="D181" s="62"/>
      <c r="E181" s="62"/>
      <c r="F181" s="55"/>
      <c r="G181" s="55"/>
      <c r="H181" s="62">
        <f t="shared" ca="1" si="2"/>
        <v>46039</v>
      </c>
      <c r="I181" s="92" t="str">
        <f t="shared" si="3"/>
        <v/>
      </c>
      <c r="J181" s="55"/>
      <c r="K181" s="55"/>
      <c r="L181" s="55"/>
      <c r="M181" s="55"/>
      <c r="N181" s="55"/>
      <c r="U181" s="55"/>
      <c r="V181" s="86"/>
      <c r="X181" s="93"/>
    </row>
    <row r="182" spans="1:24">
      <c r="A182" s="63" t="str">
        <f t="shared" si="12"/>
        <v/>
      </c>
      <c r="B182" s="63" t="str">
        <f t="shared" si="19"/>
        <v/>
      </c>
      <c r="C182" s="85"/>
      <c r="D182" s="62"/>
      <c r="E182" s="62"/>
      <c r="F182" s="55"/>
      <c r="G182" s="55"/>
      <c r="H182" s="62">
        <f t="shared" ca="1" si="2"/>
        <v>46039</v>
      </c>
      <c r="I182" s="92" t="str">
        <f t="shared" si="3"/>
        <v/>
      </c>
      <c r="J182" s="55"/>
      <c r="K182" s="55"/>
      <c r="L182" s="55"/>
      <c r="M182" s="55"/>
      <c r="N182" s="55"/>
      <c r="U182" s="55"/>
      <c r="V182" s="86"/>
      <c r="X182" s="93"/>
    </row>
    <row r="183" spans="1:24">
      <c r="A183" s="63" t="str">
        <f t="shared" si="12"/>
        <v/>
      </c>
      <c r="B183" s="63" t="str">
        <f t="shared" si="19"/>
        <v/>
      </c>
      <c r="C183" s="85"/>
      <c r="D183" s="62"/>
      <c r="E183" s="62"/>
      <c r="F183" s="55"/>
      <c r="G183" s="55"/>
      <c r="H183" s="62">
        <f t="shared" ca="1" si="2"/>
        <v>46039</v>
      </c>
      <c r="I183" s="92" t="str">
        <f t="shared" si="3"/>
        <v/>
      </c>
      <c r="J183" s="55"/>
      <c r="K183" s="55"/>
      <c r="L183" s="55"/>
      <c r="M183" s="55"/>
      <c r="N183" s="55"/>
      <c r="U183" s="55"/>
      <c r="V183" s="86"/>
      <c r="X183" s="93"/>
    </row>
    <row r="184" spans="1:24">
      <c r="A184" s="63" t="str">
        <f t="shared" si="12"/>
        <v/>
      </c>
      <c r="B184" s="63" t="str">
        <f t="shared" si="19"/>
        <v/>
      </c>
      <c r="C184" s="85"/>
      <c r="D184" s="62"/>
      <c r="E184" s="62"/>
      <c r="F184" s="55"/>
      <c r="G184" s="55"/>
      <c r="H184" s="62">
        <f t="shared" ca="1" si="2"/>
        <v>46039</v>
      </c>
      <c r="I184" s="92" t="str">
        <f t="shared" si="3"/>
        <v/>
      </c>
      <c r="J184" s="55"/>
      <c r="K184" s="55"/>
      <c r="L184" s="55"/>
      <c r="M184" s="55"/>
      <c r="N184" s="55"/>
      <c r="U184" s="55"/>
      <c r="V184" s="86"/>
      <c r="X184" s="93"/>
    </row>
    <row r="185" spans="1:24">
      <c r="A185" s="63" t="str">
        <f t="shared" si="12"/>
        <v/>
      </c>
      <c r="B185" s="63" t="str">
        <f t="shared" si="19"/>
        <v/>
      </c>
      <c r="C185" s="85"/>
      <c r="D185" s="62"/>
      <c r="E185" s="62"/>
      <c r="F185" s="55"/>
      <c r="G185" s="55"/>
      <c r="H185" s="62">
        <f t="shared" ca="1" si="2"/>
        <v>46039</v>
      </c>
      <c r="I185" s="92" t="str">
        <f t="shared" si="3"/>
        <v/>
      </c>
      <c r="J185" s="55"/>
      <c r="K185" s="55"/>
      <c r="L185" s="55"/>
      <c r="M185" s="55"/>
      <c r="N185" s="55"/>
      <c r="U185" s="55"/>
      <c r="V185" s="86"/>
      <c r="X185" s="93"/>
    </row>
    <row r="186" spans="1:24">
      <c r="A186" s="63" t="str">
        <f t="shared" si="12"/>
        <v/>
      </c>
      <c r="B186" s="63" t="str">
        <f t="shared" si="19"/>
        <v/>
      </c>
      <c r="C186" s="85"/>
      <c r="D186" s="62"/>
      <c r="E186" s="62"/>
      <c r="F186" s="55"/>
      <c r="G186" s="55"/>
      <c r="H186" s="62">
        <f t="shared" ca="1" si="2"/>
        <v>46039</v>
      </c>
      <c r="I186" s="92" t="str">
        <f t="shared" si="3"/>
        <v/>
      </c>
      <c r="J186" s="55"/>
      <c r="K186" s="55"/>
      <c r="L186" s="55"/>
      <c r="M186" s="55"/>
      <c r="N186" s="55"/>
      <c r="U186" s="55"/>
      <c r="V186" s="86"/>
      <c r="X186" s="93"/>
    </row>
    <row r="187" spans="1:24">
      <c r="A187" s="63" t="str">
        <f t="shared" si="12"/>
        <v/>
      </c>
      <c r="B187" s="63" t="str">
        <f t="shared" si="19"/>
        <v/>
      </c>
      <c r="C187" s="85"/>
      <c r="D187" s="62"/>
      <c r="E187" s="62"/>
      <c r="F187" s="55"/>
      <c r="G187" s="55"/>
      <c r="H187" s="62">
        <f t="shared" ca="1" si="2"/>
        <v>46039</v>
      </c>
      <c r="I187" s="92" t="str">
        <f t="shared" si="3"/>
        <v/>
      </c>
      <c r="J187" s="55"/>
      <c r="K187" s="55"/>
      <c r="L187" s="55"/>
      <c r="M187" s="55"/>
      <c r="N187" s="55"/>
      <c r="U187" s="55"/>
      <c r="V187" s="86"/>
      <c r="X187" s="93"/>
    </row>
    <row r="188" spans="1:24">
      <c r="A188" s="63" t="str">
        <f t="shared" si="12"/>
        <v/>
      </c>
      <c r="B188" s="63" t="str">
        <f t="shared" si="19"/>
        <v/>
      </c>
      <c r="C188" s="85"/>
      <c r="D188" s="62"/>
      <c r="E188" s="62"/>
      <c r="F188" s="55"/>
      <c r="G188" s="55"/>
      <c r="H188" s="62">
        <f t="shared" ca="1" si="2"/>
        <v>46039</v>
      </c>
      <c r="I188" s="92" t="str">
        <f t="shared" si="3"/>
        <v/>
      </c>
      <c r="J188" s="55"/>
      <c r="K188" s="55"/>
      <c r="L188" s="55"/>
      <c r="M188" s="55"/>
      <c r="N188" s="55"/>
      <c r="U188" s="55"/>
      <c r="V188" s="86"/>
      <c r="X188" s="93"/>
    </row>
    <row r="189" spans="1:24">
      <c r="A189" s="63" t="str">
        <f t="shared" si="12"/>
        <v/>
      </c>
      <c r="B189" s="63" t="str">
        <f t="shared" si="19"/>
        <v/>
      </c>
      <c r="C189" s="85"/>
      <c r="D189" s="62"/>
      <c r="E189" s="62"/>
      <c r="F189" s="55"/>
      <c r="G189" s="55"/>
      <c r="H189" s="62">
        <f t="shared" ca="1" si="2"/>
        <v>46039</v>
      </c>
      <c r="I189" s="92" t="str">
        <f t="shared" si="3"/>
        <v/>
      </c>
      <c r="J189" s="55"/>
      <c r="K189" s="55"/>
      <c r="L189" s="55"/>
      <c r="M189" s="55"/>
      <c r="N189" s="55"/>
      <c r="U189" s="55"/>
      <c r="V189" s="86"/>
      <c r="X189" s="93"/>
    </row>
    <row r="190" spans="1:24">
      <c r="A190" s="63" t="str">
        <f t="shared" si="12"/>
        <v/>
      </c>
      <c r="B190" s="63" t="str">
        <f t="shared" si="19"/>
        <v/>
      </c>
      <c r="C190" s="85"/>
      <c r="D190" s="62"/>
      <c r="E190" s="62"/>
      <c r="F190" s="55"/>
      <c r="G190" s="55"/>
      <c r="H190" s="62">
        <f t="shared" ca="1" si="2"/>
        <v>46039</v>
      </c>
      <c r="I190" s="92" t="str">
        <f t="shared" si="3"/>
        <v/>
      </c>
      <c r="J190" s="55"/>
      <c r="K190" s="55"/>
      <c r="L190" s="55"/>
      <c r="M190" s="55"/>
      <c r="N190" s="55"/>
      <c r="U190" s="55"/>
      <c r="V190" s="86"/>
      <c r="X190" s="93"/>
    </row>
    <row r="191" spans="1:24">
      <c r="A191" s="63" t="str">
        <f t="shared" si="12"/>
        <v/>
      </c>
      <c r="B191" s="63" t="str">
        <f t="shared" si="19"/>
        <v/>
      </c>
      <c r="C191" s="85"/>
      <c r="D191" s="62"/>
      <c r="E191" s="62"/>
      <c r="F191" s="55"/>
      <c r="G191" s="55"/>
      <c r="H191" s="62">
        <f t="shared" ca="1" si="2"/>
        <v>46039</v>
      </c>
      <c r="I191" s="92" t="str">
        <f t="shared" si="3"/>
        <v/>
      </c>
      <c r="J191" s="55"/>
      <c r="K191" s="55"/>
      <c r="L191" s="55"/>
      <c r="M191" s="55"/>
      <c r="N191" s="55"/>
      <c r="U191" s="55"/>
      <c r="V191" s="86"/>
      <c r="X191" s="93"/>
    </row>
    <row r="192" spans="1:24">
      <c r="A192" s="63" t="str">
        <f t="shared" si="12"/>
        <v/>
      </c>
      <c r="B192" s="63" t="str">
        <f t="shared" si="19"/>
        <v/>
      </c>
      <c r="C192" s="85"/>
      <c r="D192" s="62"/>
      <c r="E192" s="62"/>
      <c r="F192" s="55"/>
      <c r="G192" s="55"/>
      <c r="H192" s="62">
        <f t="shared" ca="1" si="2"/>
        <v>46039</v>
      </c>
      <c r="I192" s="92" t="str">
        <f t="shared" si="3"/>
        <v/>
      </c>
      <c r="J192" s="55"/>
      <c r="K192" s="55"/>
      <c r="L192" s="55"/>
      <c r="M192" s="55"/>
      <c r="N192" s="55"/>
      <c r="U192" s="55"/>
      <c r="V192" s="86"/>
      <c r="X192" s="93"/>
    </row>
    <row r="193" spans="1:24">
      <c r="A193" s="63" t="str">
        <f t="shared" si="12"/>
        <v/>
      </c>
      <c r="B193" s="63" t="str">
        <f t="shared" si="19"/>
        <v/>
      </c>
      <c r="C193" s="85"/>
      <c r="D193" s="62"/>
      <c r="E193" s="62"/>
      <c r="F193" s="55"/>
      <c r="G193" s="55"/>
      <c r="H193" s="62">
        <f t="shared" ca="1" si="2"/>
        <v>46039</v>
      </c>
      <c r="I193" s="92" t="str">
        <f t="shared" si="3"/>
        <v/>
      </c>
      <c r="J193" s="55"/>
      <c r="K193" s="55"/>
      <c r="L193" s="55"/>
      <c r="M193" s="55"/>
      <c r="N193" s="55"/>
      <c r="U193" s="55"/>
      <c r="V193" s="86"/>
      <c r="X193" s="93"/>
    </row>
    <row r="194" spans="1:24">
      <c r="A194" s="63" t="str">
        <f t="shared" si="12"/>
        <v/>
      </c>
      <c r="B194" s="63" t="str">
        <f t="shared" si="19"/>
        <v/>
      </c>
      <c r="C194" s="85"/>
      <c r="D194" s="62"/>
      <c r="E194" s="62"/>
      <c r="F194" s="55"/>
      <c r="G194" s="55"/>
      <c r="H194" s="55"/>
      <c r="I194" s="55"/>
      <c r="J194" s="55"/>
      <c r="K194" s="55"/>
      <c r="L194" s="55"/>
      <c r="M194" s="55"/>
      <c r="N194" s="55"/>
      <c r="U194" s="55"/>
      <c r="V194" s="86"/>
      <c r="X194" s="93"/>
    </row>
    <row r="195" spans="1:24">
      <c r="A195" s="63" t="str">
        <f t="shared" si="12"/>
        <v/>
      </c>
      <c r="B195" s="63" t="str">
        <f t="shared" si="19"/>
        <v/>
      </c>
      <c r="C195" s="85"/>
      <c r="D195" s="62"/>
      <c r="E195" s="62"/>
      <c r="F195" s="55"/>
      <c r="G195" s="55"/>
      <c r="H195" s="55"/>
      <c r="I195" s="55"/>
      <c r="J195" s="55"/>
      <c r="K195" s="55"/>
      <c r="L195" s="55"/>
      <c r="M195" s="55"/>
      <c r="N195" s="55"/>
      <c r="U195" s="55"/>
      <c r="V195" s="86"/>
      <c r="X195" s="93"/>
    </row>
    <row r="196" spans="1:24">
      <c r="A196" s="63" t="str">
        <f t="shared" si="12"/>
        <v/>
      </c>
      <c r="B196" s="63" t="str">
        <f t="shared" si="19"/>
        <v/>
      </c>
      <c r="C196" s="85"/>
      <c r="D196" s="62"/>
      <c r="E196" s="62"/>
      <c r="F196" s="55"/>
      <c r="G196" s="55"/>
      <c r="H196" s="55"/>
      <c r="I196" s="55"/>
      <c r="J196" s="55"/>
      <c r="K196" s="55"/>
      <c r="L196" s="55"/>
      <c r="M196" s="55"/>
      <c r="N196" s="55"/>
      <c r="U196" s="55"/>
      <c r="V196" s="86"/>
      <c r="X196" s="93"/>
    </row>
    <row r="197" spans="1:24">
      <c r="A197" s="63" t="str">
        <f t="shared" si="12"/>
        <v/>
      </c>
      <c r="C197" s="85"/>
      <c r="D197" s="62"/>
      <c r="E197" s="62"/>
      <c r="F197" s="55"/>
      <c r="G197" s="55"/>
      <c r="H197" s="55"/>
      <c r="I197" s="55"/>
      <c r="J197" s="55"/>
      <c r="K197" s="55"/>
      <c r="L197" s="55"/>
      <c r="M197" s="55"/>
      <c r="N197" s="55"/>
      <c r="U197" s="55"/>
      <c r="V197" s="86"/>
      <c r="X197" s="93"/>
    </row>
    <row r="198" spans="1:24">
      <c r="A198" s="63" t="str">
        <f t="shared" si="12"/>
        <v/>
      </c>
      <c r="C198" s="85"/>
      <c r="D198" s="62"/>
      <c r="E198" s="62"/>
      <c r="F198" s="55"/>
      <c r="G198" s="55"/>
      <c r="H198" s="55"/>
      <c r="I198" s="55"/>
      <c r="J198" s="55"/>
      <c r="K198" s="55"/>
      <c r="L198" s="55"/>
      <c r="M198" s="55"/>
      <c r="N198" s="55"/>
      <c r="U198" s="55"/>
      <c r="V198" s="86"/>
      <c r="X198" s="93"/>
    </row>
    <row r="199" spans="1:24">
      <c r="A199" s="63" t="str">
        <f t="shared" si="12"/>
        <v/>
      </c>
      <c r="C199" s="85"/>
      <c r="D199" s="62"/>
      <c r="E199" s="62"/>
      <c r="F199" s="55"/>
      <c r="G199" s="55"/>
      <c r="H199" s="55"/>
      <c r="I199" s="55"/>
      <c r="J199" s="55"/>
      <c r="K199" s="55"/>
      <c r="L199" s="55"/>
      <c r="M199" s="55"/>
      <c r="N199" s="55"/>
      <c r="U199" s="55"/>
      <c r="V199" s="86"/>
      <c r="X199" s="93"/>
    </row>
    <row r="200" spans="1:24">
      <c r="A200" s="63" t="str">
        <f t="shared" si="12"/>
        <v/>
      </c>
      <c r="C200" s="85"/>
      <c r="D200" s="62"/>
      <c r="E200" s="62"/>
      <c r="F200" s="55"/>
      <c r="G200" s="55"/>
      <c r="H200" s="55"/>
      <c r="I200" s="55"/>
      <c r="J200" s="55"/>
      <c r="K200" s="55"/>
      <c r="L200" s="55"/>
      <c r="M200" s="55"/>
      <c r="N200" s="55"/>
      <c r="U200" s="55"/>
      <c r="V200" s="86"/>
      <c r="X200" s="93"/>
    </row>
    <row r="201" spans="1:24">
      <c r="A201" s="63" t="str">
        <f t="shared" si="12"/>
        <v/>
      </c>
      <c r="C201" s="85"/>
      <c r="D201" s="62"/>
      <c r="E201" s="62"/>
      <c r="F201" s="55"/>
      <c r="G201" s="55"/>
      <c r="H201" s="55"/>
      <c r="I201" s="55"/>
      <c r="J201" s="55"/>
      <c r="K201" s="55"/>
      <c r="L201" s="55"/>
      <c r="M201" s="55"/>
      <c r="N201" s="55"/>
      <c r="U201" s="55"/>
      <c r="V201" s="86"/>
      <c r="X201" s="93"/>
    </row>
    <row r="202" spans="1:24">
      <c r="A202" s="63" t="str">
        <f t="shared" si="12"/>
        <v/>
      </c>
      <c r="C202" s="85"/>
      <c r="D202" s="62"/>
      <c r="E202" s="62"/>
      <c r="F202" s="55"/>
      <c r="G202" s="55"/>
      <c r="H202" s="55"/>
      <c r="I202" s="55"/>
      <c r="J202" s="55"/>
      <c r="K202" s="55"/>
      <c r="L202" s="55"/>
      <c r="M202" s="55"/>
      <c r="N202" s="55"/>
      <c r="U202" s="55"/>
      <c r="V202" s="86"/>
      <c r="X202" s="93"/>
    </row>
    <row r="203" spans="1:24">
      <c r="A203" s="63" t="str">
        <f t="shared" si="12"/>
        <v/>
      </c>
      <c r="C203" s="85"/>
      <c r="D203" s="62"/>
      <c r="E203" s="62"/>
      <c r="F203" s="55"/>
      <c r="G203" s="55"/>
      <c r="H203" s="55"/>
      <c r="I203" s="55"/>
      <c r="J203" s="55"/>
      <c r="K203" s="55"/>
      <c r="L203" s="55"/>
      <c r="M203" s="55"/>
      <c r="N203" s="55"/>
      <c r="U203" s="55"/>
      <c r="V203" s="86"/>
      <c r="X203" s="93"/>
    </row>
    <row r="204" spans="1:24">
      <c r="A204" s="63" t="str">
        <f t="shared" si="12"/>
        <v/>
      </c>
      <c r="C204" s="85"/>
      <c r="D204" s="62"/>
      <c r="E204" s="62"/>
      <c r="F204" s="55"/>
      <c r="G204" s="55"/>
      <c r="H204" s="55"/>
      <c r="I204" s="55"/>
      <c r="J204" s="55"/>
      <c r="K204" s="55"/>
      <c r="L204" s="55"/>
      <c r="M204" s="55"/>
      <c r="N204" s="55"/>
      <c r="U204" s="55"/>
      <c r="V204" s="86"/>
      <c r="X204" s="93"/>
    </row>
    <row r="205" spans="1:24">
      <c r="A205" s="63" t="str">
        <f t="shared" si="12"/>
        <v/>
      </c>
      <c r="C205" s="85"/>
      <c r="D205" s="62"/>
      <c r="E205" s="62"/>
      <c r="F205" s="55"/>
      <c r="G205" s="55"/>
      <c r="H205" s="55"/>
      <c r="I205" s="55"/>
      <c r="J205" s="55"/>
      <c r="K205" s="55"/>
      <c r="L205" s="55"/>
      <c r="M205" s="55"/>
      <c r="N205" s="55"/>
      <c r="U205" s="55"/>
      <c r="V205" s="86"/>
      <c r="X205" s="93"/>
    </row>
    <row r="206" spans="1:24">
      <c r="A206" s="63" t="str">
        <f t="shared" si="12"/>
        <v/>
      </c>
      <c r="C206" s="85"/>
      <c r="D206" s="62"/>
      <c r="E206" s="62"/>
      <c r="F206" s="55"/>
      <c r="G206" s="55"/>
      <c r="H206" s="55"/>
      <c r="I206" s="55"/>
      <c r="J206" s="55"/>
      <c r="K206" s="55"/>
      <c r="L206" s="55"/>
      <c r="M206" s="55"/>
      <c r="N206" s="55"/>
      <c r="U206" s="55"/>
      <c r="V206" s="86"/>
      <c r="X206" s="93"/>
    </row>
    <row r="207" spans="1:24">
      <c r="A207" s="63" t="str">
        <f t="shared" si="12"/>
        <v/>
      </c>
      <c r="C207" s="85"/>
      <c r="D207" s="62"/>
      <c r="E207" s="62"/>
      <c r="F207" s="55"/>
      <c r="G207" s="55"/>
      <c r="H207" s="55"/>
      <c r="I207" s="55"/>
      <c r="J207" s="55"/>
      <c r="K207" s="55"/>
      <c r="L207" s="55"/>
      <c r="M207" s="55"/>
      <c r="N207" s="55"/>
      <c r="U207" s="55"/>
      <c r="V207" s="86"/>
      <c r="X207" s="93"/>
    </row>
    <row r="208" spans="1:24">
      <c r="A208" s="63" t="str">
        <f t="shared" si="12"/>
        <v/>
      </c>
      <c r="C208" s="85"/>
      <c r="D208" s="62"/>
      <c r="E208" s="62"/>
      <c r="F208" s="55"/>
      <c r="G208" s="55"/>
      <c r="H208" s="55"/>
      <c r="I208" s="55"/>
      <c r="J208" s="55"/>
      <c r="K208" s="55"/>
      <c r="L208" s="55"/>
      <c r="M208" s="55"/>
      <c r="N208" s="55"/>
      <c r="U208" s="55"/>
      <c r="V208" s="86"/>
      <c r="X208" s="93"/>
    </row>
    <row r="209" spans="1:24">
      <c r="A209" s="63" t="str">
        <f t="shared" si="12"/>
        <v/>
      </c>
      <c r="C209" s="85"/>
      <c r="D209" s="62"/>
      <c r="E209" s="62"/>
      <c r="F209" s="55"/>
      <c r="G209" s="55"/>
      <c r="H209" s="55"/>
      <c r="I209" s="55"/>
      <c r="J209" s="55"/>
      <c r="K209" s="55"/>
      <c r="L209" s="55"/>
      <c r="M209" s="55"/>
      <c r="N209" s="55"/>
      <c r="U209" s="55"/>
      <c r="V209" s="86"/>
      <c r="X209" s="93"/>
    </row>
    <row r="210" spans="1:24">
      <c r="A210" s="63" t="str">
        <f t="shared" si="12"/>
        <v/>
      </c>
      <c r="C210" s="85"/>
      <c r="D210" s="62"/>
      <c r="E210" s="62"/>
      <c r="F210" s="55"/>
      <c r="G210" s="55"/>
      <c r="H210" s="55"/>
      <c r="I210" s="55"/>
      <c r="J210" s="55"/>
      <c r="K210" s="55"/>
      <c r="L210" s="55"/>
      <c r="M210" s="55"/>
      <c r="N210" s="55"/>
      <c r="U210" s="55"/>
      <c r="V210" s="86"/>
      <c r="X210" s="93"/>
    </row>
    <row r="211" spans="1:24">
      <c r="A211" s="63" t="str">
        <f t="shared" si="12"/>
        <v/>
      </c>
      <c r="C211" s="85"/>
      <c r="D211" s="62"/>
      <c r="E211" s="62"/>
      <c r="F211" s="55"/>
      <c r="G211" s="55"/>
      <c r="H211" s="55"/>
      <c r="I211" s="55"/>
      <c r="J211" s="55"/>
      <c r="K211" s="55"/>
      <c r="L211" s="55"/>
      <c r="M211" s="55"/>
      <c r="N211" s="55"/>
      <c r="U211" s="55"/>
      <c r="V211" s="86"/>
      <c r="X211" s="93"/>
    </row>
    <row r="212" spans="1:24">
      <c r="A212" s="63" t="str">
        <f t="shared" si="12"/>
        <v/>
      </c>
      <c r="C212" s="85"/>
      <c r="D212" s="62"/>
      <c r="E212" s="62"/>
      <c r="F212" s="55"/>
      <c r="G212" s="55"/>
      <c r="H212" s="55"/>
      <c r="I212" s="55"/>
      <c r="J212" s="55"/>
      <c r="K212" s="55"/>
      <c r="L212" s="55"/>
      <c r="M212" s="55"/>
      <c r="N212" s="55"/>
      <c r="U212" s="55"/>
      <c r="V212" s="86"/>
      <c r="X212" s="93"/>
    </row>
    <row r="213" spans="1:24">
      <c r="A213" s="63" t="str">
        <f t="shared" si="12"/>
        <v/>
      </c>
      <c r="C213" s="85"/>
      <c r="D213" s="62"/>
      <c r="E213" s="62"/>
      <c r="F213" s="55"/>
      <c r="G213" s="55"/>
      <c r="H213" s="55"/>
      <c r="I213" s="55"/>
      <c r="J213" s="55"/>
      <c r="K213" s="55"/>
      <c r="L213" s="55"/>
      <c r="M213" s="55"/>
      <c r="N213" s="55"/>
      <c r="U213" s="55"/>
      <c r="V213" s="86"/>
      <c r="X213" s="93"/>
    </row>
    <row r="214" spans="1:24">
      <c r="A214" s="63" t="str">
        <f t="shared" si="12"/>
        <v/>
      </c>
      <c r="C214" s="85"/>
      <c r="D214" s="62"/>
      <c r="E214" s="62"/>
      <c r="F214" s="55"/>
      <c r="G214" s="55"/>
      <c r="H214" s="55"/>
      <c r="I214" s="55"/>
      <c r="J214" s="55"/>
      <c r="K214" s="55"/>
      <c r="L214" s="55"/>
      <c r="M214" s="55"/>
      <c r="N214" s="55"/>
      <c r="U214" s="55"/>
      <c r="V214" s="86"/>
      <c r="X214" s="93"/>
    </row>
    <row r="215" spans="1:24">
      <c r="A215" s="63" t="str">
        <f t="shared" si="12"/>
        <v/>
      </c>
      <c r="C215" s="85"/>
      <c r="D215" s="62"/>
      <c r="E215" s="62"/>
      <c r="F215" s="55"/>
      <c r="G215" s="55"/>
      <c r="H215" s="55"/>
      <c r="I215" s="55"/>
      <c r="J215" s="55"/>
      <c r="K215" s="55"/>
      <c r="L215" s="55"/>
      <c r="M215" s="55"/>
      <c r="N215" s="55"/>
      <c r="U215" s="55"/>
      <c r="V215" s="86"/>
      <c r="X215" s="93"/>
    </row>
    <row r="216" spans="1:24">
      <c r="A216" s="63" t="str">
        <f t="shared" si="12"/>
        <v/>
      </c>
      <c r="C216" s="85"/>
      <c r="D216" s="62"/>
      <c r="E216" s="62"/>
      <c r="F216" s="55"/>
      <c r="G216" s="55"/>
      <c r="H216" s="55"/>
      <c r="I216" s="55"/>
      <c r="J216" s="55"/>
      <c r="K216" s="55"/>
      <c r="L216" s="55"/>
      <c r="M216" s="55"/>
      <c r="N216" s="55"/>
      <c r="U216" s="55"/>
      <c r="V216" s="86"/>
      <c r="X216" s="93"/>
    </row>
    <row r="217" spans="1:24">
      <c r="A217" s="63" t="str">
        <f t="shared" si="12"/>
        <v/>
      </c>
      <c r="C217" s="85"/>
      <c r="D217" s="62"/>
      <c r="E217" s="62"/>
      <c r="F217" s="55"/>
      <c r="G217" s="55"/>
      <c r="H217" s="55"/>
      <c r="I217" s="55"/>
      <c r="J217" s="55"/>
      <c r="K217" s="55"/>
      <c r="L217" s="55"/>
      <c r="M217" s="55"/>
      <c r="N217" s="55"/>
      <c r="U217" s="55"/>
      <c r="V217" s="86"/>
      <c r="X217" s="93"/>
    </row>
    <row r="218" spans="1:24">
      <c r="A218" s="63" t="str">
        <f t="shared" si="12"/>
        <v/>
      </c>
      <c r="C218" s="85"/>
      <c r="D218" s="62"/>
      <c r="E218" s="62"/>
      <c r="F218" s="55"/>
      <c r="G218" s="55"/>
      <c r="H218" s="55"/>
      <c r="I218" s="55"/>
      <c r="J218" s="55"/>
      <c r="K218" s="55"/>
      <c r="L218" s="55"/>
      <c r="M218" s="55"/>
      <c r="N218" s="55"/>
      <c r="U218" s="55"/>
      <c r="V218" s="86"/>
      <c r="X218" s="93"/>
    </row>
    <row r="219" spans="1:24">
      <c r="A219" s="63" t="str">
        <f t="shared" si="12"/>
        <v/>
      </c>
      <c r="C219" s="85"/>
      <c r="D219" s="62"/>
      <c r="E219" s="62"/>
      <c r="F219" s="55"/>
      <c r="G219" s="55"/>
      <c r="H219" s="55"/>
      <c r="I219" s="55"/>
      <c r="J219" s="55"/>
      <c r="K219" s="55"/>
      <c r="L219" s="55"/>
      <c r="M219" s="55"/>
      <c r="N219" s="55"/>
      <c r="U219" s="55"/>
      <c r="V219" s="86"/>
      <c r="X219" s="93"/>
    </row>
    <row r="220" spans="1:24">
      <c r="A220" s="63" t="str">
        <f t="shared" si="12"/>
        <v/>
      </c>
      <c r="C220" s="85"/>
      <c r="D220" s="62"/>
      <c r="E220" s="62"/>
      <c r="F220" s="55"/>
      <c r="G220" s="55"/>
      <c r="H220" s="55"/>
      <c r="I220" s="55"/>
      <c r="J220" s="55"/>
      <c r="K220" s="55"/>
      <c r="L220" s="55"/>
      <c r="M220" s="55"/>
      <c r="N220" s="55"/>
      <c r="U220" s="55"/>
      <c r="V220" s="86"/>
      <c r="X220" s="93"/>
    </row>
    <row r="221" spans="1:24">
      <c r="A221" s="63" t="str">
        <f t="shared" si="12"/>
        <v/>
      </c>
      <c r="C221" s="85"/>
      <c r="D221" s="62"/>
      <c r="E221" s="62"/>
      <c r="F221" s="55"/>
      <c r="G221" s="55"/>
      <c r="H221" s="55"/>
      <c r="I221" s="55"/>
      <c r="J221" s="55"/>
      <c r="K221" s="55"/>
      <c r="L221" s="55"/>
      <c r="M221" s="55"/>
      <c r="N221" s="55"/>
      <c r="U221" s="55"/>
      <c r="V221" s="86"/>
      <c r="X221" s="93"/>
    </row>
    <row r="222" spans="1:24">
      <c r="C222" s="85"/>
      <c r="D222" s="62"/>
      <c r="E222" s="62"/>
      <c r="F222" s="55"/>
      <c r="G222" s="55"/>
      <c r="H222" s="55"/>
      <c r="I222" s="55"/>
      <c r="J222" s="55"/>
      <c r="K222" s="55"/>
      <c r="L222" s="55"/>
      <c r="M222" s="55"/>
      <c r="N222" s="55"/>
      <c r="U222" s="55"/>
      <c r="V222" s="86"/>
      <c r="X222" s="93"/>
    </row>
    <row r="223" spans="1:24">
      <c r="C223" s="85"/>
      <c r="D223" s="62"/>
      <c r="E223" s="62"/>
      <c r="F223" s="55"/>
      <c r="G223" s="55"/>
      <c r="H223" s="55"/>
      <c r="I223" s="55"/>
      <c r="J223" s="55"/>
      <c r="K223" s="55"/>
      <c r="L223" s="55"/>
      <c r="M223" s="55"/>
      <c r="N223" s="55"/>
      <c r="U223" s="55"/>
      <c r="V223" s="86"/>
      <c r="X223" s="93"/>
    </row>
    <row r="224" spans="1:24">
      <c r="C224" s="85"/>
      <c r="D224" s="62"/>
      <c r="E224" s="62"/>
      <c r="F224" s="55"/>
      <c r="G224" s="55"/>
      <c r="H224" s="55"/>
      <c r="I224" s="55"/>
      <c r="J224" s="55"/>
      <c r="K224" s="55"/>
      <c r="L224" s="55"/>
      <c r="M224" s="55"/>
      <c r="N224" s="55"/>
      <c r="U224" s="55"/>
      <c r="V224" s="86"/>
      <c r="X224" s="93"/>
    </row>
    <row r="225" spans="3:24">
      <c r="C225" s="85"/>
      <c r="D225" s="62"/>
      <c r="E225" s="62"/>
      <c r="F225" s="55"/>
      <c r="G225" s="55"/>
      <c r="H225" s="55"/>
      <c r="I225" s="55"/>
      <c r="J225" s="55"/>
      <c r="K225" s="55"/>
      <c r="L225" s="55"/>
      <c r="M225" s="55"/>
      <c r="N225" s="55"/>
      <c r="U225" s="55"/>
      <c r="V225" s="86"/>
      <c r="X225" s="93"/>
    </row>
    <row r="226" spans="3:24">
      <c r="C226" s="85"/>
      <c r="D226" s="62"/>
      <c r="E226" s="62"/>
      <c r="F226" s="55"/>
      <c r="G226" s="55"/>
      <c r="H226" s="55"/>
      <c r="I226" s="55"/>
      <c r="J226" s="55"/>
      <c r="K226" s="55"/>
      <c r="L226" s="55"/>
      <c r="M226" s="55"/>
      <c r="N226" s="55"/>
      <c r="U226" s="55"/>
      <c r="V226" s="86"/>
      <c r="X226" s="93"/>
    </row>
    <row r="227" spans="3:24">
      <c r="C227" s="85"/>
      <c r="D227" s="62"/>
      <c r="E227" s="62"/>
      <c r="F227" s="55"/>
      <c r="G227" s="55"/>
      <c r="H227" s="55"/>
      <c r="I227" s="55"/>
      <c r="J227" s="55"/>
      <c r="K227" s="55"/>
      <c r="L227" s="55"/>
      <c r="M227" s="55"/>
      <c r="N227" s="55"/>
      <c r="U227" s="55"/>
      <c r="V227" s="86"/>
      <c r="X227" s="93"/>
    </row>
    <row r="228" spans="3:24">
      <c r="C228" s="85"/>
      <c r="D228" s="62"/>
      <c r="E228" s="62"/>
      <c r="F228" s="55"/>
      <c r="G228" s="55"/>
      <c r="H228" s="55"/>
      <c r="I228" s="55"/>
      <c r="J228" s="55"/>
      <c r="K228" s="55"/>
      <c r="L228" s="55"/>
      <c r="M228" s="55"/>
      <c r="N228" s="55"/>
      <c r="U228" s="55"/>
      <c r="V228" s="86"/>
      <c r="X228" s="93"/>
    </row>
    <row r="229" spans="3:24">
      <c r="C229" s="85"/>
      <c r="D229" s="62"/>
      <c r="E229" s="62"/>
      <c r="F229" s="55"/>
      <c r="G229" s="55"/>
      <c r="H229" s="55"/>
      <c r="I229" s="55"/>
      <c r="J229" s="55"/>
      <c r="K229" s="55"/>
      <c r="L229" s="55"/>
      <c r="M229" s="55"/>
      <c r="N229" s="55"/>
      <c r="U229" s="55"/>
      <c r="V229" s="86"/>
      <c r="X229" s="93"/>
    </row>
    <row r="230" spans="3:24">
      <c r="C230" s="85"/>
      <c r="D230" s="62"/>
      <c r="E230" s="62"/>
      <c r="F230" s="55"/>
      <c r="G230" s="55"/>
      <c r="H230" s="55"/>
      <c r="I230" s="55"/>
      <c r="J230" s="55"/>
      <c r="K230" s="55"/>
      <c r="L230" s="55"/>
      <c r="M230" s="55"/>
      <c r="N230" s="55"/>
      <c r="U230" s="55"/>
      <c r="V230" s="86"/>
      <c r="X230" s="93"/>
    </row>
    <row r="231" spans="3:24">
      <c r="C231" s="85"/>
      <c r="D231" s="62"/>
      <c r="E231" s="62"/>
      <c r="F231" s="55"/>
      <c r="G231" s="55"/>
      <c r="H231" s="55"/>
      <c r="I231" s="55"/>
      <c r="J231" s="55"/>
      <c r="K231" s="55"/>
      <c r="L231" s="55"/>
      <c r="M231" s="55"/>
      <c r="N231" s="55"/>
      <c r="U231" s="55"/>
      <c r="V231" s="86"/>
      <c r="X231" s="93"/>
    </row>
    <row r="232" spans="3:24">
      <c r="C232" s="85"/>
      <c r="D232" s="62"/>
      <c r="E232" s="62"/>
      <c r="F232" s="55"/>
      <c r="G232" s="55"/>
      <c r="H232" s="55"/>
      <c r="I232" s="55"/>
      <c r="J232" s="55"/>
      <c r="K232" s="55"/>
      <c r="L232" s="55"/>
      <c r="M232" s="55"/>
      <c r="N232" s="55"/>
      <c r="U232" s="55"/>
      <c r="V232" s="86"/>
      <c r="X232" s="93"/>
    </row>
    <row r="233" spans="3:24">
      <c r="C233" s="85"/>
      <c r="D233" s="62"/>
      <c r="E233" s="62"/>
      <c r="F233" s="55"/>
      <c r="G233" s="55"/>
      <c r="H233" s="55"/>
      <c r="I233" s="55"/>
      <c r="J233" s="55"/>
      <c r="K233" s="55"/>
      <c r="L233" s="55"/>
      <c r="M233" s="55"/>
      <c r="N233" s="55"/>
      <c r="U233" s="55"/>
      <c r="V233" s="86"/>
      <c r="X233" s="93"/>
    </row>
    <row r="234" spans="3:24">
      <c r="C234" s="85"/>
      <c r="D234" s="62"/>
      <c r="E234" s="62"/>
      <c r="F234" s="55"/>
      <c r="G234" s="55"/>
      <c r="H234" s="55"/>
      <c r="I234" s="55"/>
      <c r="J234" s="55"/>
      <c r="K234" s="55"/>
      <c r="L234" s="55"/>
      <c r="M234" s="55"/>
      <c r="N234" s="55"/>
      <c r="U234" s="55"/>
      <c r="V234" s="86"/>
      <c r="X234" s="93"/>
    </row>
    <row r="235" spans="3:24">
      <c r="C235" s="85"/>
      <c r="D235" s="62"/>
      <c r="E235" s="62"/>
      <c r="F235" s="55"/>
      <c r="G235" s="55"/>
      <c r="H235" s="55"/>
      <c r="I235" s="55"/>
      <c r="J235" s="55"/>
      <c r="K235" s="55"/>
      <c r="L235" s="55"/>
      <c r="M235" s="55"/>
      <c r="N235" s="55"/>
      <c r="U235" s="55"/>
      <c r="V235" s="86"/>
      <c r="X235" s="93"/>
    </row>
    <row r="236" spans="3:24">
      <c r="C236" s="85"/>
      <c r="D236" s="62"/>
      <c r="E236" s="62"/>
      <c r="F236" s="55"/>
      <c r="G236" s="55"/>
      <c r="H236" s="55"/>
      <c r="I236" s="55"/>
      <c r="J236" s="55"/>
      <c r="K236" s="55"/>
      <c r="L236" s="55"/>
      <c r="M236" s="55"/>
      <c r="N236" s="55"/>
      <c r="U236" s="55"/>
      <c r="V236" s="86"/>
      <c r="X236" s="93"/>
    </row>
    <row r="237" spans="3:24">
      <c r="C237" s="85"/>
      <c r="D237" s="62"/>
      <c r="E237" s="62"/>
      <c r="F237" s="55"/>
      <c r="G237" s="55"/>
      <c r="H237" s="55"/>
      <c r="I237" s="55"/>
      <c r="J237" s="55"/>
      <c r="K237" s="55"/>
      <c r="L237" s="55"/>
      <c r="M237" s="55"/>
      <c r="N237" s="55"/>
      <c r="U237" s="55"/>
      <c r="V237" s="86"/>
      <c r="X237" s="93"/>
    </row>
    <row r="238" spans="3:24">
      <c r="C238" s="85"/>
      <c r="D238" s="62"/>
      <c r="E238" s="62"/>
      <c r="F238" s="55"/>
      <c r="G238" s="55"/>
      <c r="H238" s="55"/>
      <c r="I238" s="55"/>
      <c r="J238" s="55"/>
      <c r="K238" s="55"/>
      <c r="L238" s="55"/>
      <c r="M238" s="55"/>
      <c r="N238" s="55"/>
      <c r="U238" s="55"/>
      <c r="V238" s="86"/>
      <c r="X238" s="93"/>
    </row>
    <row r="239" spans="3:24">
      <c r="C239" s="85"/>
      <c r="D239" s="62"/>
      <c r="E239" s="62"/>
      <c r="F239" s="55"/>
      <c r="G239" s="55"/>
      <c r="H239" s="55"/>
      <c r="I239" s="55"/>
      <c r="J239" s="55"/>
      <c r="K239" s="55"/>
      <c r="L239" s="55"/>
      <c r="M239" s="55"/>
      <c r="N239" s="55"/>
      <c r="U239" s="55"/>
      <c r="V239" s="86"/>
      <c r="X239" s="93"/>
    </row>
    <row r="240" spans="3:24">
      <c r="C240" s="85"/>
      <c r="D240" s="62"/>
      <c r="E240" s="62"/>
      <c r="F240" s="55"/>
      <c r="G240" s="55"/>
      <c r="H240" s="55"/>
      <c r="I240" s="55"/>
      <c r="J240" s="55"/>
      <c r="K240" s="55"/>
      <c r="L240" s="55"/>
      <c r="M240" s="55"/>
      <c r="N240" s="55"/>
      <c r="U240" s="55"/>
      <c r="V240" s="86"/>
      <c r="X240" s="93"/>
    </row>
    <row r="241" spans="3:24">
      <c r="C241" s="85"/>
      <c r="D241" s="62"/>
      <c r="E241" s="62"/>
      <c r="F241" s="55"/>
      <c r="G241" s="55"/>
      <c r="H241" s="55"/>
      <c r="I241" s="55"/>
      <c r="J241" s="55"/>
      <c r="K241" s="55"/>
      <c r="L241" s="55"/>
      <c r="M241" s="55"/>
      <c r="N241" s="55"/>
      <c r="U241" s="55"/>
      <c r="V241" s="86"/>
      <c r="X241" s="93"/>
    </row>
    <row r="242" spans="3:24">
      <c r="C242" s="85"/>
      <c r="D242" s="62"/>
      <c r="E242" s="62"/>
      <c r="F242" s="55"/>
      <c r="G242" s="55"/>
      <c r="H242" s="55"/>
      <c r="I242" s="55"/>
      <c r="J242" s="55"/>
      <c r="K242" s="55"/>
      <c r="L242" s="55"/>
      <c r="M242" s="55"/>
      <c r="N242" s="55"/>
      <c r="U242" s="55"/>
      <c r="V242" s="86"/>
      <c r="X242" s="93"/>
    </row>
    <row r="243" spans="3:24">
      <c r="C243" s="85"/>
      <c r="D243" s="62"/>
      <c r="E243" s="62"/>
      <c r="F243" s="55"/>
      <c r="G243" s="55"/>
      <c r="H243" s="55"/>
      <c r="I243" s="55"/>
      <c r="J243" s="55"/>
      <c r="K243" s="55"/>
      <c r="L243" s="55"/>
      <c r="M243" s="55"/>
      <c r="N243" s="55"/>
      <c r="U243" s="55"/>
      <c r="V243" s="86"/>
      <c r="X243" s="93"/>
    </row>
    <row r="244" spans="3:24">
      <c r="C244" s="85"/>
      <c r="D244" s="62"/>
      <c r="E244" s="62"/>
      <c r="F244" s="55"/>
      <c r="G244" s="55"/>
      <c r="H244" s="55"/>
      <c r="I244" s="55"/>
      <c r="J244" s="55"/>
      <c r="K244" s="55"/>
      <c r="L244" s="55"/>
      <c r="M244" s="55"/>
      <c r="N244" s="55"/>
      <c r="U244" s="55"/>
      <c r="V244" s="86"/>
      <c r="X244" s="93"/>
    </row>
    <row r="245" spans="3:24">
      <c r="C245" s="85"/>
      <c r="D245" s="62"/>
      <c r="E245" s="62"/>
      <c r="F245" s="55"/>
      <c r="G245" s="55"/>
      <c r="H245" s="55"/>
      <c r="I245" s="55"/>
      <c r="J245" s="55"/>
      <c r="K245" s="55"/>
      <c r="L245" s="55"/>
      <c r="M245" s="55"/>
      <c r="N245" s="55"/>
      <c r="U245" s="55"/>
      <c r="V245" s="86"/>
      <c r="X245" s="93"/>
    </row>
    <row r="246" spans="3:24">
      <c r="C246" s="85"/>
      <c r="D246" s="62"/>
      <c r="E246" s="62"/>
      <c r="F246" s="55"/>
      <c r="G246" s="55"/>
      <c r="H246" s="55"/>
      <c r="I246" s="55"/>
      <c r="J246" s="55"/>
      <c r="K246" s="55"/>
      <c r="L246" s="55"/>
      <c r="M246" s="55"/>
      <c r="N246" s="55"/>
      <c r="U246" s="55"/>
      <c r="V246" s="86"/>
      <c r="X246" s="93"/>
    </row>
    <row r="247" spans="3:24">
      <c r="C247" s="85"/>
      <c r="D247" s="62"/>
      <c r="E247" s="62"/>
      <c r="F247" s="55"/>
      <c r="G247" s="55"/>
      <c r="H247" s="55"/>
      <c r="I247" s="55"/>
      <c r="J247" s="55"/>
      <c r="K247" s="55"/>
      <c r="L247" s="55"/>
      <c r="M247" s="55"/>
      <c r="N247" s="55"/>
      <c r="U247" s="55"/>
      <c r="V247" s="86"/>
      <c r="X247" s="93"/>
    </row>
    <row r="248" spans="3:24">
      <c r="C248" s="85"/>
      <c r="D248" s="62"/>
      <c r="E248" s="62"/>
      <c r="F248" s="55"/>
      <c r="G248" s="55"/>
      <c r="H248" s="55"/>
      <c r="I248" s="55"/>
      <c r="J248" s="55"/>
      <c r="K248" s="55"/>
      <c r="L248" s="55"/>
      <c r="M248" s="55"/>
      <c r="N248" s="55"/>
      <c r="U248" s="55"/>
      <c r="V248" s="86"/>
      <c r="X248" s="93"/>
    </row>
    <row r="249" spans="3:24">
      <c r="C249" s="85"/>
      <c r="D249" s="62"/>
      <c r="E249" s="62"/>
      <c r="F249" s="55"/>
      <c r="G249" s="55"/>
      <c r="H249" s="55"/>
      <c r="I249" s="55"/>
      <c r="J249" s="55"/>
      <c r="K249" s="55"/>
      <c r="L249" s="55"/>
      <c r="M249" s="55"/>
      <c r="N249" s="55"/>
      <c r="U249" s="55"/>
      <c r="V249" s="86"/>
      <c r="X249" s="93"/>
    </row>
    <row r="250" spans="3:24">
      <c r="C250" s="85"/>
      <c r="D250" s="62"/>
      <c r="E250" s="62"/>
      <c r="F250" s="55"/>
      <c r="G250" s="55"/>
      <c r="H250" s="55"/>
      <c r="I250" s="55"/>
      <c r="J250" s="55"/>
      <c r="K250" s="55"/>
      <c r="L250" s="55"/>
      <c r="M250" s="55"/>
      <c r="N250" s="55"/>
      <c r="U250" s="55"/>
      <c r="V250" s="86"/>
      <c r="X250" s="93"/>
    </row>
    <row r="251" spans="3:24">
      <c r="C251" s="85"/>
      <c r="D251" s="62"/>
      <c r="E251" s="62"/>
      <c r="F251" s="55"/>
      <c r="G251" s="55"/>
      <c r="H251" s="55"/>
      <c r="I251" s="55"/>
      <c r="J251" s="55"/>
      <c r="K251" s="55"/>
      <c r="L251" s="55"/>
      <c r="M251" s="55"/>
      <c r="N251" s="55"/>
      <c r="U251" s="55"/>
      <c r="V251" s="86"/>
      <c r="X251" s="93"/>
    </row>
    <row r="252" spans="3:24">
      <c r="C252" s="85"/>
      <c r="D252" s="62"/>
      <c r="E252" s="62"/>
      <c r="F252" s="55"/>
      <c r="G252" s="55"/>
      <c r="H252" s="55"/>
      <c r="I252" s="55"/>
      <c r="J252" s="55"/>
      <c r="K252" s="55"/>
      <c r="L252" s="55"/>
      <c r="M252" s="55"/>
      <c r="N252" s="55"/>
      <c r="U252" s="55"/>
      <c r="V252" s="86"/>
      <c r="X252" s="93"/>
    </row>
    <row r="253" spans="3:24">
      <c r="C253" s="85"/>
      <c r="D253" s="62"/>
      <c r="E253" s="62"/>
      <c r="F253" s="55"/>
      <c r="G253" s="55"/>
      <c r="H253" s="55"/>
      <c r="I253" s="55"/>
      <c r="J253" s="55"/>
      <c r="K253" s="55"/>
      <c r="L253" s="55"/>
      <c r="M253" s="55"/>
      <c r="N253" s="55"/>
      <c r="U253" s="55"/>
      <c r="V253" s="86"/>
      <c r="X253" s="93"/>
    </row>
    <row r="254" spans="3:24">
      <c r="C254" s="85"/>
      <c r="D254" s="62"/>
      <c r="E254" s="62"/>
      <c r="F254" s="55"/>
      <c r="G254" s="55"/>
      <c r="H254" s="55"/>
      <c r="I254" s="55"/>
      <c r="J254" s="55"/>
      <c r="K254" s="55"/>
      <c r="L254" s="55"/>
      <c r="M254" s="55"/>
      <c r="N254" s="55"/>
      <c r="U254" s="55"/>
      <c r="V254" s="86"/>
      <c r="X254" s="93"/>
    </row>
    <row r="255" spans="3:24">
      <c r="C255" s="85"/>
      <c r="D255" s="62"/>
      <c r="E255" s="62"/>
      <c r="F255" s="55"/>
      <c r="G255" s="55"/>
      <c r="H255" s="55"/>
      <c r="I255" s="55"/>
      <c r="J255" s="55"/>
      <c r="K255" s="55"/>
      <c r="L255" s="55"/>
      <c r="M255" s="55"/>
      <c r="N255" s="55"/>
      <c r="U255" s="55"/>
      <c r="V255" s="86"/>
      <c r="X255" s="93"/>
    </row>
    <row r="256" spans="3:24">
      <c r="C256" s="85"/>
      <c r="D256" s="62"/>
      <c r="E256" s="62"/>
      <c r="F256" s="55"/>
      <c r="G256" s="55"/>
      <c r="H256" s="55"/>
      <c r="I256" s="55"/>
      <c r="J256" s="55"/>
      <c r="K256" s="55"/>
      <c r="L256" s="55"/>
      <c r="M256" s="55"/>
      <c r="N256" s="55"/>
      <c r="U256" s="55"/>
      <c r="V256" s="86"/>
      <c r="X256" s="93"/>
    </row>
    <row r="257" spans="3:24">
      <c r="C257" s="85"/>
      <c r="D257" s="62"/>
      <c r="E257" s="62"/>
      <c r="F257" s="55"/>
      <c r="G257" s="55"/>
      <c r="H257" s="55"/>
      <c r="I257" s="55"/>
      <c r="J257" s="55"/>
      <c r="K257" s="55"/>
      <c r="L257" s="55"/>
      <c r="M257" s="55"/>
      <c r="N257" s="55"/>
      <c r="U257" s="55"/>
      <c r="V257" s="86"/>
      <c r="X257" s="93"/>
    </row>
    <row r="258" spans="3:24">
      <c r="C258" s="85"/>
      <c r="D258" s="62"/>
      <c r="E258" s="62"/>
      <c r="F258" s="55"/>
      <c r="G258" s="55"/>
      <c r="H258" s="55"/>
      <c r="I258" s="55"/>
      <c r="J258" s="55"/>
      <c r="K258" s="55"/>
      <c r="L258" s="55"/>
      <c r="M258" s="55"/>
      <c r="N258" s="55"/>
      <c r="U258" s="55"/>
      <c r="V258" s="86"/>
      <c r="X258" s="93"/>
    </row>
    <row r="259" spans="3:24">
      <c r="C259" s="85"/>
      <c r="D259" s="62"/>
      <c r="E259" s="62"/>
      <c r="F259" s="55"/>
      <c r="G259" s="55"/>
      <c r="H259" s="55"/>
      <c r="I259" s="55"/>
      <c r="J259" s="55"/>
      <c r="K259" s="55"/>
      <c r="L259" s="55"/>
      <c r="M259" s="55"/>
      <c r="N259" s="55"/>
      <c r="U259" s="55"/>
      <c r="V259" s="86"/>
      <c r="X259" s="93"/>
    </row>
    <row r="260" spans="3:24">
      <c r="C260" s="85"/>
      <c r="D260" s="62"/>
      <c r="E260" s="62"/>
      <c r="F260" s="55"/>
      <c r="G260" s="55"/>
      <c r="H260" s="55"/>
      <c r="I260" s="55"/>
      <c r="J260" s="55"/>
      <c r="K260" s="55"/>
      <c r="L260" s="55"/>
      <c r="M260" s="55"/>
      <c r="N260" s="55"/>
      <c r="U260" s="55"/>
      <c r="V260" s="86"/>
      <c r="X260" s="93"/>
    </row>
    <row r="261" spans="3:24">
      <c r="C261" s="85"/>
      <c r="D261" s="62"/>
      <c r="E261" s="62"/>
      <c r="F261" s="55"/>
      <c r="G261" s="55"/>
      <c r="H261" s="55"/>
      <c r="I261" s="55"/>
      <c r="J261" s="55"/>
      <c r="K261" s="55"/>
      <c r="L261" s="55"/>
      <c r="M261" s="55"/>
      <c r="N261" s="55"/>
      <c r="U261" s="55"/>
      <c r="V261" s="86"/>
      <c r="X261" s="93"/>
    </row>
    <row r="262" spans="3:24">
      <c r="C262" s="85"/>
      <c r="D262" s="62"/>
      <c r="E262" s="62"/>
      <c r="F262" s="55"/>
      <c r="G262" s="55"/>
      <c r="H262" s="55"/>
      <c r="I262" s="55"/>
      <c r="J262" s="55"/>
      <c r="K262" s="55"/>
      <c r="L262" s="55"/>
      <c r="M262" s="55"/>
      <c r="N262" s="55"/>
      <c r="U262" s="55"/>
      <c r="V262" s="86"/>
      <c r="X262" s="93"/>
    </row>
    <row r="263" spans="3:24">
      <c r="C263" s="85"/>
      <c r="D263" s="62"/>
      <c r="E263" s="62"/>
      <c r="F263" s="55"/>
      <c r="G263" s="55"/>
      <c r="H263" s="55"/>
      <c r="I263" s="55"/>
      <c r="J263" s="55"/>
      <c r="K263" s="55"/>
      <c r="L263" s="55"/>
      <c r="M263" s="55"/>
      <c r="N263" s="55"/>
      <c r="U263" s="55"/>
      <c r="V263" s="86"/>
      <c r="X263" s="93"/>
    </row>
    <row r="264" spans="3:24">
      <c r="C264" s="85"/>
      <c r="D264" s="62"/>
      <c r="E264" s="62"/>
      <c r="F264" s="55"/>
      <c r="G264" s="55"/>
      <c r="H264" s="55"/>
      <c r="I264" s="55"/>
      <c r="J264" s="55"/>
      <c r="K264" s="55"/>
      <c r="L264" s="55"/>
      <c r="M264" s="55"/>
      <c r="N264" s="55"/>
      <c r="U264" s="55"/>
      <c r="V264" s="86"/>
      <c r="X264" s="93"/>
    </row>
    <row r="265" spans="3:24">
      <c r="C265" s="85"/>
      <c r="D265" s="62"/>
      <c r="E265" s="62"/>
      <c r="F265" s="55"/>
      <c r="G265" s="55"/>
      <c r="H265" s="55"/>
      <c r="I265" s="55"/>
      <c r="J265" s="55"/>
      <c r="K265" s="55"/>
      <c r="L265" s="55"/>
      <c r="M265" s="55"/>
      <c r="N265" s="55"/>
      <c r="U265" s="55"/>
      <c r="V265" s="86"/>
      <c r="X265" s="93"/>
    </row>
    <row r="266" spans="3:24">
      <c r="C266" s="85"/>
      <c r="D266" s="62"/>
      <c r="E266" s="62"/>
      <c r="F266" s="55"/>
      <c r="G266" s="55"/>
      <c r="H266" s="55"/>
      <c r="I266" s="55"/>
      <c r="J266" s="55"/>
      <c r="K266" s="55"/>
      <c r="L266" s="55"/>
      <c r="M266" s="55"/>
      <c r="N266" s="55"/>
      <c r="U266" s="55"/>
      <c r="V266" s="86"/>
      <c r="X266" s="93"/>
    </row>
    <row r="267" spans="3:24">
      <c r="C267" s="85"/>
      <c r="D267" s="62"/>
      <c r="E267" s="62"/>
      <c r="F267" s="55"/>
      <c r="G267" s="55"/>
      <c r="H267" s="55"/>
      <c r="I267" s="55"/>
      <c r="J267" s="55"/>
      <c r="K267" s="55"/>
      <c r="L267" s="55"/>
      <c r="M267" s="55"/>
      <c r="N267" s="55"/>
      <c r="U267" s="55"/>
      <c r="V267" s="86"/>
      <c r="X267" s="93"/>
    </row>
    <row r="268" spans="3:24">
      <c r="C268" s="85"/>
      <c r="D268" s="62"/>
      <c r="E268" s="62"/>
      <c r="F268" s="55"/>
      <c r="G268" s="55"/>
      <c r="H268" s="55"/>
      <c r="I268" s="55"/>
      <c r="J268" s="55"/>
      <c r="K268" s="55"/>
      <c r="L268" s="55"/>
      <c r="M268" s="55"/>
      <c r="N268" s="55"/>
      <c r="U268" s="55"/>
      <c r="V268" s="86"/>
      <c r="X268" s="93"/>
    </row>
    <row r="269" spans="3:24">
      <c r="C269" s="85"/>
      <c r="D269" s="62"/>
      <c r="E269" s="62"/>
      <c r="F269" s="55"/>
      <c r="G269" s="55"/>
      <c r="H269" s="55"/>
      <c r="I269" s="55"/>
      <c r="J269" s="55"/>
      <c r="K269" s="55"/>
      <c r="L269" s="55"/>
      <c r="M269" s="55"/>
      <c r="N269" s="55"/>
      <c r="U269" s="55"/>
      <c r="V269" s="86"/>
      <c r="X269" s="93"/>
    </row>
    <row r="270" spans="3:24">
      <c r="C270" s="85"/>
      <c r="D270" s="62"/>
      <c r="E270" s="62"/>
      <c r="F270" s="55"/>
      <c r="G270" s="55"/>
      <c r="H270" s="55"/>
      <c r="I270" s="55"/>
      <c r="J270" s="55"/>
      <c r="K270" s="55"/>
      <c r="L270" s="55"/>
      <c r="M270" s="55"/>
      <c r="N270" s="55"/>
      <c r="U270" s="55"/>
      <c r="V270" s="86"/>
      <c r="X270" s="93"/>
    </row>
    <row r="271" spans="3:24">
      <c r="C271" s="85"/>
      <c r="D271" s="62"/>
      <c r="E271" s="62"/>
      <c r="F271" s="55"/>
      <c r="G271" s="55"/>
      <c r="H271" s="55"/>
      <c r="I271" s="55"/>
      <c r="J271" s="55"/>
      <c r="K271" s="55"/>
      <c r="L271" s="55"/>
      <c r="M271" s="55"/>
      <c r="N271" s="55"/>
      <c r="U271" s="55"/>
      <c r="V271" s="86"/>
      <c r="X271" s="93"/>
    </row>
    <row r="272" spans="3:24">
      <c r="C272" s="85"/>
      <c r="D272" s="62"/>
      <c r="E272" s="62"/>
      <c r="F272" s="55"/>
      <c r="G272" s="55"/>
      <c r="H272" s="55"/>
      <c r="I272" s="55"/>
      <c r="J272" s="55"/>
      <c r="K272" s="55"/>
      <c r="L272" s="55"/>
      <c r="M272" s="55"/>
      <c r="N272" s="55"/>
      <c r="U272" s="55"/>
      <c r="V272" s="86"/>
      <c r="X272" s="93"/>
    </row>
    <row r="273" spans="3:24">
      <c r="C273" s="85"/>
      <c r="D273" s="62"/>
      <c r="E273" s="62"/>
      <c r="F273" s="55"/>
      <c r="G273" s="55"/>
      <c r="H273" s="55"/>
      <c r="I273" s="55"/>
      <c r="J273" s="55"/>
      <c r="K273" s="55"/>
      <c r="L273" s="55"/>
      <c r="M273" s="55"/>
      <c r="N273" s="55"/>
      <c r="U273" s="55"/>
      <c r="V273" s="86"/>
      <c r="X273" s="93"/>
    </row>
    <row r="274" spans="3:24">
      <c r="C274" s="85"/>
      <c r="D274" s="62"/>
      <c r="E274" s="62"/>
      <c r="F274" s="55"/>
      <c r="G274" s="55"/>
      <c r="H274" s="55"/>
      <c r="I274" s="55"/>
      <c r="J274" s="55"/>
      <c r="K274" s="55"/>
      <c r="L274" s="55"/>
      <c r="M274" s="55"/>
      <c r="N274" s="55"/>
      <c r="U274" s="55"/>
      <c r="V274" s="86"/>
      <c r="X274" s="93"/>
    </row>
    <row r="275" spans="3:24">
      <c r="C275" s="85"/>
      <c r="D275" s="62"/>
      <c r="E275" s="62"/>
      <c r="F275" s="55"/>
      <c r="G275" s="55"/>
      <c r="H275" s="55"/>
      <c r="I275" s="55"/>
      <c r="J275" s="55"/>
      <c r="K275" s="55"/>
      <c r="L275" s="55"/>
      <c r="M275" s="55"/>
      <c r="N275" s="55"/>
      <c r="U275" s="55"/>
      <c r="V275" s="86"/>
      <c r="X275" s="93"/>
    </row>
    <row r="276" spans="3:24">
      <c r="C276" s="85"/>
      <c r="D276" s="62"/>
      <c r="E276" s="62"/>
      <c r="F276" s="55"/>
      <c r="G276" s="55"/>
      <c r="H276" s="55"/>
      <c r="I276" s="55"/>
      <c r="J276" s="55"/>
      <c r="K276" s="55"/>
      <c r="L276" s="55"/>
      <c r="M276" s="55"/>
      <c r="N276" s="55"/>
      <c r="U276" s="55"/>
      <c r="V276" s="86"/>
      <c r="X276" s="93"/>
    </row>
    <row r="277" spans="3:24">
      <c r="C277" s="85"/>
      <c r="D277" s="62"/>
      <c r="E277" s="62"/>
      <c r="F277" s="55"/>
      <c r="G277" s="55"/>
      <c r="H277" s="55"/>
      <c r="I277" s="55"/>
      <c r="J277" s="55"/>
      <c r="K277" s="55"/>
      <c r="L277" s="55"/>
      <c r="M277" s="55"/>
      <c r="N277" s="55"/>
      <c r="U277" s="55"/>
      <c r="V277" s="86"/>
      <c r="X277" s="93"/>
    </row>
    <row r="278" spans="3:24">
      <c r="C278" s="85"/>
      <c r="D278" s="62"/>
      <c r="E278" s="62"/>
      <c r="F278" s="55"/>
      <c r="G278" s="55"/>
      <c r="H278" s="55"/>
      <c r="I278" s="55"/>
      <c r="J278" s="55"/>
      <c r="K278" s="55"/>
      <c r="L278" s="55"/>
      <c r="M278" s="55"/>
      <c r="N278" s="55"/>
      <c r="U278" s="55"/>
      <c r="V278" s="86"/>
      <c r="X278" s="93"/>
    </row>
    <row r="279" spans="3:24">
      <c r="C279" s="85"/>
      <c r="D279" s="62"/>
      <c r="E279" s="62"/>
      <c r="F279" s="55"/>
      <c r="G279" s="55"/>
      <c r="H279" s="55"/>
      <c r="I279" s="55"/>
      <c r="J279" s="55"/>
      <c r="K279" s="55"/>
      <c r="L279" s="55"/>
      <c r="M279" s="55"/>
      <c r="N279" s="55"/>
      <c r="U279" s="55"/>
      <c r="V279" s="86"/>
      <c r="X279" s="93"/>
    </row>
    <row r="280" spans="3:24">
      <c r="C280" s="85"/>
      <c r="D280" s="62"/>
      <c r="E280" s="62"/>
      <c r="F280" s="55"/>
      <c r="G280" s="55"/>
      <c r="H280" s="55"/>
      <c r="I280" s="55"/>
      <c r="J280" s="55"/>
      <c r="K280" s="55"/>
      <c r="L280" s="55"/>
      <c r="M280" s="55"/>
      <c r="N280" s="55"/>
      <c r="U280" s="55"/>
      <c r="V280" s="86"/>
      <c r="X280" s="93"/>
    </row>
    <row r="281" spans="3:24">
      <c r="C281" s="85"/>
      <c r="D281" s="62"/>
      <c r="E281" s="62"/>
      <c r="F281" s="55"/>
      <c r="G281" s="55"/>
      <c r="H281" s="55"/>
      <c r="I281" s="55"/>
      <c r="J281" s="55"/>
      <c r="K281" s="55"/>
      <c r="L281" s="55"/>
      <c r="M281" s="55"/>
      <c r="N281" s="55"/>
      <c r="U281" s="55"/>
      <c r="V281" s="86"/>
      <c r="X281" s="93"/>
    </row>
    <row r="282" spans="3:24">
      <c r="C282" s="85"/>
      <c r="D282" s="62"/>
      <c r="E282" s="62"/>
      <c r="F282" s="55"/>
      <c r="G282" s="55"/>
      <c r="H282" s="55"/>
      <c r="I282" s="55"/>
      <c r="J282" s="55"/>
      <c r="K282" s="55"/>
      <c r="L282" s="55"/>
      <c r="M282" s="55"/>
      <c r="N282" s="55"/>
      <c r="U282" s="55"/>
      <c r="V282" s="86"/>
      <c r="X282" s="93"/>
    </row>
    <row r="283" spans="3:24">
      <c r="C283" s="85"/>
      <c r="D283" s="62"/>
      <c r="E283" s="62"/>
      <c r="F283" s="55"/>
      <c r="G283" s="55"/>
      <c r="H283" s="55"/>
      <c r="I283" s="55"/>
      <c r="J283" s="55"/>
      <c r="K283" s="55"/>
      <c r="L283" s="55"/>
      <c r="M283" s="55"/>
      <c r="N283" s="55"/>
      <c r="U283" s="55"/>
      <c r="V283" s="86"/>
      <c r="X283" s="93"/>
    </row>
    <row r="284" spans="3:24">
      <c r="C284" s="85"/>
      <c r="D284" s="62"/>
      <c r="E284" s="62"/>
      <c r="F284" s="55"/>
      <c r="G284" s="55"/>
      <c r="H284" s="55"/>
      <c r="I284" s="55"/>
      <c r="J284" s="55"/>
      <c r="K284" s="55"/>
      <c r="L284" s="55"/>
      <c r="M284" s="55"/>
      <c r="N284" s="55"/>
      <c r="U284" s="55"/>
      <c r="V284" s="86"/>
      <c r="X284" s="93"/>
    </row>
    <row r="285" spans="3:24">
      <c r="C285" s="85"/>
      <c r="D285" s="62"/>
      <c r="E285" s="62"/>
      <c r="F285" s="55"/>
      <c r="G285" s="55"/>
      <c r="H285" s="55"/>
      <c r="I285" s="55"/>
      <c r="J285" s="55"/>
      <c r="K285" s="55"/>
      <c r="L285" s="55"/>
      <c r="M285" s="55"/>
      <c r="N285" s="55"/>
      <c r="U285" s="55"/>
      <c r="V285" s="86"/>
      <c r="X285" s="93"/>
    </row>
    <row r="286" spans="3:24">
      <c r="C286" s="85"/>
      <c r="D286" s="62"/>
      <c r="E286" s="62"/>
      <c r="F286" s="55"/>
      <c r="G286" s="55"/>
      <c r="H286" s="55"/>
      <c r="I286" s="55"/>
      <c r="J286" s="55"/>
      <c r="K286" s="55"/>
      <c r="L286" s="55"/>
      <c r="M286" s="55"/>
      <c r="N286" s="55"/>
      <c r="U286" s="55"/>
      <c r="V286" s="86"/>
      <c r="X286" s="93"/>
    </row>
    <row r="287" spans="3:24">
      <c r="C287" s="85"/>
      <c r="D287" s="62"/>
      <c r="E287" s="62"/>
      <c r="F287" s="55"/>
      <c r="G287" s="55"/>
      <c r="H287" s="55"/>
      <c r="I287" s="55"/>
      <c r="J287" s="55"/>
      <c r="K287" s="55"/>
      <c r="L287" s="55"/>
      <c r="M287" s="55"/>
      <c r="N287" s="55"/>
      <c r="U287" s="55"/>
      <c r="V287" s="86"/>
      <c r="X287" s="93"/>
    </row>
    <row r="288" spans="3:24">
      <c r="C288" s="85"/>
      <c r="D288" s="62"/>
      <c r="E288" s="62"/>
      <c r="F288" s="55"/>
      <c r="G288" s="55"/>
      <c r="H288" s="55"/>
      <c r="I288" s="55"/>
      <c r="J288" s="55"/>
      <c r="K288" s="55"/>
      <c r="L288" s="55"/>
      <c r="M288" s="55"/>
      <c r="N288" s="55"/>
      <c r="U288" s="55"/>
      <c r="V288" s="86"/>
      <c r="X288" s="93"/>
    </row>
    <row r="289" spans="3:24">
      <c r="C289" s="85"/>
      <c r="D289" s="62"/>
      <c r="E289" s="62"/>
      <c r="F289" s="55"/>
      <c r="G289" s="55"/>
      <c r="H289" s="55"/>
      <c r="I289" s="55"/>
      <c r="J289" s="55"/>
      <c r="K289" s="55"/>
      <c r="L289" s="55"/>
      <c r="M289" s="55"/>
      <c r="N289" s="55"/>
      <c r="U289" s="55"/>
      <c r="V289" s="86"/>
      <c r="X289" s="93"/>
    </row>
    <row r="290" spans="3:24">
      <c r="C290" s="85"/>
      <c r="D290" s="62"/>
      <c r="E290" s="62"/>
      <c r="F290" s="55"/>
      <c r="G290" s="55"/>
      <c r="H290" s="55"/>
      <c r="I290" s="55"/>
      <c r="J290" s="55"/>
      <c r="K290" s="55"/>
      <c r="L290" s="55"/>
      <c r="M290" s="55"/>
      <c r="N290" s="55"/>
      <c r="U290" s="55"/>
      <c r="V290" s="86"/>
      <c r="X290" s="93"/>
    </row>
    <row r="291" spans="3:24">
      <c r="C291" s="85"/>
      <c r="D291" s="62"/>
      <c r="E291" s="62"/>
      <c r="F291" s="55"/>
      <c r="G291" s="55"/>
      <c r="H291" s="55"/>
      <c r="I291" s="55"/>
      <c r="J291" s="55"/>
      <c r="K291" s="55"/>
      <c r="L291" s="55"/>
      <c r="M291" s="55"/>
      <c r="N291" s="55"/>
      <c r="U291" s="55"/>
      <c r="V291" s="86"/>
      <c r="X291" s="93"/>
    </row>
    <row r="292" spans="3:24">
      <c r="C292" s="85"/>
      <c r="D292" s="62"/>
      <c r="E292" s="62"/>
      <c r="F292" s="55"/>
      <c r="G292" s="55"/>
      <c r="H292" s="55"/>
      <c r="I292" s="55"/>
      <c r="J292" s="55"/>
      <c r="K292" s="55"/>
      <c r="L292" s="55"/>
      <c r="M292" s="55"/>
      <c r="N292" s="55"/>
      <c r="U292" s="55"/>
      <c r="V292" s="86"/>
      <c r="X292" s="93"/>
    </row>
    <row r="293" spans="3:24">
      <c r="C293" s="85"/>
      <c r="D293" s="62"/>
      <c r="E293" s="62"/>
      <c r="F293" s="55"/>
      <c r="G293" s="55"/>
      <c r="H293" s="55"/>
      <c r="I293" s="55"/>
      <c r="J293" s="55"/>
      <c r="K293" s="55"/>
      <c r="L293" s="55"/>
      <c r="M293" s="55"/>
      <c r="N293" s="55"/>
      <c r="U293" s="55"/>
      <c r="V293" s="86"/>
      <c r="X293" s="93"/>
    </row>
    <row r="294" spans="3:24">
      <c r="C294" s="85"/>
      <c r="D294" s="62"/>
      <c r="E294" s="62"/>
      <c r="F294" s="55"/>
      <c r="G294" s="55"/>
      <c r="H294" s="55"/>
      <c r="I294" s="55"/>
      <c r="J294" s="55"/>
      <c r="K294" s="55"/>
      <c r="L294" s="55"/>
      <c r="M294" s="55"/>
      <c r="N294" s="55"/>
      <c r="U294" s="55"/>
      <c r="V294" s="86"/>
      <c r="X294" s="93"/>
    </row>
    <row r="295" spans="3:24">
      <c r="C295" s="85"/>
      <c r="D295" s="62"/>
      <c r="E295" s="62"/>
      <c r="F295" s="55"/>
      <c r="G295" s="55"/>
      <c r="H295" s="55"/>
      <c r="I295" s="55"/>
      <c r="J295" s="55"/>
      <c r="K295" s="55"/>
      <c r="L295" s="55"/>
      <c r="M295" s="55"/>
      <c r="N295" s="55"/>
      <c r="U295" s="55"/>
      <c r="V295" s="86"/>
      <c r="X295" s="93"/>
    </row>
    <row r="296" spans="3:24">
      <c r="C296" s="85"/>
      <c r="D296" s="62"/>
      <c r="E296" s="62"/>
      <c r="F296" s="55"/>
      <c r="G296" s="55"/>
      <c r="H296" s="55"/>
      <c r="I296" s="55"/>
      <c r="J296" s="55"/>
      <c r="K296" s="55"/>
      <c r="L296" s="55"/>
      <c r="M296" s="55"/>
      <c r="N296" s="55"/>
      <c r="U296" s="55"/>
      <c r="V296" s="86"/>
      <c r="X296" s="93"/>
    </row>
    <row r="297" spans="3:24">
      <c r="C297" s="85"/>
      <c r="D297" s="62"/>
      <c r="E297" s="62"/>
      <c r="F297" s="55"/>
      <c r="G297" s="55"/>
      <c r="H297" s="55"/>
      <c r="I297" s="55"/>
      <c r="J297" s="55"/>
      <c r="K297" s="55"/>
      <c r="L297" s="55"/>
      <c r="M297" s="55"/>
      <c r="N297" s="55"/>
      <c r="U297" s="55"/>
      <c r="V297" s="86"/>
      <c r="X297" s="93"/>
    </row>
    <row r="298" spans="3:24">
      <c r="C298" s="85"/>
      <c r="D298" s="62"/>
      <c r="E298" s="62"/>
      <c r="F298" s="55"/>
      <c r="G298" s="55"/>
      <c r="H298" s="55"/>
      <c r="I298" s="55"/>
      <c r="J298" s="55"/>
      <c r="K298" s="55"/>
      <c r="L298" s="55"/>
      <c r="M298" s="55"/>
      <c r="N298" s="55"/>
      <c r="U298" s="55"/>
      <c r="V298" s="86"/>
      <c r="X298" s="93"/>
    </row>
    <row r="299" spans="3:24">
      <c r="C299" s="85"/>
      <c r="D299" s="62"/>
      <c r="E299" s="62"/>
      <c r="F299" s="55"/>
      <c r="G299" s="55"/>
      <c r="H299" s="55"/>
      <c r="I299" s="55"/>
      <c r="J299" s="55"/>
      <c r="K299" s="55"/>
      <c r="L299" s="55"/>
      <c r="M299" s="55"/>
      <c r="N299" s="55"/>
      <c r="U299" s="55"/>
      <c r="V299" s="86"/>
      <c r="X299" s="93"/>
    </row>
    <row r="300" spans="3:24">
      <c r="C300" s="85"/>
      <c r="D300" s="62"/>
      <c r="E300" s="62"/>
      <c r="F300" s="55"/>
      <c r="G300" s="55"/>
      <c r="H300" s="55"/>
      <c r="I300" s="55"/>
      <c r="J300" s="55"/>
      <c r="K300" s="55"/>
      <c r="L300" s="55"/>
      <c r="M300" s="55"/>
      <c r="N300" s="55"/>
      <c r="U300" s="55"/>
      <c r="V300" s="86"/>
      <c r="X300" s="93"/>
    </row>
    <row r="301" spans="3:24">
      <c r="C301" s="85"/>
      <c r="D301" s="62"/>
      <c r="E301" s="62"/>
      <c r="F301" s="55"/>
      <c r="G301" s="55"/>
      <c r="H301" s="55"/>
      <c r="I301" s="55"/>
      <c r="J301" s="55"/>
      <c r="K301" s="55"/>
      <c r="L301" s="55"/>
      <c r="M301" s="55"/>
      <c r="N301" s="55"/>
      <c r="U301" s="55"/>
      <c r="V301" s="86"/>
      <c r="X301" s="93"/>
    </row>
    <row r="302" spans="3:24">
      <c r="C302" s="85"/>
      <c r="D302" s="62"/>
      <c r="E302" s="62"/>
      <c r="F302" s="55"/>
      <c r="G302" s="55"/>
      <c r="H302" s="55"/>
      <c r="I302" s="55"/>
      <c r="J302" s="55"/>
      <c r="K302" s="55"/>
      <c r="L302" s="55"/>
      <c r="M302" s="55"/>
      <c r="N302" s="55"/>
      <c r="U302" s="55"/>
      <c r="V302" s="86"/>
      <c r="X302" s="93"/>
    </row>
    <row r="303" spans="3:24">
      <c r="C303" s="85"/>
      <c r="D303" s="62"/>
      <c r="E303" s="62"/>
      <c r="F303" s="55"/>
      <c r="G303" s="55"/>
      <c r="H303" s="55"/>
      <c r="I303" s="55"/>
      <c r="J303" s="55"/>
      <c r="K303" s="55"/>
      <c r="L303" s="55"/>
      <c r="M303" s="55"/>
      <c r="N303" s="55"/>
      <c r="U303" s="55"/>
      <c r="V303" s="86"/>
      <c r="X303" s="93"/>
    </row>
    <row r="304" spans="3:24">
      <c r="C304" s="85"/>
      <c r="D304" s="62"/>
      <c r="E304" s="62"/>
      <c r="F304" s="55"/>
      <c r="G304" s="55"/>
      <c r="H304" s="55"/>
      <c r="I304" s="55"/>
      <c r="J304" s="55"/>
      <c r="K304" s="55"/>
      <c r="L304" s="55"/>
      <c r="M304" s="55"/>
      <c r="N304" s="55"/>
      <c r="U304" s="55"/>
      <c r="V304" s="86"/>
      <c r="X304" s="93"/>
    </row>
    <row r="305" spans="3:24">
      <c r="C305" s="85"/>
      <c r="D305" s="62"/>
      <c r="E305" s="62"/>
      <c r="F305" s="55"/>
      <c r="G305" s="55"/>
      <c r="H305" s="55"/>
      <c r="I305" s="55"/>
      <c r="J305" s="55"/>
      <c r="K305" s="55"/>
      <c r="L305" s="55"/>
      <c r="M305" s="55"/>
      <c r="N305" s="55"/>
      <c r="U305" s="55"/>
      <c r="V305" s="86"/>
      <c r="X305" s="93"/>
    </row>
    <row r="306" spans="3:24">
      <c r="C306" s="85"/>
      <c r="D306" s="62"/>
      <c r="E306" s="62"/>
      <c r="F306" s="55"/>
      <c r="G306" s="55"/>
      <c r="H306" s="55"/>
      <c r="I306" s="55"/>
      <c r="J306" s="55"/>
      <c r="K306" s="55"/>
      <c r="L306" s="55"/>
      <c r="M306" s="55"/>
      <c r="N306" s="55"/>
      <c r="U306" s="55"/>
      <c r="V306" s="86"/>
      <c r="X306" s="93"/>
    </row>
    <row r="307" spans="3:24">
      <c r="C307" s="85"/>
      <c r="D307" s="62"/>
      <c r="E307" s="62"/>
      <c r="F307" s="55"/>
      <c r="G307" s="55"/>
      <c r="H307" s="55"/>
      <c r="I307" s="55"/>
      <c r="J307" s="55"/>
      <c r="K307" s="55"/>
      <c r="L307" s="55"/>
      <c r="M307" s="55"/>
      <c r="N307" s="55"/>
      <c r="U307" s="55"/>
      <c r="V307" s="86"/>
      <c r="X307" s="93"/>
    </row>
    <row r="308" spans="3:24">
      <c r="C308" s="85"/>
      <c r="D308" s="62"/>
      <c r="E308" s="62"/>
      <c r="F308" s="55"/>
      <c r="G308" s="55"/>
      <c r="H308" s="55"/>
      <c r="I308" s="55"/>
      <c r="J308" s="55"/>
      <c r="K308" s="55"/>
      <c r="L308" s="55"/>
      <c r="M308" s="55"/>
      <c r="N308" s="55"/>
      <c r="U308" s="55"/>
      <c r="V308" s="86"/>
      <c r="X308" s="93"/>
    </row>
    <row r="309" spans="3:24">
      <c r="C309" s="85"/>
      <c r="D309" s="62"/>
      <c r="E309" s="62"/>
      <c r="F309" s="55"/>
      <c r="G309" s="55"/>
      <c r="H309" s="55"/>
      <c r="I309" s="55"/>
      <c r="J309" s="55"/>
      <c r="K309" s="55"/>
      <c r="L309" s="55"/>
      <c r="M309" s="55"/>
      <c r="N309" s="55"/>
      <c r="U309" s="55"/>
      <c r="V309" s="86"/>
      <c r="X309" s="93"/>
    </row>
    <row r="310" spans="3:24">
      <c r="C310" s="85"/>
      <c r="D310" s="62"/>
      <c r="E310" s="62"/>
      <c r="F310" s="55"/>
      <c r="G310" s="55"/>
      <c r="H310" s="55"/>
      <c r="I310" s="55"/>
      <c r="J310" s="55"/>
      <c r="K310" s="55"/>
      <c r="L310" s="55"/>
      <c r="M310" s="55"/>
      <c r="N310" s="55"/>
      <c r="U310" s="55"/>
      <c r="V310" s="86"/>
      <c r="X310" s="93"/>
    </row>
    <row r="311" spans="3:24">
      <c r="C311" s="85"/>
      <c r="D311" s="62"/>
      <c r="E311" s="62"/>
      <c r="F311" s="55"/>
      <c r="G311" s="55"/>
      <c r="H311" s="55"/>
      <c r="I311" s="55"/>
      <c r="J311" s="55"/>
      <c r="K311" s="55"/>
      <c r="L311" s="55"/>
      <c r="M311" s="55"/>
      <c r="N311" s="55"/>
      <c r="U311" s="55"/>
      <c r="V311" s="86"/>
      <c r="X311" s="93"/>
    </row>
    <row r="312" spans="3:24">
      <c r="C312" s="85"/>
      <c r="D312" s="62"/>
      <c r="E312" s="62"/>
      <c r="F312" s="55"/>
      <c r="G312" s="55"/>
      <c r="H312" s="55"/>
      <c r="I312" s="55"/>
      <c r="J312" s="55"/>
      <c r="K312" s="55"/>
      <c r="L312" s="55"/>
      <c r="M312" s="55"/>
      <c r="N312" s="55"/>
      <c r="U312" s="55"/>
      <c r="V312" s="86"/>
      <c r="X312" s="93"/>
    </row>
    <row r="313" spans="3:24">
      <c r="C313" s="85"/>
      <c r="D313" s="62"/>
      <c r="E313" s="62"/>
      <c r="F313" s="55"/>
      <c r="G313" s="55"/>
      <c r="H313" s="55"/>
      <c r="I313" s="55"/>
      <c r="J313" s="55"/>
      <c r="K313" s="55"/>
      <c r="L313" s="55"/>
      <c r="M313" s="55"/>
      <c r="N313" s="55"/>
      <c r="U313" s="55"/>
      <c r="V313" s="86"/>
      <c r="X313" s="93"/>
    </row>
    <row r="314" spans="3:24">
      <c r="C314" s="85"/>
      <c r="D314" s="62"/>
      <c r="E314" s="62"/>
      <c r="F314" s="55"/>
      <c r="G314" s="55"/>
      <c r="H314" s="55"/>
      <c r="I314" s="55"/>
      <c r="J314" s="55"/>
      <c r="K314" s="55"/>
      <c r="L314" s="55"/>
      <c r="M314" s="55"/>
      <c r="N314" s="55"/>
      <c r="U314" s="55"/>
      <c r="V314" s="86"/>
      <c r="X314" s="93"/>
    </row>
    <row r="315" spans="3:24">
      <c r="C315" s="85"/>
      <c r="D315" s="62"/>
      <c r="E315" s="62"/>
      <c r="F315" s="55"/>
      <c r="G315" s="55"/>
      <c r="H315" s="55"/>
      <c r="I315" s="55"/>
      <c r="J315" s="55"/>
      <c r="K315" s="55"/>
      <c r="L315" s="55"/>
      <c r="M315" s="55"/>
      <c r="N315" s="55"/>
      <c r="U315" s="55"/>
      <c r="V315" s="86"/>
      <c r="X315" s="93"/>
    </row>
    <row r="316" spans="3:24">
      <c r="C316" s="85"/>
      <c r="D316" s="62"/>
      <c r="E316" s="62"/>
      <c r="F316" s="55"/>
      <c r="G316" s="55"/>
      <c r="H316" s="55"/>
      <c r="I316" s="55"/>
      <c r="J316" s="55"/>
      <c r="K316" s="55"/>
      <c r="L316" s="55"/>
      <c r="M316" s="55"/>
      <c r="N316" s="55"/>
      <c r="U316" s="55"/>
      <c r="V316" s="86"/>
      <c r="X316" s="93"/>
    </row>
    <row r="317" spans="3:24">
      <c r="C317" s="85"/>
      <c r="D317" s="62"/>
      <c r="E317" s="62"/>
      <c r="F317" s="55"/>
      <c r="G317" s="55"/>
      <c r="H317" s="55"/>
      <c r="I317" s="55"/>
      <c r="J317" s="55"/>
      <c r="K317" s="55"/>
      <c r="L317" s="55"/>
      <c r="M317" s="55"/>
      <c r="N317" s="55"/>
      <c r="U317" s="55"/>
      <c r="V317" s="86"/>
      <c r="X317" s="93"/>
    </row>
    <row r="318" spans="3:24">
      <c r="C318" s="85"/>
      <c r="D318" s="62"/>
      <c r="E318" s="62"/>
      <c r="F318" s="55"/>
      <c r="G318" s="55"/>
      <c r="H318" s="55"/>
      <c r="I318" s="55"/>
      <c r="J318" s="55"/>
      <c r="K318" s="55"/>
      <c r="L318" s="55"/>
      <c r="M318" s="55"/>
      <c r="N318" s="55"/>
      <c r="U318" s="55"/>
      <c r="V318" s="86"/>
      <c r="X318" s="93"/>
    </row>
    <row r="319" spans="3:24">
      <c r="C319" s="85"/>
      <c r="D319" s="62"/>
      <c r="E319" s="62"/>
      <c r="F319" s="55"/>
      <c r="G319" s="55"/>
      <c r="H319" s="55"/>
      <c r="I319" s="55"/>
      <c r="J319" s="55"/>
      <c r="K319" s="55"/>
      <c r="L319" s="55"/>
      <c r="M319" s="55"/>
      <c r="N319" s="55"/>
      <c r="U319" s="55"/>
      <c r="V319" s="86"/>
      <c r="X319" s="93"/>
    </row>
    <row r="320" spans="3:24">
      <c r="C320" s="85"/>
      <c r="D320" s="62"/>
      <c r="E320" s="62"/>
      <c r="F320" s="55"/>
      <c r="G320" s="55"/>
      <c r="H320" s="55"/>
      <c r="I320" s="55"/>
      <c r="J320" s="55"/>
      <c r="K320" s="55"/>
      <c r="L320" s="55"/>
      <c r="M320" s="55"/>
      <c r="N320" s="55"/>
      <c r="U320" s="55"/>
      <c r="V320" s="86"/>
      <c r="X320" s="93"/>
    </row>
    <row r="321" spans="3:24">
      <c r="C321" s="85"/>
      <c r="D321" s="62"/>
      <c r="E321" s="62"/>
      <c r="F321" s="55"/>
      <c r="G321" s="55"/>
      <c r="H321" s="55"/>
      <c r="I321" s="55"/>
      <c r="J321" s="55"/>
      <c r="K321" s="55"/>
      <c r="L321" s="55"/>
      <c r="M321" s="55"/>
      <c r="N321" s="55"/>
      <c r="U321" s="55"/>
      <c r="V321" s="86"/>
      <c r="X321" s="93"/>
    </row>
    <row r="322" spans="3:24">
      <c r="C322" s="85"/>
      <c r="D322" s="62"/>
      <c r="E322" s="62"/>
      <c r="F322" s="55"/>
      <c r="G322" s="55"/>
      <c r="H322" s="55"/>
      <c r="I322" s="55"/>
      <c r="J322" s="55"/>
      <c r="K322" s="55"/>
      <c r="L322" s="55"/>
      <c r="M322" s="55"/>
      <c r="N322" s="55"/>
      <c r="U322" s="55"/>
      <c r="V322" s="86"/>
      <c r="X322" s="93"/>
    </row>
    <row r="323" spans="3:24">
      <c r="C323" s="85"/>
      <c r="D323" s="62"/>
      <c r="E323" s="62"/>
      <c r="F323" s="55"/>
      <c r="G323" s="55"/>
      <c r="H323" s="55"/>
      <c r="I323" s="55"/>
      <c r="J323" s="55"/>
      <c r="K323" s="55"/>
      <c r="L323" s="55"/>
      <c r="M323" s="55"/>
      <c r="N323" s="55"/>
      <c r="U323" s="55"/>
      <c r="V323" s="86"/>
      <c r="X323" s="93"/>
    </row>
    <row r="324" spans="3:24">
      <c r="C324" s="85"/>
      <c r="D324" s="62"/>
      <c r="E324" s="62"/>
      <c r="F324" s="55"/>
      <c r="G324" s="55"/>
      <c r="H324" s="55"/>
      <c r="I324" s="55"/>
      <c r="J324" s="55"/>
      <c r="K324" s="55"/>
      <c r="L324" s="55"/>
      <c r="M324" s="55"/>
      <c r="N324" s="55"/>
      <c r="U324" s="55"/>
      <c r="V324" s="86"/>
      <c r="X324" s="93"/>
    </row>
    <row r="325" spans="3:24">
      <c r="C325" s="85"/>
      <c r="D325" s="62"/>
      <c r="E325" s="62"/>
      <c r="F325" s="55"/>
      <c r="G325" s="55"/>
      <c r="H325" s="55"/>
      <c r="I325" s="55"/>
      <c r="J325" s="55"/>
      <c r="K325" s="55"/>
      <c r="L325" s="55"/>
      <c r="M325" s="55"/>
      <c r="N325" s="55"/>
      <c r="U325" s="55"/>
      <c r="V325" s="86"/>
      <c r="X325" s="93"/>
    </row>
    <row r="326" spans="3:24">
      <c r="C326" s="85"/>
      <c r="D326" s="62"/>
      <c r="E326" s="62"/>
      <c r="F326" s="55"/>
      <c r="G326" s="55"/>
      <c r="H326" s="55"/>
      <c r="I326" s="55"/>
      <c r="J326" s="55"/>
      <c r="K326" s="55"/>
      <c r="L326" s="55"/>
      <c r="M326" s="55"/>
      <c r="N326" s="55"/>
      <c r="U326" s="55"/>
      <c r="V326" s="86"/>
      <c r="X326" s="93"/>
    </row>
    <row r="327" spans="3:24">
      <c r="C327" s="85"/>
      <c r="D327" s="62"/>
      <c r="E327" s="62"/>
      <c r="F327" s="55"/>
      <c r="G327" s="55"/>
      <c r="H327" s="55"/>
      <c r="I327" s="55"/>
      <c r="J327" s="55"/>
      <c r="K327" s="55"/>
      <c r="L327" s="55"/>
      <c r="M327" s="55"/>
      <c r="N327" s="55"/>
      <c r="U327" s="55"/>
      <c r="V327" s="86"/>
      <c r="X327" s="93"/>
    </row>
    <row r="328" spans="3:24">
      <c r="C328" s="85"/>
      <c r="D328" s="62"/>
      <c r="E328" s="62"/>
      <c r="F328" s="55"/>
      <c r="G328" s="55"/>
      <c r="H328" s="55"/>
      <c r="I328" s="55"/>
      <c r="J328" s="55"/>
      <c r="K328" s="55"/>
      <c r="L328" s="55"/>
      <c r="M328" s="55"/>
      <c r="N328" s="55"/>
      <c r="U328" s="55"/>
      <c r="V328" s="86"/>
      <c r="X328" s="93"/>
    </row>
    <row r="329" spans="3:24">
      <c r="C329" s="85"/>
      <c r="D329" s="62"/>
      <c r="E329" s="62"/>
      <c r="F329" s="55"/>
      <c r="G329" s="55"/>
      <c r="H329" s="55"/>
      <c r="I329" s="55"/>
      <c r="J329" s="55"/>
      <c r="K329" s="55"/>
      <c r="L329" s="55"/>
      <c r="M329" s="55"/>
      <c r="N329" s="55"/>
      <c r="U329" s="55"/>
      <c r="V329" s="86"/>
      <c r="X329" s="93"/>
    </row>
    <row r="330" spans="3:24">
      <c r="C330" s="85"/>
      <c r="D330" s="62"/>
      <c r="E330" s="62"/>
      <c r="F330" s="55"/>
      <c r="G330" s="55"/>
      <c r="H330" s="55"/>
      <c r="I330" s="55"/>
      <c r="J330" s="55"/>
      <c r="K330" s="55"/>
      <c r="L330" s="55"/>
      <c r="M330" s="55"/>
      <c r="N330" s="55"/>
      <c r="U330" s="55"/>
      <c r="V330" s="86"/>
      <c r="X330" s="93"/>
    </row>
    <row r="331" spans="3:24">
      <c r="C331" s="85"/>
      <c r="D331" s="62"/>
      <c r="E331" s="62"/>
      <c r="F331" s="55"/>
      <c r="G331" s="55"/>
      <c r="H331" s="55"/>
      <c r="I331" s="55"/>
      <c r="J331" s="55"/>
      <c r="K331" s="55"/>
      <c r="L331" s="55"/>
      <c r="M331" s="55"/>
      <c r="N331" s="55"/>
      <c r="U331" s="55"/>
      <c r="V331" s="86"/>
      <c r="X331" s="93"/>
    </row>
    <row r="332" spans="3:24">
      <c r="C332" s="85"/>
      <c r="D332" s="62"/>
      <c r="E332" s="62"/>
      <c r="F332" s="55"/>
      <c r="G332" s="55"/>
      <c r="H332" s="55"/>
      <c r="I332" s="55"/>
      <c r="J332" s="55"/>
      <c r="K332" s="55"/>
      <c r="L332" s="55"/>
      <c r="M332" s="55"/>
      <c r="N332" s="55"/>
      <c r="U332" s="55"/>
      <c r="V332" s="86"/>
      <c r="X332" s="93"/>
    </row>
    <row r="333" spans="3:24">
      <c r="C333" s="85"/>
      <c r="D333" s="62"/>
      <c r="E333" s="62"/>
      <c r="F333" s="55"/>
      <c r="G333" s="55"/>
      <c r="H333" s="55"/>
      <c r="I333" s="55"/>
      <c r="J333" s="55"/>
      <c r="K333" s="55"/>
      <c r="L333" s="55"/>
      <c r="M333" s="55"/>
      <c r="N333" s="55"/>
      <c r="U333" s="55"/>
      <c r="V333" s="86"/>
      <c r="X333" s="93"/>
    </row>
    <row r="334" spans="3:24">
      <c r="C334" s="85"/>
      <c r="D334" s="62"/>
      <c r="E334" s="62"/>
      <c r="F334" s="55"/>
      <c r="G334" s="55"/>
      <c r="H334" s="55"/>
      <c r="I334" s="55"/>
      <c r="J334" s="55"/>
      <c r="K334" s="55"/>
      <c r="L334" s="55"/>
      <c r="M334" s="55"/>
      <c r="N334" s="55"/>
      <c r="U334" s="55"/>
      <c r="V334" s="86"/>
      <c r="X334" s="93"/>
    </row>
    <row r="335" spans="3:24">
      <c r="C335" s="85"/>
      <c r="D335" s="62"/>
      <c r="E335" s="62"/>
      <c r="F335" s="55"/>
      <c r="G335" s="55"/>
      <c r="H335" s="55"/>
      <c r="I335" s="55"/>
      <c r="J335" s="55"/>
      <c r="K335" s="55"/>
      <c r="L335" s="55"/>
      <c r="M335" s="55"/>
      <c r="N335" s="55"/>
      <c r="U335" s="55"/>
      <c r="V335" s="86"/>
      <c r="X335" s="93"/>
    </row>
    <row r="336" spans="3:24">
      <c r="C336" s="85"/>
      <c r="D336" s="62"/>
      <c r="E336" s="62"/>
      <c r="F336" s="55"/>
      <c r="G336" s="55"/>
      <c r="H336" s="55"/>
      <c r="I336" s="55"/>
      <c r="J336" s="55"/>
      <c r="K336" s="55"/>
      <c r="L336" s="55"/>
      <c r="M336" s="55"/>
      <c r="N336" s="55"/>
      <c r="U336" s="55"/>
      <c r="V336" s="86"/>
      <c r="X336" s="93"/>
    </row>
    <row r="337" spans="3:24">
      <c r="C337" s="85"/>
      <c r="D337" s="62"/>
      <c r="E337" s="62"/>
      <c r="F337" s="55"/>
      <c r="G337" s="55"/>
      <c r="H337" s="55"/>
      <c r="I337" s="55"/>
      <c r="J337" s="55"/>
      <c r="K337" s="55"/>
      <c r="L337" s="55"/>
      <c r="M337" s="55"/>
      <c r="N337" s="55"/>
      <c r="U337" s="55"/>
      <c r="V337" s="86"/>
      <c r="X337" s="93"/>
    </row>
    <row r="338" spans="3:24">
      <c r="C338" s="85"/>
      <c r="D338" s="62"/>
      <c r="E338" s="62"/>
      <c r="F338" s="55"/>
      <c r="G338" s="55"/>
      <c r="H338" s="55"/>
      <c r="I338" s="55"/>
      <c r="J338" s="55"/>
      <c r="K338" s="55"/>
      <c r="L338" s="55"/>
      <c r="M338" s="55"/>
      <c r="N338" s="55"/>
      <c r="U338" s="55"/>
      <c r="V338" s="86"/>
      <c r="X338" s="93"/>
    </row>
    <row r="339" spans="3:24">
      <c r="C339" s="85"/>
      <c r="D339" s="62"/>
      <c r="E339" s="62"/>
      <c r="F339" s="55"/>
      <c r="G339" s="55"/>
      <c r="H339" s="55"/>
      <c r="I339" s="55"/>
      <c r="J339" s="55"/>
      <c r="K339" s="55"/>
      <c r="L339" s="55"/>
      <c r="M339" s="55"/>
      <c r="N339" s="55"/>
      <c r="U339" s="55"/>
      <c r="V339" s="86"/>
      <c r="X339" s="93"/>
    </row>
    <row r="340" spans="3:24">
      <c r="C340" s="85"/>
      <c r="D340" s="62"/>
      <c r="E340" s="62"/>
      <c r="F340" s="55"/>
      <c r="G340" s="55"/>
      <c r="H340" s="55"/>
      <c r="I340" s="55"/>
      <c r="J340" s="55"/>
      <c r="K340" s="55"/>
      <c r="L340" s="55"/>
      <c r="M340" s="55"/>
      <c r="N340" s="55"/>
      <c r="U340" s="55"/>
      <c r="V340" s="86"/>
      <c r="X340" s="93"/>
    </row>
    <row r="341" spans="3:24">
      <c r="C341" s="85"/>
      <c r="D341" s="62"/>
      <c r="E341" s="62"/>
      <c r="F341" s="55"/>
      <c r="G341" s="55"/>
      <c r="H341" s="55"/>
      <c r="I341" s="55"/>
      <c r="J341" s="55"/>
      <c r="K341" s="55"/>
      <c r="L341" s="55"/>
      <c r="M341" s="55"/>
      <c r="N341" s="55"/>
      <c r="U341" s="55"/>
      <c r="V341" s="86"/>
      <c r="X341" s="93"/>
    </row>
    <row r="342" spans="3:24">
      <c r="C342" s="85"/>
      <c r="D342" s="62"/>
      <c r="E342" s="62"/>
      <c r="F342" s="55"/>
      <c r="G342" s="55"/>
      <c r="H342" s="55"/>
      <c r="I342" s="55"/>
      <c r="J342" s="55"/>
      <c r="K342" s="55"/>
      <c r="L342" s="55"/>
      <c r="M342" s="55"/>
      <c r="N342" s="55"/>
      <c r="U342" s="55"/>
      <c r="V342" s="86"/>
      <c r="X342" s="93"/>
    </row>
    <row r="343" spans="3:24">
      <c r="C343" s="85"/>
      <c r="D343" s="62"/>
      <c r="E343" s="62"/>
      <c r="F343" s="55"/>
      <c r="G343" s="55"/>
      <c r="H343" s="55"/>
      <c r="I343" s="55"/>
      <c r="J343" s="55"/>
      <c r="K343" s="55"/>
      <c r="L343" s="55"/>
      <c r="M343" s="55"/>
      <c r="N343" s="55"/>
      <c r="U343" s="55"/>
      <c r="V343" s="86"/>
      <c r="X343" s="93"/>
    </row>
    <row r="344" spans="3:24">
      <c r="C344" s="85"/>
      <c r="D344" s="62"/>
      <c r="E344" s="62"/>
      <c r="F344" s="55"/>
      <c r="G344" s="55"/>
      <c r="H344" s="55"/>
      <c r="I344" s="55"/>
      <c r="J344" s="55"/>
      <c r="K344" s="55"/>
      <c r="L344" s="55"/>
      <c r="M344" s="55"/>
      <c r="N344" s="55"/>
      <c r="U344" s="55"/>
      <c r="V344" s="86"/>
      <c r="X344" s="93"/>
    </row>
    <row r="345" spans="3:24">
      <c r="C345" s="85"/>
      <c r="D345" s="62"/>
      <c r="E345" s="62"/>
      <c r="F345" s="55"/>
      <c r="G345" s="55"/>
      <c r="H345" s="55"/>
      <c r="I345" s="55"/>
      <c r="J345" s="55"/>
      <c r="K345" s="55"/>
      <c r="L345" s="55"/>
      <c r="M345" s="55"/>
      <c r="N345" s="55"/>
      <c r="U345" s="55"/>
      <c r="V345" s="86"/>
      <c r="X345" s="93"/>
    </row>
    <row r="346" spans="3:24">
      <c r="C346" s="85"/>
      <c r="D346" s="62"/>
      <c r="E346" s="62"/>
      <c r="F346" s="55"/>
      <c r="G346" s="55"/>
      <c r="H346" s="55"/>
      <c r="I346" s="55"/>
      <c r="J346" s="55"/>
      <c r="K346" s="55"/>
      <c r="L346" s="55"/>
      <c r="M346" s="55"/>
      <c r="N346" s="55"/>
      <c r="U346" s="55"/>
      <c r="V346" s="86"/>
      <c r="X346" s="93"/>
    </row>
    <row r="347" spans="3:24">
      <c r="C347" s="85"/>
      <c r="D347" s="62"/>
      <c r="E347" s="62"/>
      <c r="F347" s="55"/>
      <c r="G347" s="55"/>
      <c r="H347" s="55"/>
      <c r="I347" s="55"/>
      <c r="J347" s="55"/>
      <c r="K347" s="55"/>
      <c r="L347" s="55"/>
      <c r="M347" s="55"/>
      <c r="N347" s="55"/>
      <c r="U347" s="55"/>
      <c r="V347" s="86"/>
      <c r="X347" s="93"/>
    </row>
    <row r="348" spans="3:24">
      <c r="C348" s="85"/>
      <c r="D348" s="62"/>
      <c r="E348" s="62"/>
      <c r="F348" s="55"/>
      <c r="G348" s="55"/>
      <c r="H348" s="55"/>
      <c r="I348" s="55"/>
      <c r="J348" s="55"/>
      <c r="K348" s="55"/>
      <c r="L348" s="55"/>
      <c r="M348" s="55"/>
      <c r="N348" s="55"/>
      <c r="U348" s="55"/>
      <c r="V348" s="86"/>
      <c r="X348" s="93"/>
    </row>
    <row r="349" spans="3:24">
      <c r="C349" s="85"/>
      <c r="D349" s="62"/>
      <c r="E349" s="62"/>
      <c r="F349" s="55"/>
      <c r="G349" s="55"/>
      <c r="H349" s="55"/>
      <c r="I349" s="55"/>
      <c r="J349" s="55"/>
      <c r="K349" s="55"/>
      <c r="L349" s="55"/>
      <c r="M349" s="55"/>
      <c r="N349" s="55"/>
      <c r="U349" s="55"/>
      <c r="V349" s="86"/>
      <c r="X349" s="93"/>
    </row>
    <row r="350" spans="3:24">
      <c r="C350" s="85"/>
      <c r="D350" s="62"/>
      <c r="E350" s="62"/>
      <c r="F350" s="55"/>
      <c r="G350" s="55"/>
      <c r="H350" s="55"/>
      <c r="I350" s="55"/>
      <c r="J350" s="55"/>
      <c r="K350" s="55"/>
      <c r="L350" s="55"/>
      <c r="M350" s="55"/>
      <c r="N350" s="55"/>
      <c r="U350" s="55"/>
      <c r="V350" s="86"/>
      <c r="X350" s="93"/>
    </row>
    <row r="351" spans="3:24">
      <c r="C351" s="85"/>
      <c r="D351" s="62"/>
      <c r="E351" s="62"/>
      <c r="F351" s="55"/>
      <c r="G351" s="55"/>
      <c r="H351" s="55"/>
      <c r="I351" s="55"/>
      <c r="J351" s="55"/>
      <c r="K351" s="55"/>
      <c r="L351" s="55"/>
      <c r="M351" s="55"/>
      <c r="N351" s="55"/>
      <c r="U351" s="55"/>
      <c r="V351" s="86"/>
      <c r="X351" s="93"/>
    </row>
    <row r="352" spans="3:24">
      <c r="C352" s="85"/>
      <c r="D352" s="62"/>
      <c r="E352" s="62"/>
      <c r="F352" s="55"/>
      <c r="G352" s="55"/>
      <c r="H352" s="55"/>
      <c r="I352" s="55"/>
      <c r="J352" s="55"/>
      <c r="K352" s="55"/>
      <c r="L352" s="55"/>
      <c r="M352" s="55"/>
      <c r="N352" s="55"/>
      <c r="U352" s="55"/>
      <c r="V352" s="86"/>
      <c r="X352" s="93"/>
    </row>
    <row r="353" spans="3:24">
      <c r="C353" s="85"/>
      <c r="D353" s="62"/>
      <c r="E353" s="62"/>
      <c r="F353" s="55"/>
      <c r="G353" s="55"/>
      <c r="H353" s="55"/>
      <c r="I353" s="55"/>
      <c r="J353" s="55"/>
      <c r="K353" s="55"/>
      <c r="L353" s="55"/>
      <c r="M353" s="55"/>
      <c r="N353" s="55"/>
      <c r="U353" s="55"/>
      <c r="V353" s="86"/>
      <c r="X353" s="93"/>
    </row>
    <row r="354" spans="3:24">
      <c r="C354" s="85"/>
      <c r="D354" s="62"/>
      <c r="E354" s="62"/>
      <c r="F354" s="55"/>
      <c r="G354" s="55"/>
      <c r="H354" s="55"/>
      <c r="I354" s="55"/>
      <c r="J354" s="55"/>
      <c r="K354" s="55"/>
      <c r="L354" s="55"/>
      <c r="M354" s="55"/>
      <c r="N354" s="55"/>
      <c r="U354" s="55"/>
      <c r="V354" s="86"/>
      <c r="X354" s="93"/>
    </row>
    <row r="355" spans="3:24">
      <c r="C355" s="85"/>
      <c r="D355" s="62"/>
      <c r="E355" s="62"/>
      <c r="F355" s="55"/>
      <c r="G355" s="55"/>
      <c r="H355" s="55"/>
      <c r="I355" s="55"/>
      <c r="J355" s="55"/>
      <c r="K355" s="55"/>
      <c r="L355" s="55"/>
      <c r="M355" s="55"/>
      <c r="N355" s="55"/>
      <c r="U355" s="55"/>
      <c r="V355" s="86"/>
      <c r="X355" s="93"/>
    </row>
    <row r="356" spans="3:24">
      <c r="C356" s="85"/>
      <c r="D356" s="62"/>
      <c r="E356" s="62"/>
      <c r="F356" s="55"/>
      <c r="G356" s="55"/>
      <c r="H356" s="55"/>
      <c r="I356" s="55"/>
      <c r="J356" s="55"/>
      <c r="K356" s="55"/>
      <c r="L356" s="55"/>
      <c r="M356" s="55"/>
      <c r="N356" s="55"/>
      <c r="U356" s="55"/>
      <c r="V356" s="86"/>
      <c r="X356" s="93"/>
    </row>
    <row r="357" spans="3:24">
      <c r="C357" s="85"/>
      <c r="D357" s="62"/>
      <c r="E357" s="62"/>
      <c r="F357" s="55"/>
      <c r="G357" s="55"/>
      <c r="H357" s="55"/>
      <c r="I357" s="55"/>
      <c r="J357" s="55"/>
      <c r="K357" s="55"/>
      <c r="L357" s="55"/>
      <c r="M357" s="55"/>
      <c r="N357" s="55"/>
      <c r="U357" s="55"/>
      <c r="V357" s="86"/>
      <c r="X357" s="93"/>
    </row>
    <row r="358" spans="3:24">
      <c r="C358" s="85"/>
      <c r="D358" s="62"/>
      <c r="E358" s="62"/>
      <c r="F358" s="55"/>
      <c r="G358" s="55"/>
      <c r="H358" s="55"/>
      <c r="I358" s="55"/>
      <c r="J358" s="55"/>
      <c r="K358" s="55"/>
      <c r="L358" s="55"/>
      <c r="M358" s="55"/>
      <c r="N358" s="55"/>
      <c r="U358" s="55"/>
      <c r="V358" s="86"/>
      <c r="X358" s="93"/>
    </row>
    <row r="359" spans="3:24">
      <c r="C359" s="85"/>
      <c r="D359" s="62"/>
      <c r="E359" s="62"/>
      <c r="F359" s="55"/>
      <c r="G359" s="55"/>
      <c r="H359" s="55"/>
      <c r="I359" s="55"/>
      <c r="J359" s="55"/>
      <c r="K359" s="55"/>
      <c r="L359" s="55"/>
      <c r="M359" s="55"/>
      <c r="N359" s="55"/>
      <c r="U359" s="55"/>
      <c r="V359" s="86"/>
      <c r="X359" s="93"/>
    </row>
    <row r="360" spans="3:24">
      <c r="C360" s="85"/>
      <c r="D360" s="62"/>
      <c r="E360" s="62"/>
      <c r="F360" s="55"/>
      <c r="G360" s="55"/>
      <c r="H360" s="55"/>
      <c r="I360" s="55"/>
      <c r="J360" s="55"/>
      <c r="K360" s="55"/>
      <c r="L360" s="55"/>
      <c r="M360" s="55"/>
      <c r="N360" s="55"/>
      <c r="U360" s="55"/>
      <c r="V360" s="86"/>
      <c r="X360" s="93"/>
    </row>
    <row r="361" spans="3:24">
      <c r="C361" s="85"/>
      <c r="D361" s="62"/>
      <c r="E361" s="62"/>
      <c r="F361" s="55"/>
      <c r="G361" s="55"/>
      <c r="H361" s="55"/>
      <c r="I361" s="55"/>
      <c r="J361" s="55"/>
      <c r="K361" s="55"/>
      <c r="L361" s="55"/>
      <c r="M361" s="55"/>
      <c r="N361" s="55"/>
      <c r="U361" s="55"/>
      <c r="V361" s="86"/>
      <c r="X361" s="93"/>
    </row>
    <row r="362" spans="3:24">
      <c r="C362" s="85"/>
      <c r="D362" s="62"/>
      <c r="E362" s="62"/>
      <c r="F362" s="55"/>
      <c r="G362" s="55"/>
      <c r="H362" s="55"/>
      <c r="I362" s="55"/>
      <c r="J362" s="55"/>
      <c r="K362" s="55"/>
      <c r="L362" s="55"/>
      <c r="M362" s="55"/>
      <c r="N362" s="55"/>
      <c r="U362" s="55"/>
      <c r="V362" s="86"/>
      <c r="X362" s="93"/>
    </row>
    <row r="363" spans="3:24">
      <c r="C363" s="85"/>
      <c r="D363" s="62"/>
      <c r="E363" s="62"/>
      <c r="F363" s="55"/>
      <c r="G363" s="55"/>
      <c r="H363" s="55"/>
      <c r="I363" s="55"/>
      <c r="J363" s="55"/>
      <c r="K363" s="55"/>
      <c r="L363" s="55"/>
      <c r="M363" s="55"/>
      <c r="N363" s="55"/>
      <c r="U363" s="55"/>
      <c r="V363" s="86"/>
      <c r="X363" s="93"/>
    </row>
    <row r="364" spans="3:24">
      <c r="C364" s="85"/>
      <c r="D364" s="62"/>
      <c r="E364" s="62"/>
      <c r="F364" s="55"/>
      <c r="G364" s="55"/>
      <c r="H364" s="55"/>
      <c r="I364" s="55"/>
      <c r="J364" s="55"/>
      <c r="K364" s="55"/>
      <c r="L364" s="55"/>
      <c r="M364" s="55"/>
      <c r="N364" s="55"/>
      <c r="U364" s="55"/>
      <c r="V364" s="86"/>
      <c r="X364" s="93"/>
    </row>
    <row r="365" spans="3:24">
      <c r="C365" s="85"/>
      <c r="D365" s="62"/>
      <c r="E365" s="62"/>
      <c r="F365" s="55"/>
      <c r="G365" s="55"/>
      <c r="H365" s="55"/>
      <c r="I365" s="55"/>
      <c r="J365" s="55"/>
      <c r="K365" s="55"/>
      <c r="L365" s="55"/>
      <c r="M365" s="55"/>
      <c r="N365" s="55"/>
      <c r="U365" s="55"/>
      <c r="V365" s="86"/>
      <c r="X365" s="93"/>
    </row>
    <row r="366" spans="3:24">
      <c r="C366" s="85"/>
      <c r="D366" s="62"/>
      <c r="E366" s="62"/>
      <c r="F366" s="55"/>
      <c r="G366" s="55"/>
      <c r="H366" s="55"/>
      <c r="I366" s="55"/>
      <c r="J366" s="55"/>
      <c r="K366" s="55"/>
      <c r="L366" s="55"/>
      <c r="M366" s="55"/>
      <c r="N366" s="55"/>
      <c r="U366" s="55"/>
      <c r="V366" s="86"/>
      <c r="X366" s="93"/>
    </row>
    <row r="367" spans="3:24">
      <c r="C367" s="85"/>
      <c r="D367" s="62"/>
      <c r="E367" s="62"/>
      <c r="F367" s="55"/>
      <c r="G367" s="55"/>
      <c r="H367" s="55"/>
      <c r="I367" s="55"/>
      <c r="J367" s="55"/>
      <c r="K367" s="55"/>
      <c r="L367" s="55"/>
      <c r="M367" s="55"/>
      <c r="N367" s="55"/>
      <c r="U367" s="55"/>
      <c r="V367" s="86"/>
      <c r="X367" s="93"/>
    </row>
    <row r="368" spans="3:24">
      <c r="C368" s="85"/>
      <c r="D368" s="62"/>
      <c r="E368" s="62"/>
      <c r="F368" s="55"/>
      <c r="G368" s="55"/>
      <c r="H368" s="55"/>
      <c r="I368" s="55"/>
      <c r="J368" s="55"/>
      <c r="K368" s="55"/>
      <c r="L368" s="55"/>
      <c r="M368" s="55"/>
      <c r="N368" s="55"/>
      <c r="U368" s="55"/>
      <c r="V368" s="86"/>
      <c r="X368" s="93"/>
    </row>
    <row r="369" spans="3:24">
      <c r="C369" s="85"/>
      <c r="D369" s="62"/>
      <c r="E369" s="62"/>
      <c r="F369" s="55"/>
      <c r="G369" s="55"/>
      <c r="H369" s="55"/>
      <c r="I369" s="55"/>
      <c r="J369" s="55"/>
      <c r="K369" s="55"/>
      <c r="L369" s="55"/>
      <c r="M369" s="55"/>
      <c r="N369" s="55"/>
      <c r="U369" s="55"/>
      <c r="V369" s="86"/>
      <c r="X369" s="93"/>
    </row>
    <row r="370" spans="3:24">
      <c r="C370" s="85"/>
      <c r="D370" s="62"/>
      <c r="E370" s="62"/>
      <c r="F370" s="55"/>
      <c r="G370" s="55"/>
      <c r="H370" s="55"/>
      <c r="I370" s="55"/>
      <c r="J370" s="55"/>
      <c r="K370" s="55"/>
      <c r="L370" s="55"/>
      <c r="M370" s="55"/>
      <c r="N370" s="55"/>
      <c r="U370" s="55"/>
      <c r="V370" s="86"/>
      <c r="X370" s="93"/>
    </row>
    <row r="371" spans="3:24">
      <c r="C371" s="85"/>
      <c r="D371" s="62"/>
      <c r="E371" s="62"/>
      <c r="F371" s="55"/>
      <c r="G371" s="55"/>
      <c r="H371" s="55"/>
      <c r="I371" s="55"/>
      <c r="J371" s="55"/>
      <c r="K371" s="55"/>
      <c r="L371" s="55"/>
      <c r="M371" s="55"/>
      <c r="N371" s="55"/>
      <c r="U371" s="55"/>
      <c r="V371" s="86"/>
      <c r="X371" s="93"/>
    </row>
    <row r="372" spans="3:24">
      <c r="C372" s="85"/>
      <c r="D372" s="62"/>
      <c r="E372" s="62"/>
      <c r="F372" s="55"/>
      <c r="G372" s="55"/>
      <c r="H372" s="55"/>
      <c r="I372" s="55"/>
      <c r="J372" s="55"/>
      <c r="K372" s="55"/>
      <c r="L372" s="55"/>
      <c r="M372" s="55"/>
      <c r="N372" s="55"/>
      <c r="U372" s="55"/>
      <c r="V372" s="86"/>
      <c r="X372" s="93"/>
    </row>
    <row r="373" spans="3:24">
      <c r="C373" s="85"/>
      <c r="D373" s="62"/>
      <c r="E373" s="62"/>
      <c r="F373" s="55"/>
      <c r="G373" s="55"/>
      <c r="H373" s="55"/>
      <c r="I373" s="55"/>
      <c r="J373" s="55"/>
      <c r="K373" s="55"/>
      <c r="L373" s="55"/>
      <c r="M373" s="55"/>
      <c r="N373" s="55"/>
      <c r="U373" s="55"/>
      <c r="V373" s="86"/>
      <c r="X373" s="93"/>
    </row>
    <row r="374" spans="3:24">
      <c r="C374" s="85"/>
      <c r="D374" s="62"/>
      <c r="E374" s="62"/>
      <c r="F374" s="55"/>
      <c r="G374" s="55"/>
      <c r="H374" s="55"/>
      <c r="I374" s="55"/>
      <c r="J374" s="55"/>
      <c r="K374" s="55"/>
      <c r="L374" s="55"/>
      <c r="M374" s="55"/>
      <c r="N374" s="55"/>
      <c r="U374" s="55"/>
      <c r="V374" s="86"/>
      <c r="X374" s="93"/>
    </row>
    <row r="375" spans="3:24">
      <c r="C375" s="85"/>
      <c r="D375" s="62"/>
      <c r="E375" s="62"/>
      <c r="F375" s="55"/>
      <c r="G375" s="55"/>
      <c r="H375" s="55"/>
      <c r="I375" s="55"/>
      <c r="J375" s="55"/>
      <c r="K375" s="55"/>
      <c r="L375" s="55"/>
      <c r="M375" s="55"/>
      <c r="N375" s="55"/>
      <c r="U375" s="55"/>
      <c r="V375" s="86"/>
      <c r="X375" s="93"/>
    </row>
    <row r="376" spans="3:24">
      <c r="C376" s="85"/>
      <c r="D376" s="62"/>
      <c r="E376" s="62"/>
      <c r="F376" s="55"/>
      <c r="G376" s="55"/>
      <c r="H376" s="55"/>
      <c r="I376" s="55"/>
      <c r="J376" s="55"/>
      <c r="K376" s="55"/>
      <c r="L376" s="55"/>
      <c r="M376" s="55"/>
      <c r="N376" s="55"/>
      <c r="U376" s="55"/>
      <c r="V376" s="86"/>
      <c r="X376" s="93"/>
    </row>
    <row r="377" spans="3:24">
      <c r="C377" s="85"/>
      <c r="D377" s="62"/>
      <c r="E377" s="62"/>
      <c r="F377" s="55"/>
      <c r="G377" s="55"/>
      <c r="H377" s="55"/>
      <c r="I377" s="55"/>
      <c r="J377" s="55"/>
      <c r="K377" s="55"/>
      <c r="L377" s="55"/>
      <c r="M377" s="55"/>
      <c r="N377" s="55"/>
      <c r="U377" s="55"/>
      <c r="V377" s="86"/>
      <c r="X377" s="93"/>
    </row>
    <row r="378" spans="3:24">
      <c r="C378" s="85"/>
      <c r="D378" s="62"/>
      <c r="E378" s="62"/>
      <c r="F378" s="55"/>
      <c r="G378" s="55"/>
      <c r="H378" s="55"/>
      <c r="I378" s="55"/>
      <c r="J378" s="55"/>
      <c r="K378" s="55"/>
      <c r="L378" s="55"/>
      <c r="M378" s="55"/>
      <c r="N378" s="55"/>
      <c r="U378" s="55"/>
      <c r="V378" s="86"/>
      <c r="X378" s="93"/>
    </row>
    <row r="379" spans="3:24">
      <c r="C379" s="85"/>
      <c r="D379" s="62"/>
      <c r="E379" s="62"/>
      <c r="F379" s="55"/>
      <c r="G379" s="55"/>
      <c r="H379" s="55"/>
      <c r="I379" s="55"/>
      <c r="J379" s="55"/>
      <c r="K379" s="55"/>
      <c r="L379" s="55"/>
      <c r="M379" s="55"/>
      <c r="N379" s="55"/>
      <c r="U379" s="55"/>
      <c r="V379" s="86"/>
      <c r="X379" s="93"/>
    </row>
    <row r="380" spans="3:24">
      <c r="C380" s="85"/>
      <c r="D380" s="62"/>
      <c r="E380" s="62"/>
      <c r="F380" s="55"/>
      <c r="G380" s="55"/>
      <c r="H380" s="55"/>
      <c r="I380" s="55"/>
      <c r="J380" s="55"/>
      <c r="K380" s="55"/>
      <c r="L380" s="55"/>
      <c r="M380" s="55"/>
      <c r="N380" s="55"/>
      <c r="U380" s="55"/>
      <c r="V380" s="86"/>
      <c r="X380" s="93"/>
    </row>
    <row r="381" spans="3:24">
      <c r="C381" s="85"/>
      <c r="D381" s="62"/>
      <c r="E381" s="62"/>
      <c r="F381" s="55"/>
      <c r="G381" s="55"/>
      <c r="H381" s="55"/>
      <c r="I381" s="55"/>
      <c r="J381" s="55"/>
      <c r="K381" s="55"/>
      <c r="L381" s="55"/>
      <c r="M381" s="55"/>
      <c r="N381" s="55"/>
      <c r="U381" s="55"/>
      <c r="V381" s="86"/>
      <c r="X381" s="93"/>
    </row>
    <row r="382" spans="3:24">
      <c r="C382" s="85"/>
      <c r="D382" s="62"/>
      <c r="E382" s="62"/>
      <c r="F382" s="55"/>
      <c r="G382" s="55"/>
      <c r="H382" s="55"/>
      <c r="I382" s="55"/>
      <c r="J382" s="55"/>
      <c r="K382" s="55"/>
      <c r="L382" s="55"/>
      <c r="M382" s="55"/>
      <c r="N382" s="55"/>
      <c r="U382" s="55"/>
      <c r="V382" s="86"/>
      <c r="X382" s="93"/>
    </row>
    <row r="383" spans="3:24">
      <c r="C383" s="85"/>
      <c r="D383" s="62"/>
      <c r="E383" s="62"/>
      <c r="F383" s="55"/>
      <c r="G383" s="55"/>
      <c r="H383" s="55"/>
      <c r="I383" s="55"/>
      <c r="J383" s="55"/>
      <c r="K383" s="55"/>
      <c r="L383" s="55"/>
      <c r="M383" s="55"/>
      <c r="N383" s="55"/>
      <c r="U383" s="55"/>
      <c r="V383" s="86"/>
      <c r="X383" s="93"/>
    </row>
    <row r="384" spans="3:24">
      <c r="C384" s="85"/>
      <c r="D384" s="62"/>
      <c r="E384" s="62"/>
      <c r="F384" s="55"/>
      <c r="G384" s="55"/>
      <c r="H384" s="55"/>
      <c r="I384" s="55"/>
      <c r="J384" s="55"/>
      <c r="K384" s="55"/>
      <c r="L384" s="55"/>
      <c r="M384" s="55"/>
      <c r="N384" s="55"/>
      <c r="U384" s="55"/>
      <c r="V384" s="86"/>
      <c r="X384" s="93"/>
    </row>
    <row r="385" spans="3:24">
      <c r="C385" s="85"/>
      <c r="D385" s="62"/>
      <c r="E385" s="62"/>
      <c r="F385" s="55"/>
      <c r="G385" s="55"/>
      <c r="H385" s="55"/>
      <c r="I385" s="55"/>
      <c r="J385" s="55"/>
      <c r="K385" s="55"/>
      <c r="L385" s="55"/>
      <c r="M385" s="55"/>
      <c r="N385" s="55"/>
      <c r="U385" s="55"/>
      <c r="V385" s="86"/>
      <c r="X385" s="93"/>
    </row>
    <row r="386" spans="3:24">
      <c r="C386" s="85"/>
      <c r="D386" s="62"/>
      <c r="E386" s="62"/>
      <c r="F386" s="55"/>
      <c r="G386" s="55"/>
      <c r="H386" s="55"/>
      <c r="I386" s="55"/>
      <c r="J386" s="55"/>
      <c r="K386" s="55"/>
      <c r="L386" s="55"/>
      <c r="M386" s="55"/>
      <c r="N386" s="55"/>
      <c r="U386" s="55"/>
      <c r="V386" s="86"/>
      <c r="X386" s="93"/>
    </row>
    <row r="387" spans="3:24">
      <c r="C387" s="85"/>
      <c r="D387" s="62"/>
      <c r="E387" s="62"/>
      <c r="F387" s="55"/>
      <c r="G387" s="55"/>
      <c r="H387" s="55"/>
      <c r="I387" s="55"/>
      <c r="J387" s="55"/>
      <c r="K387" s="55"/>
      <c r="L387" s="55"/>
      <c r="M387" s="55"/>
      <c r="N387" s="55"/>
      <c r="U387" s="55"/>
      <c r="V387" s="86"/>
      <c r="X387" s="93"/>
    </row>
    <row r="388" spans="3:24">
      <c r="C388" s="85"/>
      <c r="D388" s="62"/>
      <c r="E388" s="62"/>
      <c r="F388" s="55"/>
      <c r="G388" s="55"/>
      <c r="H388" s="55"/>
      <c r="I388" s="55"/>
      <c r="J388" s="55"/>
      <c r="K388" s="55"/>
      <c r="L388" s="55"/>
      <c r="M388" s="55"/>
      <c r="N388" s="55"/>
      <c r="U388" s="55"/>
      <c r="V388" s="86"/>
      <c r="X388" s="93"/>
    </row>
    <row r="389" spans="3:24">
      <c r="C389" s="85"/>
      <c r="D389" s="62"/>
      <c r="E389" s="62"/>
      <c r="F389" s="55"/>
      <c r="G389" s="55"/>
      <c r="H389" s="55"/>
      <c r="I389" s="55"/>
      <c r="J389" s="55"/>
      <c r="K389" s="55"/>
      <c r="L389" s="55"/>
      <c r="M389" s="55"/>
      <c r="N389" s="55"/>
      <c r="U389" s="55"/>
      <c r="V389" s="86"/>
      <c r="X389" s="93"/>
    </row>
    <row r="390" spans="3:24">
      <c r="C390" s="85"/>
      <c r="D390" s="62"/>
      <c r="E390" s="62"/>
      <c r="F390" s="55"/>
      <c r="G390" s="55"/>
      <c r="H390" s="55"/>
      <c r="I390" s="55"/>
      <c r="J390" s="55"/>
      <c r="K390" s="55"/>
      <c r="L390" s="55"/>
      <c r="M390" s="55"/>
      <c r="N390" s="55"/>
      <c r="U390" s="55"/>
      <c r="V390" s="86"/>
      <c r="X390" s="93"/>
    </row>
    <row r="391" spans="3:24">
      <c r="C391" s="85"/>
      <c r="D391" s="62"/>
      <c r="E391" s="62"/>
      <c r="F391" s="55"/>
      <c r="G391" s="55"/>
      <c r="H391" s="55"/>
      <c r="I391" s="55"/>
      <c r="J391" s="55"/>
      <c r="K391" s="55"/>
      <c r="L391" s="55"/>
      <c r="M391" s="55"/>
      <c r="N391" s="55"/>
      <c r="U391" s="55"/>
      <c r="V391" s="86"/>
      <c r="X391" s="93"/>
    </row>
    <row r="392" spans="3:24">
      <c r="C392" s="85"/>
      <c r="D392" s="62"/>
      <c r="E392" s="62"/>
      <c r="F392" s="55"/>
      <c r="G392" s="55"/>
      <c r="H392" s="55"/>
      <c r="I392" s="55"/>
      <c r="J392" s="55"/>
      <c r="K392" s="55"/>
      <c r="L392" s="55"/>
      <c r="M392" s="55"/>
      <c r="N392" s="55"/>
      <c r="U392" s="55"/>
      <c r="V392" s="86"/>
      <c r="X392" s="93"/>
    </row>
    <row r="393" spans="3:24">
      <c r="C393" s="85"/>
      <c r="D393" s="62"/>
      <c r="E393" s="62"/>
      <c r="F393" s="55"/>
      <c r="G393" s="55"/>
      <c r="H393" s="55"/>
      <c r="I393" s="55"/>
      <c r="J393" s="55"/>
      <c r="K393" s="55"/>
      <c r="L393" s="55"/>
      <c r="M393" s="55"/>
      <c r="N393" s="55"/>
      <c r="U393" s="55"/>
      <c r="V393" s="86"/>
      <c r="X393" s="93"/>
    </row>
    <row r="394" spans="3:24">
      <c r="C394" s="85"/>
      <c r="D394" s="62"/>
      <c r="E394" s="62"/>
      <c r="F394" s="55"/>
      <c r="G394" s="55"/>
      <c r="H394" s="55"/>
      <c r="I394" s="55"/>
      <c r="J394" s="55"/>
      <c r="K394" s="55"/>
      <c r="L394" s="55"/>
      <c r="M394" s="55"/>
      <c r="N394" s="55"/>
      <c r="U394" s="55"/>
      <c r="V394" s="86"/>
      <c r="X394" s="93"/>
    </row>
    <row r="395" spans="3:24">
      <c r="C395" s="85"/>
      <c r="D395" s="62"/>
      <c r="E395" s="62"/>
      <c r="F395" s="55"/>
      <c r="G395" s="55"/>
      <c r="H395" s="55"/>
      <c r="I395" s="55"/>
      <c r="J395" s="55"/>
      <c r="K395" s="55"/>
      <c r="L395" s="55"/>
      <c r="M395" s="55"/>
      <c r="N395" s="55"/>
      <c r="U395" s="55"/>
      <c r="V395" s="86"/>
      <c r="X395" s="93"/>
    </row>
    <row r="396" spans="3:24">
      <c r="C396" s="85"/>
      <c r="D396" s="62"/>
      <c r="E396" s="62"/>
      <c r="F396" s="55"/>
      <c r="G396" s="55"/>
      <c r="H396" s="55"/>
      <c r="I396" s="55"/>
      <c r="J396" s="55"/>
      <c r="K396" s="55"/>
      <c r="L396" s="55"/>
      <c r="M396" s="55"/>
      <c r="N396" s="55"/>
      <c r="U396" s="55"/>
      <c r="V396" s="86"/>
      <c r="X396" s="93"/>
    </row>
    <row r="397" spans="3:24">
      <c r="C397" s="85"/>
      <c r="D397" s="62"/>
      <c r="E397" s="62"/>
      <c r="F397" s="55"/>
      <c r="G397" s="55"/>
      <c r="H397" s="55"/>
      <c r="I397" s="55"/>
      <c r="J397" s="55"/>
      <c r="K397" s="55"/>
      <c r="L397" s="55"/>
      <c r="M397" s="55"/>
      <c r="N397" s="55"/>
      <c r="U397" s="55"/>
      <c r="V397" s="86"/>
      <c r="X397" s="93"/>
    </row>
    <row r="398" spans="3:24">
      <c r="C398" s="85"/>
      <c r="D398" s="62"/>
      <c r="E398" s="62"/>
      <c r="F398" s="55"/>
      <c r="G398" s="55"/>
      <c r="H398" s="55"/>
      <c r="I398" s="55"/>
      <c r="J398" s="55"/>
      <c r="K398" s="55"/>
      <c r="L398" s="55"/>
      <c r="M398" s="55"/>
      <c r="N398" s="55"/>
      <c r="U398" s="55"/>
      <c r="V398" s="86"/>
      <c r="X398" s="93"/>
    </row>
    <row r="399" spans="3:24">
      <c r="C399" s="85"/>
      <c r="D399" s="62"/>
      <c r="E399" s="62"/>
      <c r="F399" s="55"/>
      <c r="G399" s="55"/>
      <c r="H399" s="55"/>
      <c r="I399" s="55"/>
      <c r="J399" s="55"/>
      <c r="K399" s="55"/>
      <c r="L399" s="55"/>
      <c r="M399" s="55"/>
      <c r="N399" s="55"/>
      <c r="U399" s="55"/>
      <c r="V399" s="86"/>
      <c r="X399" s="93"/>
    </row>
    <row r="400" spans="3:24">
      <c r="C400" s="85"/>
      <c r="D400" s="62"/>
      <c r="E400" s="62"/>
      <c r="F400" s="55"/>
      <c r="G400" s="55"/>
      <c r="H400" s="55"/>
      <c r="I400" s="55"/>
      <c r="J400" s="55"/>
      <c r="K400" s="55"/>
      <c r="L400" s="55"/>
      <c r="M400" s="55"/>
      <c r="N400" s="55"/>
      <c r="U400" s="55"/>
      <c r="V400" s="86"/>
      <c r="X400" s="93"/>
    </row>
    <row r="401" spans="3:24">
      <c r="C401" s="85"/>
      <c r="D401" s="62"/>
      <c r="E401" s="62"/>
      <c r="F401" s="55"/>
      <c r="G401" s="55"/>
      <c r="H401" s="55"/>
      <c r="I401" s="55"/>
      <c r="J401" s="55"/>
      <c r="K401" s="55"/>
      <c r="L401" s="55"/>
      <c r="M401" s="55"/>
      <c r="N401" s="55"/>
      <c r="U401" s="55"/>
      <c r="V401" s="86"/>
      <c r="X401" s="93"/>
    </row>
    <row r="402" spans="3:24">
      <c r="C402" s="85"/>
      <c r="D402" s="62"/>
      <c r="E402" s="62"/>
      <c r="F402" s="55"/>
      <c r="G402" s="55"/>
      <c r="H402" s="55"/>
      <c r="I402" s="55"/>
      <c r="J402" s="55"/>
      <c r="K402" s="55"/>
      <c r="L402" s="55"/>
      <c r="M402" s="55"/>
      <c r="N402" s="55"/>
      <c r="U402" s="55"/>
      <c r="V402" s="86"/>
      <c r="X402" s="93"/>
    </row>
    <row r="403" spans="3:24">
      <c r="C403" s="85"/>
      <c r="D403" s="62"/>
      <c r="E403" s="62"/>
      <c r="F403" s="55"/>
      <c r="G403" s="55"/>
      <c r="H403" s="55"/>
      <c r="I403" s="55"/>
      <c r="J403" s="55"/>
      <c r="K403" s="55"/>
      <c r="L403" s="55"/>
      <c r="M403" s="55"/>
      <c r="N403" s="55"/>
      <c r="U403" s="55"/>
      <c r="V403" s="86"/>
      <c r="X403" s="93"/>
    </row>
    <row r="404" spans="3:24">
      <c r="C404" s="85"/>
      <c r="D404" s="62"/>
      <c r="E404" s="62"/>
      <c r="F404" s="55"/>
      <c r="G404" s="55"/>
      <c r="H404" s="55"/>
      <c r="I404" s="55"/>
      <c r="J404" s="55"/>
      <c r="K404" s="55"/>
      <c r="L404" s="55"/>
      <c r="M404" s="55"/>
      <c r="N404" s="55"/>
      <c r="U404" s="55"/>
      <c r="V404" s="86"/>
      <c r="X404" s="93"/>
    </row>
    <row r="405" spans="3:24">
      <c r="C405" s="85"/>
      <c r="D405" s="62"/>
      <c r="E405" s="62"/>
      <c r="F405" s="55"/>
      <c r="G405" s="55"/>
      <c r="H405" s="55"/>
      <c r="I405" s="55"/>
      <c r="J405" s="55"/>
      <c r="K405" s="55"/>
      <c r="L405" s="55"/>
      <c r="M405" s="55"/>
      <c r="N405" s="55"/>
      <c r="U405" s="55"/>
      <c r="V405" s="86"/>
      <c r="X405" s="93"/>
    </row>
    <row r="406" spans="3:24">
      <c r="C406" s="85"/>
      <c r="D406" s="62"/>
      <c r="E406" s="62"/>
      <c r="F406" s="55"/>
      <c r="G406" s="55"/>
      <c r="H406" s="55"/>
      <c r="I406" s="55"/>
      <c r="J406" s="55"/>
      <c r="K406" s="55"/>
      <c r="L406" s="55"/>
      <c r="M406" s="55"/>
      <c r="N406" s="55"/>
      <c r="U406" s="55"/>
      <c r="V406" s="86"/>
      <c r="X406" s="93"/>
    </row>
    <row r="407" spans="3:24">
      <c r="C407" s="85"/>
      <c r="D407" s="62"/>
      <c r="E407" s="62"/>
      <c r="F407" s="55"/>
      <c r="G407" s="55"/>
      <c r="H407" s="55"/>
      <c r="I407" s="55"/>
      <c r="J407" s="55"/>
      <c r="K407" s="55"/>
      <c r="L407" s="55"/>
      <c r="M407" s="55"/>
      <c r="N407" s="55"/>
      <c r="U407" s="55"/>
      <c r="V407" s="86"/>
      <c r="X407" s="93"/>
    </row>
    <row r="408" spans="3:24">
      <c r="C408" s="85"/>
      <c r="D408" s="62"/>
      <c r="E408" s="62"/>
      <c r="F408" s="55"/>
      <c r="G408" s="55"/>
      <c r="H408" s="55"/>
      <c r="I408" s="55"/>
      <c r="J408" s="55"/>
      <c r="K408" s="55"/>
      <c r="L408" s="55"/>
      <c r="M408" s="55"/>
      <c r="N408" s="55"/>
      <c r="U408" s="55"/>
      <c r="V408" s="86"/>
      <c r="X408" s="93"/>
    </row>
    <row r="409" spans="3:24">
      <c r="C409" s="85"/>
      <c r="D409" s="62"/>
      <c r="E409" s="62"/>
      <c r="F409" s="55"/>
      <c r="G409" s="55"/>
      <c r="H409" s="55"/>
      <c r="I409" s="55"/>
      <c r="J409" s="55"/>
      <c r="K409" s="55"/>
      <c r="L409" s="55"/>
      <c r="M409" s="55"/>
      <c r="N409" s="55"/>
      <c r="U409" s="55"/>
      <c r="V409" s="86"/>
      <c r="X409" s="93"/>
    </row>
    <row r="410" spans="3:24">
      <c r="C410" s="85"/>
      <c r="D410" s="62"/>
      <c r="E410" s="62"/>
      <c r="F410" s="55"/>
      <c r="G410" s="55"/>
      <c r="H410" s="55"/>
      <c r="I410" s="55"/>
      <c r="J410" s="55"/>
      <c r="K410" s="55"/>
      <c r="L410" s="55"/>
      <c r="M410" s="55"/>
      <c r="N410" s="55"/>
      <c r="U410" s="55"/>
      <c r="V410" s="86"/>
      <c r="X410" s="93"/>
    </row>
    <row r="411" spans="3:24">
      <c r="C411" s="85"/>
      <c r="D411" s="62"/>
      <c r="E411" s="62"/>
      <c r="F411" s="55"/>
      <c r="G411" s="55"/>
      <c r="H411" s="55"/>
      <c r="I411" s="55"/>
      <c r="J411" s="55"/>
      <c r="K411" s="55"/>
      <c r="L411" s="55"/>
      <c r="M411" s="55"/>
      <c r="N411" s="55"/>
      <c r="U411" s="55"/>
      <c r="V411" s="86"/>
      <c r="X411" s="93"/>
    </row>
    <row r="412" spans="3:24">
      <c r="C412" s="85"/>
      <c r="D412" s="62"/>
      <c r="E412" s="62"/>
      <c r="F412" s="55"/>
      <c r="G412" s="55"/>
      <c r="H412" s="55"/>
      <c r="I412" s="55"/>
      <c r="J412" s="55"/>
      <c r="K412" s="55"/>
      <c r="L412" s="55"/>
      <c r="M412" s="55"/>
      <c r="N412" s="55"/>
      <c r="U412" s="55"/>
      <c r="V412" s="86"/>
      <c r="X412" s="93"/>
    </row>
    <row r="413" spans="3:24">
      <c r="C413" s="85"/>
      <c r="D413" s="62"/>
      <c r="E413" s="62"/>
      <c r="F413" s="55"/>
      <c r="G413" s="55"/>
      <c r="H413" s="55"/>
      <c r="I413" s="55"/>
      <c r="J413" s="55"/>
      <c r="K413" s="55"/>
      <c r="L413" s="55"/>
      <c r="M413" s="55"/>
      <c r="N413" s="55"/>
      <c r="U413" s="55"/>
      <c r="V413" s="86"/>
      <c r="X413" s="93"/>
    </row>
    <row r="414" spans="3:24">
      <c r="C414" s="85"/>
      <c r="D414" s="62"/>
      <c r="E414" s="62"/>
      <c r="F414" s="55"/>
      <c r="G414" s="55"/>
      <c r="H414" s="55"/>
      <c r="I414" s="55"/>
      <c r="J414" s="55"/>
      <c r="K414" s="55"/>
      <c r="L414" s="55"/>
      <c r="M414" s="55"/>
      <c r="N414" s="55"/>
      <c r="U414" s="55"/>
      <c r="V414" s="86"/>
      <c r="X414" s="93"/>
    </row>
    <row r="415" spans="3:24">
      <c r="C415" s="85"/>
      <c r="D415" s="62"/>
      <c r="E415" s="62"/>
      <c r="F415" s="55"/>
      <c r="G415" s="55"/>
      <c r="H415" s="55"/>
      <c r="I415" s="55"/>
      <c r="J415" s="55"/>
      <c r="K415" s="55"/>
      <c r="L415" s="55"/>
      <c r="M415" s="55"/>
      <c r="N415" s="55"/>
      <c r="U415" s="55"/>
      <c r="V415" s="86"/>
      <c r="X415" s="93"/>
    </row>
    <row r="416" spans="3:24">
      <c r="C416" s="85"/>
      <c r="D416" s="62"/>
      <c r="E416" s="62"/>
      <c r="F416" s="55"/>
      <c r="G416" s="55"/>
      <c r="H416" s="55"/>
      <c r="I416" s="55"/>
      <c r="J416" s="55"/>
      <c r="K416" s="55"/>
      <c r="L416" s="55"/>
      <c r="M416" s="55"/>
      <c r="N416" s="55"/>
      <c r="U416" s="55"/>
      <c r="V416" s="86"/>
      <c r="X416" s="93"/>
    </row>
    <row r="417" spans="3:24">
      <c r="C417" s="85"/>
      <c r="D417" s="62"/>
      <c r="E417" s="62"/>
      <c r="F417" s="55"/>
      <c r="G417" s="55"/>
      <c r="H417" s="55"/>
      <c r="I417" s="55"/>
      <c r="J417" s="55"/>
      <c r="K417" s="55"/>
      <c r="L417" s="55"/>
      <c r="M417" s="55"/>
      <c r="N417" s="55"/>
      <c r="U417" s="55"/>
      <c r="V417" s="86"/>
      <c r="X417" s="93"/>
    </row>
    <row r="418" spans="3:24">
      <c r="C418" s="85"/>
      <c r="D418" s="62"/>
      <c r="E418" s="62"/>
      <c r="F418" s="55"/>
      <c r="G418" s="55"/>
      <c r="H418" s="55"/>
      <c r="I418" s="55"/>
      <c r="J418" s="55"/>
      <c r="K418" s="55"/>
      <c r="L418" s="55"/>
      <c r="M418" s="55"/>
      <c r="N418" s="55"/>
      <c r="U418" s="55"/>
      <c r="V418" s="86"/>
      <c r="X418" s="93"/>
    </row>
    <row r="419" spans="3:24">
      <c r="C419" s="85"/>
      <c r="D419" s="62"/>
      <c r="E419" s="62"/>
      <c r="F419" s="55"/>
      <c r="G419" s="55"/>
      <c r="H419" s="55"/>
      <c r="I419" s="55"/>
      <c r="J419" s="55"/>
      <c r="K419" s="55"/>
      <c r="L419" s="55"/>
      <c r="M419" s="55"/>
      <c r="N419" s="55"/>
      <c r="U419" s="55"/>
      <c r="V419" s="86"/>
      <c r="X419" s="93"/>
    </row>
    <row r="420" spans="3:24">
      <c r="C420" s="85"/>
      <c r="D420" s="62"/>
      <c r="E420" s="62"/>
      <c r="F420" s="55"/>
      <c r="G420" s="55"/>
      <c r="H420" s="55"/>
      <c r="I420" s="55"/>
      <c r="J420" s="55"/>
      <c r="K420" s="55"/>
      <c r="L420" s="55"/>
      <c r="M420" s="55"/>
      <c r="N420" s="55"/>
      <c r="U420" s="55"/>
      <c r="V420" s="86"/>
      <c r="X420" s="93"/>
    </row>
    <row r="421" spans="3:24">
      <c r="C421" s="85"/>
      <c r="D421" s="62"/>
      <c r="E421" s="62"/>
      <c r="F421" s="55"/>
      <c r="G421" s="55"/>
      <c r="H421" s="55"/>
      <c r="I421" s="55"/>
      <c r="J421" s="55"/>
      <c r="K421" s="55"/>
      <c r="L421" s="55"/>
      <c r="M421" s="55"/>
      <c r="N421" s="55"/>
      <c r="U421" s="55"/>
      <c r="V421" s="86"/>
      <c r="X421" s="93"/>
    </row>
    <row r="422" spans="3:24">
      <c r="C422" s="85"/>
      <c r="D422" s="62"/>
      <c r="E422" s="62"/>
      <c r="F422" s="55"/>
      <c r="G422" s="55"/>
      <c r="H422" s="55"/>
      <c r="I422" s="55"/>
      <c r="J422" s="55"/>
      <c r="K422" s="55"/>
      <c r="L422" s="55"/>
      <c r="M422" s="55"/>
      <c r="N422" s="55"/>
      <c r="U422" s="55"/>
      <c r="V422" s="86"/>
      <c r="X422" s="93"/>
    </row>
    <row r="423" spans="3:24">
      <c r="C423" s="85"/>
      <c r="D423" s="62"/>
      <c r="E423" s="62"/>
      <c r="F423" s="55"/>
      <c r="G423" s="55"/>
      <c r="H423" s="55"/>
      <c r="I423" s="55"/>
      <c r="J423" s="55"/>
      <c r="K423" s="55"/>
      <c r="L423" s="55"/>
      <c r="M423" s="55"/>
      <c r="N423" s="55"/>
      <c r="U423" s="55"/>
      <c r="V423" s="86"/>
      <c r="X423" s="93"/>
    </row>
    <row r="424" spans="3:24">
      <c r="C424" s="85"/>
      <c r="D424" s="62"/>
      <c r="E424" s="62"/>
      <c r="F424" s="55"/>
      <c r="G424" s="55"/>
      <c r="H424" s="55"/>
      <c r="I424" s="55"/>
      <c r="J424" s="55"/>
      <c r="K424" s="55"/>
      <c r="L424" s="55"/>
      <c r="M424" s="55"/>
      <c r="N424" s="55"/>
      <c r="U424" s="55"/>
      <c r="V424" s="86"/>
      <c r="X424" s="93"/>
    </row>
    <row r="425" spans="3:24">
      <c r="C425" s="85"/>
      <c r="D425" s="62"/>
      <c r="E425" s="62"/>
      <c r="F425" s="55"/>
      <c r="G425" s="55"/>
      <c r="H425" s="55"/>
      <c r="I425" s="55"/>
      <c r="J425" s="55"/>
      <c r="K425" s="55"/>
      <c r="L425" s="55"/>
      <c r="M425" s="55"/>
      <c r="N425" s="55"/>
      <c r="U425" s="55"/>
      <c r="V425" s="86"/>
      <c r="X425" s="93"/>
    </row>
    <row r="426" spans="3:24">
      <c r="C426" s="85"/>
      <c r="D426" s="62"/>
      <c r="E426" s="62"/>
      <c r="F426" s="55"/>
      <c r="G426" s="55"/>
      <c r="H426" s="55"/>
      <c r="I426" s="55"/>
      <c r="J426" s="55"/>
      <c r="K426" s="55"/>
      <c r="L426" s="55"/>
      <c r="M426" s="55"/>
      <c r="N426" s="55"/>
      <c r="U426" s="55"/>
      <c r="V426" s="86"/>
      <c r="X426" s="93"/>
    </row>
    <row r="427" spans="3:24">
      <c r="C427" s="85"/>
      <c r="D427" s="62"/>
      <c r="E427" s="62"/>
      <c r="F427" s="55"/>
      <c r="G427" s="55"/>
      <c r="H427" s="55"/>
      <c r="I427" s="55"/>
      <c r="J427" s="55"/>
      <c r="K427" s="55"/>
      <c r="L427" s="55"/>
      <c r="M427" s="55"/>
      <c r="N427" s="55"/>
      <c r="U427" s="55"/>
      <c r="V427" s="86"/>
      <c r="X427" s="93"/>
    </row>
    <row r="428" spans="3:24">
      <c r="C428" s="85"/>
      <c r="D428" s="62"/>
      <c r="E428" s="62"/>
      <c r="F428" s="55"/>
      <c r="G428" s="55"/>
      <c r="H428" s="55"/>
      <c r="I428" s="55"/>
      <c r="J428" s="55"/>
      <c r="K428" s="55"/>
      <c r="L428" s="55"/>
      <c r="M428" s="55"/>
      <c r="N428" s="55"/>
      <c r="U428" s="55"/>
      <c r="V428" s="86"/>
      <c r="X428" s="93"/>
    </row>
    <row r="429" spans="3:24">
      <c r="C429" s="85"/>
      <c r="D429" s="62"/>
      <c r="E429" s="62"/>
      <c r="F429" s="55"/>
      <c r="G429" s="55"/>
      <c r="H429" s="55"/>
      <c r="I429" s="55"/>
      <c r="J429" s="55"/>
      <c r="K429" s="55"/>
      <c r="L429" s="55"/>
      <c r="M429" s="55"/>
      <c r="N429" s="55"/>
      <c r="U429" s="55"/>
      <c r="V429" s="86"/>
      <c r="X429" s="93"/>
    </row>
    <row r="430" spans="3:24">
      <c r="C430" s="85"/>
      <c r="D430" s="62"/>
      <c r="E430" s="62"/>
      <c r="F430" s="55"/>
      <c r="G430" s="55"/>
      <c r="H430" s="55"/>
      <c r="I430" s="55"/>
      <c r="J430" s="55"/>
      <c r="K430" s="55"/>
      <c r="L430" s="55"/>
      <c r="M430" s="55"/>
      <c r="N430" s="55"/>
      <c r="U430" s="55"/>
      <c r="V430" s="86"/>
      <c r="X430" s="93"/>
    </row>
    <row r="431" spans="3:24">
      <c r="C431" s="85"/>
      <c r="D431" s="62"/>
      <c r="E431" s="62"/>
      <c r="F431" s="55"/>
      <c r="G431" s="55"/>
      <c r="H431" s="55"/>
      <c r="I431" s="55"/>
      <c r="J431" s="55"/>
      <c r="K431" s="55"/>
      <c r="L431" s="55"/>
      <c r="M431" s="55"/>
      <c r="N431" s="55"/>
      <c r="U431" s="55"/>
      <c r="V431" s="86"/>
      <c r="X431" s="93"/>
    </row>
    <row r="432" spans="3:24">
      <c r="C432" s="85"/>
      <c r="D432" s="62"/>
      <c r="E432" s="62"/>
      <c r="F432" s="55"/>
      <c r="G432" s="55"/>
      <c r="H432" s="55"/>
      <c r="I432" s="55"/>
      <c r="J432" s="55"/>
      <c r="K432" s="55"/>
      <c r="L432" s="55"/>
      <c r="M432" s="55"/>
      <c r="N432" s="55"/>
      <c r="U432" s="55"/>
      <c r="V432" s="86"/>
      <c r="X432" s="93"/>
    </row>
    <row r="433" spans="3:24">
      <c r="C433" s="85"/>
      <c r="D433" s="62"/>
      <c r="E433" s="62"/>
      <c r="F433" s="55"/>
      <c r="G433" s="55"/>
      <c r="H433" s="55"/>
      <c r="I433" s="55"/>
      <c r="J433" s="55"/>
      <c r="K433" s="55"/>
      <c r="L433" s="55"/>
      <c r="M433" s="55"/>
      <c r="N433" s="55"/>
      <c r="U433" s="55"/>
      <c r="V433" s="86"/>
      <c r="X433" s="93"/>
    </row>
    <row r="434" spans="3:24">
      <c r="C434" s="85"/>
      <c r="D434" s="62"/>
      <c r="E434" s="62"/>
      <c r="F434" s="55"/>
      <c r="G434" s="55"/>
      <c r="H434" s="55"/>
      <c r="I434" s="55"/>
      <c r="J434" s="55"/>
      <c r="K434" s="55"/>
      <c r="L434" s="55"/>
      <c r="M434" s="55"/>
      <c r="N434" s="55"/>
      <c r="U434" s="55"/>
      <c r="V434" s="86"/>
      <c r="X434" s="93"/>
    </row>
    <row r="435" spans="3:24">
      <c r="C435" s="85"/>
      <c r="D435" s="62"/>
      <c r="E435" s="62"/>
      <c r="F435" s="55"/>
      <c r="G435" s="55"/>
      <c r="H435" s="55"/>
      <c r="I435" s="55"/>
      <c r="J435" s="55"/>
      <c r="K435" s="55"/>
      <c r="L435" s="55"/>
      <c r="M435" s="55"/>
      <c r="N435" s="55"/>
      <c r="U435" s="55"/>
      <c r="V435" s="86"/>
      <c r="X435" s="93"/>
    </row>
    <row r="436" spans="3:24">
      <c r="C436" s="85"/>
      <c r="D436" s="62"/>
      <c r="E436" s="62"/>
      <c r="F436" s="55"/>
      <c r="G436" s="55"/>
      <c r="H436" s="55"/>
      <c r="I436" s="55"/>
      <c r="J436" s="55"/>
      <c r="K436" s="55"/>
      <c r="L436" s="55"/>
      <c r="M436" s="55"/>
      <c r="N436" s="55"/>
      <c r="U436" s="55"/>
      <c r="V436" s="86"/>
      <c r="X436" s="93"/>
    </row>
    <row r="437" spans="3:24">
      <c r="C437" s="85"/>
      <c r="D437" s="62"/>
      <c r="E437" s="62"/>
      <c r="F437" s="55"/>
      <c r="G437" s="55"/>
      <c r="H437" s="55"/>
      <c r="I437" s="55"/>
      <c r="J437" s="55"/>
      <c r="K437" s="55"/>
      <c r="L437" s="55"/>
      <c r="M437" s="55"/>
      <c r="N437" s="55"/>
      <c r="U437" s="55"/>
      <c r="V437" s="86"/>
      <c r="X437" s="93"/>
    </row>
    <row r="438" spans="3:24">
      <c r="C438" s="85"/>
      <c r="D438" s="62"/>
      <c r="E438" s="62"/>
      <c r="F438" s="55"/>
      <c r="G438" s="55"/>
      <c r="H438" s="55"/>
      <c r="I438" s="55"/>
      <c r="J438" s="55"/>
      <c r="K438" s="55"/>
      <c r="L438" s="55"/>
      <c r="M438" s="55"/>
      <c r="N438" s="55"/>
      <c r="U438" s="55"/>
      <c r="V438" s="86"/>
      <c r="X438" s="93"/>
    </row>
    <row r="439" spans="3:24">
      <c r="C439" s="85"/>
      <c r="D439" s="62"/>
      <c r="E439" s="62"/>
      <c r="F439" s="55"/>
      <c r="G439" s="55"/>
      <c r="H439" s="55"/>
      <c r="I439" s="55"/>
      <c r="J439" s="55"/>
      <c r="K439" s="55"/>
      <c r="L439" s="55"/>
      <c r="M439" s="55"/>
      <c r="N439" s="55"/>
      <c r="U439" s="55"/>
      <c r="V439" s="86"/>
      <c r="X439" s="93"/>
    </row>
    <row r="440" spans="3:24">
      <c r="C440" s="85"/>
      <c r="D440" s="62"/>
      <c r="E440" s="62"/>
      <c r="F440" s="55"/>
      <c r="G440" s="55"/>
      <c r="H440" s="55"/>
      <c r="I440" s="55"/>
      <c r="J440" s="55"/>
      <c r="K440" s="55"/>
      <c r="L440" s="55"/>
      <c r="M440" s="55"/>
      <c r="N440" s="55"/>
      <c r="U440" s="55"/>
      <c r="V440" s="86"/>
      <c r="X440" s="93"/>
    </row>
    <row r="441" spans="3:24">
      <c r="C441" s="85"/>
      <c r="D441" s="62"/>
      <c r="E441" s="62"/>
      <c r="F441" s="55"/>
      <c r="G441" s="55"/>
      <c r="H441" s="55"/>
      <c r="I441" s="55"/>
      <c r="J441" s="55"/>
      <c r="K441" s="55"/>
      <c r="L441" s="55"/>
      <c r="M441" s="55"/>
      <c r="N441" s="55"/>
      <c r="U441" s="55"/>
      <c r="V441" s="86"/>
      <c r="X441" s="93"/>
    </row>
    <row r="442" spans="3:24">
      <c r="C442" s="85"/>
      <c r="D442" s="62"/>
      <c r="E442" s="62"/>
      <c r="F442" s="55"/>
      <c r="G442" s="55"/>
      <c r="H442" s="55"/>
      <c r="I442" s="55"/>
      <c r="J442" s="55"/>
      <c r="K442" s="55"/>
      <c r="L442" s="55"/>
      <c r="M442" s="55"/>
      <c r="N442" s="55"/>
      <c r="U442" s="55"/>
      <c r="V442" s="86"/>
      <c r="X442" s="93"/>
    </row>
    <row r="443" spans="3:24">
      <c r="C443" s="85"/>
      <c r="D443" s="62"/>
      <c r="E443" s="62"/>
      <c r="F443" s="55"/>
      <c r="G443" s="55"/>
      <c r="H443" s="55"/>
      <c r="I443" s="55"/>
      <c r="J443" s="55"/>
      <c r="K443" s="55"/>
      <c r="L443" s="55"/>
      <c r="M443" s="55"/>
      <c r="N443" s="55"/>
      <c r="U443" s="55"/>
      <c r="V443" s="86"/>
      <c r="X443" s="93"/>
    </row>
    <row r="444" spans="3:24">
      <c r="C444" s="85"/>
      <c r="D444" s="62"/>
      <c r="E444" s="62"/>
      <c r="F444" s="55"/>
      <c r="G444" s="55"/>
      <c r="H444" s="55"/>
      <c r="I444" s="55"/>
      <c r="J444" s="55"/>
      <c r="K444" s="55"/>
      <c r="L444" s="55"/>
      <c r="M444" s="55"/>
      <c r="N444" s="55"/>
      <c r="U444" s="55"/>
      <c r="V444" s="86"/>
      <c r="X444" s="93"/>
    </row>
    <row r="445" spans="3:24">
      <c r="C445" s="85"/>
      <c r="D445" s="62"/>
      <c r="E445" s="62"/>
      <c r="F445" s="55"/>
      <c r="G445" s="55"/>
      <c r="H445" s="55"/>
      <c r="I445" s="55"/>
      <c r="J445" s="55"/>
      <c r="K445" s="55"/>
      <c r="L445" s="55"/>
      <c r="M445" s="55"/>
      <c r="N445" s="55"/>
      <c r="U445" s="55"/>
      <c r="V445" s="86"/>
      <c r="X445" s="93"/>
    </row>
    <row r="446" spans="3:24">
      <c r="C446" s="85"/>
      <c r="D446" s="62"/>
      <c r="E446" s="62"/>
      <c r="F446" s="55"/>
      <c r="G446" s="55"/>
      <c r="H446" s="55"/>
      <c r="I446" s="55"/>
      <c r="J446" s="55"/>
      <c r="K446" s="55"/>
      <c r="L446" s="55"/>
      <c r="M446" s="55"/>
      <c r="N446" s="55"/>
      <c r="U446" s="55"/>
      <c r="V446" s="86"/>
      <c r="X446" s="93"/>
    </row>
    <row r="447" spans="3:24">
      <c r="C447" s="85"/>
      <c r="D447" s="62"/>
      <c r="E447" s="62"/>
      <c r="F447" s="55"/>
      <c r="G447" s="55"/>
      <c r="H447" s="55"/>
      <c r="I447" s="55"/>
      <c r="J447" s="55"/>
      <c r="K447" s="55"/>
      <c r="L447" s="55"/>
      <c r="M447" s="55"/>
      <c r="N447" s="55"/>
      <c r="U447" s="55"/>
      <c r="V447" s="86"/>
      <c r="X447" s="93"/>
    </row>
    <row r="448" spans="3:24">
      <c r="C448" s="85"/>
      <c r="D448" s="62"/>
      <c r="E448" s="62"/>
      <c r="F448" s="55"/>
      <c r="G448" s="55"/>
      <c r="H448" s="55"/>
      <c r="I448" s="55"/>
      <c r="J448" s="55"/>
      <c r="K448" s="55"/>
      <c r="L448" s="55"/>
      <c r="M448" s="55"/>
      <c r="N448" s="55"/>
      <c r="U448" s="55"/>
      <c r="V448" s="86"/>
      <c r="X448" s="93"/>
    </row>
    <row r="449" spans="3:24">
      <c r="C449" s="85"/>
      <c r="D449" s="62"/>
      <c r="E449" s="62"/>
      <c r="F449" s="55"/>
      <c r="G449" s="55"/>
      <c r="H449" s="55"/>
      <c r="I449" s="55"/>
      <c r="J449" s="55"/>
      <c r="K449" s="55"/>
      <c r="L449" s="55"/>
      <c r="M449" s="55"/>
      <c r="N449" s="55"/>
      <c r="U449" s="55"/>
      <c r="V449" s="86"/>
      <c r="X449" s="93"/>
    </row>
    <row r="450" spans="3:24">
      <c r="C450" s="85"/>
      <c r="D450" s="62"/>
      <c r="E450" s="62"/>
      <c r="F450" s="55"/>
      <c r="G450" s="55"/>
      <c r="H450" s="55"/>
      <c r="I450" s="55"/>
      <c r="J450" s="55"/>
      <c r="K450" s="55"/>
      <c r="L450" s="55"/>
      <c r="M450" s="55"/>
      <c r="N450" s="55"/>
      <c r="U450" s="55"/>
      <c r="V450" s="86"/>
      <c r="X450" s="93"/>
    </row>
    <row r="451" spans="3:24">
      <c r="C451" s="85"/>
      <c r="D451" s="62"/>
      <c r="E451" s="62"/>
      <c r="F451" s="55"/>
      <c r="G451" s="55"/>
      <c r="H451" s="55"/>
      <c r="I451" s="55"/>
      <c r="J451" s="55"/>
      <c r="K451" s="55"/>
      <c r="L451" s="55"/>
      <c r="M451" s="55"/>
      <c r="N451" s="55"/>
      <c r="U451" s="55"/>
      <c r="V451" s="86"/>
      <c r="X451" s="93"/>
    </row>
    <row r="452" spans="3:24">
      <c r="C452" s="85"/>
      <c r="D452" s="62"/>
      <c r="E452" s="62"/>
      <c r="F452" s="55"/>
      <c r="G452" s="55"/>
      <c r="H452" s="55"/>
      <c r="I452" s="55"/>
      <c r="J452" s="55"/>
      <c r="K452" s="55"/>
      <c r="L452" s="55"/>
      <c r="M452" s="55"/>
      <c r="N452" s="55"/>
      <c r="U452" s="55"/>
      <c r="V452" s="86"/>
      <c r="X452" s="93"/>
    </row>
    <row r="453" spans="3:24">
      <c r="C453" s="85"/>
      <c r="D453" s="62"/>
      <c r="E453" s="62"/>
      <c r="F453" s="55"/>
      <c r="G453" s="55"/>
      <c r="H453" s="55"/>
      <c r="I453" s="55"/>
      <c r="J453" s="55"/>
      <c r="K453" s="55"/>
      <c r="L453" s="55"/>
      <c r="M453" s="55"/>
      <c r="N453" s="55"/>
      <c r="U453" s="55"/>
      <c r="V453" s="86"/>
      <c r="X453" s="93"/>
    </row>
    <row r="454" spans="3:24">
      <c r="C454" s="85"/>
      <c r="D454" s="62"/>
      <c r="E454" s="62"/>
      <c r="F454" s="55"/>
      <c r="G454" s="55"/>
      <c r="H454" s="55"/>
      <c r="I454" s="55"/>
      <c r="J454" s="55"/>
      <c r="K454" s="55"/>
      <c r="L454" s="55"/>
      <c r="M454" s="55"/>
      <c r="N454" s="55"/>
      <c r="U454" s="55"/>
      <c r="V454" s="86"/>
      <c r="X454" s="93"/>
    </row>
    <row r="455" spans="3:24">
      <c r="C455" s="85"/>
      <c r="D455" s="62"/>
      <c r="E455" s="62"/>
      <c r="F455" s="55"/>
      <c r="G455" s="55"/>
      <c r="H455" s="55"/>
      <c r="I455" s="55"/>
      <c r="J455" s="55"/>
      <c r="K455" s="55"/>
      <c r="L455" s="55"/>
      <c r="M455" s="55"/>
      <c r="N455" s="55"/>
      <c r="U455" s="55"/>
      <c r="V455" s="86"/>
      <c r="X455" s="93"/>
    </row>
    <row r="456" spans="3:24">
      <c r="C456" s="85"/>
      <c r="D456" s="62"/>
      <c r="E456" s="62"/>
      <c r="F456" s="55"/>
      <c r="G456" s="55"/>
      <c r="H456" s="55"/>
      <c r="I456" s="55"/>
      <c r="J456" s="55"/>
      <c r="K456" s="55"/>
      <c r="L456" s="55"/>
      <c r="M456" s="55"/>
      <c r="N456" s="55"/>
      <c r="U456" s="55"/>
      <c r="V456" s="86"/>
      <c r="X456" s="93"/>
    </row>
    <row r="457" spans="3:24">
      <c r="C457" s="85"/>
      <c r="D457" s="62"/>
      <c r="E457" s="62"/>
      <c r="F457" s="55"/>
      <c r="G457" s="55"/>
      <c r="H457" s="55"/>
      <c r="I457" s="55"/>
      <c r="J457" s="55"/>
      <c r="K457" s="55"/>
      <c r="L457" s="55"/>
      <c r="M457" s="55"/>
      <c r="N457" s="55"/>
      <c r="U457" s="55"/>
      <c r="V457" s="86"/>
      <c r="X457" s="93"/>
    </row>
    <row r="458" spans="3:24">
      <c r="C458" s="85"/>
      <c r="D458" s="62"/>
      <c r="E458" s="62"/>
      <c r="F458" s="55"/>
      <c r="G458" s="55"/>
      <c r="H458" s="55"/>
      <c r="I458" s="55"/>
      <c r="J458" s="55"/>
      <c r="K458" s="55"/>
      <c r="L458" s="55"/>
      <c r="M458" s="55"/>
      <c r="N458" s="55"/>
      <c r="U458" s="55"/>
      <c r="V458" s="86"/>
      <c r="X458" s="93"/>
    </row>
    <row r="459" spans="3:24">
      <c r="C459" s="85"/>
      <c r="D459" s="62"/>
      <c r="E459" s="62"/>
      <c r="F459" s="55"/>
      <c r="G459" s="55"/>
      <c r="H459" s="55"/>
      <c r="I459" s="55"/>
      <c r="J459" s="55"/>
      <c r="K459" s="55"/>
      <c r="L459" s="55"/>
      <c r="M459" s="55"/>
      <c r="N459" s="55"/>
      <c r="U459" s="55"/>
      <c r="V459" s="86"/>
      <c r="X459" s="93"/>
    </row>
    <row r="460" spans="3:24">
      <c r="C460" s="85"/>
      <c r="D460" s="62"/>
      <c r="E460" s="62"/>
      <c r="F460" s="55"/>
      <c r="G460" s="55"/>
      <c r="H460" s="55"/>
      <c r="I460" s="55"/>
      <c r="J460" s="55"/>
      <c r="K460" s="55"/>
      <c r="L460" s="55"/>
      <c r="M460" s="55"/>
      <c r="N460" s="55"/>
      <c r="U460" s="55"/>
      <c r="V460" s="86"/>
      <c r="X460" s="93"/>
    </row>
    <row r="461" spans="3:24">
      <c r="C461" s="85"/>
      <c r="D461" s="62"/>
      <c r="E461" s="62"/>
      <c r="F461" s="55"/>
      <c r="G461" s="55"/>
      <c r="H461" s="55"/>
      <c r="I461" s="55"/>
      <c r="J461" s="55"/>
      <c r="K461" s="55"/>
      <c r="L461" s="55"/>
      <c r="M461" s="55"/>
      <c r="N461" s="55"/>
      <c r="U461" s="55"/>
      <c r="V461" s="86"/>
      <c r="X461" s="93"/>
    </row>
    <row r="462" spans="3:24">
      <c r="C462" s="85"/>
      <c r="D462" s="62"/>
      <c r="E462" s="62"/>
      <c r="F462" s="55"/>
      <c r="G462" s="55"/>
      <c r="H462" s="55"/>
      <c r="I462" s="55"/>
      <c r="J462" s="55"/>
      <c r="K462" s="55"/>
      <c r="L462" s="55"/>
      <c r="M462" s="55"/>
      <c r="N462" s="55"/>
      <c r="U462" s="55"/>
      <c r="V462" s="86"/>
      <c r="X462" s="93"/>
    </row>
    <row r="463" spans="3:24">
      <c r="C463" s="85"/>
      <c r="D463" s="62"/>
      <c r="E463" s="62"/>
      <c r="F463" s="55"/>
      <c r="G463" s="55"/>
      <c r="H463" s="55"/>
      <c r="I463" s="55"/>
      <c r="J463" s="55"/>
      <c r="K463" s="55"/>
      <c r="L463" s="55"/>
      <c r="M463" s="55"/>
      <c r="N463" s="55"/>
      <c r="U463" s="55"/>
      <c r="V463" s="86"/>
      <c r="X463" s="93"/>
    </row>
    <row r="464" spans="3:24">
      <c r="C464" s="85"/>
      <c r="D464" s="62"/>
      <c r="E464" s="62"/>
      <c r="F464" s="55"/>
      <c r="G464" s="55"/>
      <c r="H464" s="55"/>
      <c r="I464" s="55"/>
      <c r="J464" s="55"/>
      <c r="K464" s="55"/>
      <c r="L464" s="55"/>
      <c r="M464" s="55"/>
      <c r="N464" s="55"/>
      <c r="U464" s="55"/>
      <c r="V464" s="86"/>
      <c r="X464" s="93"/>
    </row>
    <row r="465" spans="3:24">
      <c r="C465" s="85"/>
      <c r="D465" s="62"/>
      <c r="E465" s="62"/>
      <c r="F465" s="55"/>
      <c r="G465" s="55"/>
      <c r="H465" s="55"/>
      <c r="I465" s="55"/>
      <c r="J465" s="55"/>
      <c r="K465" s="55"/>
      <c r="L465" s="55"/>
      <c r="M465" s="55"/>
      <c r="N465" s="55"/>
      <c r="U465" s="55"/>
      <c r="V465" s="86"/>
      <c r="X465" s="93"/>
    </row>
    <row r="466" spans="3:24">
      <c r="C466" s="85"/>
      <c r="D466" s="62"/>
      <c r="E466" s="62"/>
      <c r="F466" s="55"/>
      <c r="G466" s="55"/>
      <c r="H466" s="55"/>
      <c r="I466" s="55"/>
      <c r="J466" s="55"/>
      <c r="K466" s="55"/>
      <c r="L466" s="55"/>
      <c r="M466" s="55"/>
      <c r="N466" s="55"/>
      <c r="U466" s="55"/>
      <c r="V466" s="86"/>
      <c r="X466" s="93"/>
    </row>
    <row r="467" spans="3:24">
      <c r="C467" s="85"/>
      <c r="D467" s="62"/>
      <c r="E467" s="62"/>
      <c r="F467" s="55"/>
      <c r="G467" s="55"/>
      <c r="H467" s="55"/>
      <c r="I467" s="55"/>
      <c r="J467" s="55"/>
      <c r="K467" s="55"/>
      <c r="L467" s="55"/>
      <c r="M467" s="55"/>
      <c r="N467" s="55"/>
      <c r="U467" s="55"/>
      <c r="V467" s="86"/>
      <c r="X467" s="93"/>
    </row>
    <row r="468" spans="3:24">
      <c r="C468" s="85"/>
      <c r="D468" s="62"/>
      <c r="E468" s="62"/>
      <c r="F468" s="55"/>
      <c r="G468" s="55"/>
      <c r="H468" s="55"/>
      <c r="I468" s="55"/>
      <c r="J468" s="55"/>
      <c r="K468" s="55"/>
      <c r="L468" s="55"/>
      <c r="M468" s="55"/>
      <c r="N468" s="55"/>
      <c r="U468" s="55"/>
      <c r="V468" s="86"/>
      <c r="X468" s="93"/>
    </row>
    <row r="469" spans="3:24">
      <c r="C469" s="85"/>
      <c r="D469" s="62"/>
      <c r="E469" s="62"/>
      <c r="F469" s="55"/>
      <c r="G469" s="55"/>
      <c r="H469" s="55"/>
      <c r="I469" s="55"/>
      <c r="J469" s="55"/>
      <c r="K469" s="55"/>
      <c r="L469" s="55"/>
      <c r="M469" s="55"/>
      <c r="N469" s="55"/>
      <c r="U469" s="55"/>
      <c r="V469" s="86"/>
      <c r="X469" s="93"/>
    </row>
    <row r="470" spans="3:24">
      <c r="C470" s="85"/>
      <c r="D470" s="62"/>
      <c r="E470" s="62"/>
      <c r="F470" s="55"/>
      <c r="G470" s="55"/>
      <c r="H470" s="55"/>
      <c r="I470" s="55"/>
      <c r="J470" s="55"/>
      <c r="K470" s="55"/>
      <c r="L470" s="55"/>
      <c r="M470" s="55"/>
      <c r="N470" s="55"/>
      <c r="U470" s="55"/>
      <c r="V470" s="86"/>
      <c r="X470" s="93"/>
    </row>
    <row r="471" spans="3:24">
      <c r="C471" s="85"/>
      <c r="D471" s="62"/>
      <c r="E471" s="62"/>
      <c r="F471" s="55"/>
      <c r="G471" s="55"/>
      <c r="H471" s="55"/>
      <c r="I471" s="55"/>
      <c r="J471" s="55"/>
      <c r="K471" s="55"/>
      <c r="L471" s="55"/>
      <c r="M471" s="55"/>
      <c r="N471" s="55"/>
      <c r="U471" s="55"/>
      <c r="V471" s="86"/>
      <c r="X471" s="93"/>
    </row>
    <row r="472" spans="3:24">
      <c r="C472" s="85"/>
      <c r="D472" s="62"/>
      <c r="E472" s="62"/>
      <c r="F472" s="55"/>
      <c r="G472" s="55"/>
      <c r="H472" s="55"/>
      <c r="I472" s="55"/>
      <c r="J472" s="55"/>
      <c r="K472" s="55"/>
      <c r="L472" s="55"/>
      <c r="M472" s="55"/>
      <c r="N472" s="55"/>
      <c r="U472" s="55"/>
      <c r="V472" s="86"/>
      <c r="X472" s="93"/>
    </row>
    <row r="473" spans="3:24">
      <c r="C473" s="85"/>
      <c r="D473" s="62"/>
      <c r="E473" s="62"/>
      <c r="F473" s="55"/>
      <c r="G473" s="55"/>
      <c r="H473" s="55"/>
      <c r="I473" s="55"/>
      <c r="J473" s="55"/>
      <c r="K473" s="55"/>
      <c r="L473" s="55"/>
      <c r="M473" s="55"/>
      <c r="N473" s="55"/>
      <c r="U473" s="55"/>
      <c r="V473" s="86"/>
      <c r="X473" s="93"/>
    </row>
    <row r="474" spans="3:24">
      <c r="C474" s="85"/>
      <c r="D474" s="62"/>
      <c r="E474" s="62"/>
      <c r="F474" s="55"/>
      <c r="G474" s="55"/>
      <c r="H474" s="55"/>
      <c r="I474" s="55"/>
      <c r="J474" s="55"/>
      <c r="K474" s="55"/>
      <c r="L474" s="55"/>
      <c r="M474" s="55"/>
      <c r="N474" s="55"/>
      <c r="U474" s="55"/>
      <c r="V474" s="86"/>
      <c r="X474" s="93"/>
    </row>
    <row r="475" spans="3:24">
      <c r="C475" s="85"/>
      <c r="D475" s="62"/>
      <c r="E475" s="62"/>
      <c r="F475" s="55"/>
      <c r="G475" s="55"/>
      <c r="H475" s="55"/>
      <c r="I475" s="55"/>
      <c r="J475" s="55"/>
      <c r="K475" s="55"/>
      <c r="L475" s="55"/>
      <c r="M475" s="55"/>
      <c r="N475" s="55"/>
      <c r="U475" s="55"/>
      <c r="V475" s="86"/>
      <c r="X475" s="93"/>
    </row>
    <row r="476" spans="3:24">
      <c r="C476" s="85"/>
      <c r="D476" s="62"/>
      <c r="E476" s="62"/>
      <c r="F476" s="55"/>
      <c r="G476" s="55"/>
      <c r="H476" s="55"/>
      <c r="I476" s="55"/>
      <c r="J476" s="55"/>
      <c r="K476" s="55"/>
      <c r="L476" s="55"/>
      <c r="M476" s="55"/>
      <c r="N476" s="55"/>
      <c r="U476" s="55"/>
      <c r="V476" s="86"/>
      <c r="X476" s="93"/>
    </row>
    <row r="477" spans="3:24">
      <c r="C477" s="85"/>
      <c r="D477" s="62"/>
      <c r="E477" s="62"/>
      <c r="F477" s="55"/>
      <c r="G477" s="55"/>
      <c r="H477" s="55"/>
      <c r="I477" s="55"/>
      <c r="J477" s="55"/>
      <c r="K477" s="55"/>
      <c r="L477" s="55"/>
      <c r="M477" s="55"/>
      <c r="N477" s="55"/>
      <c r="U477" s="55"/>
      <c r="V477" s="86"/>
      <c r="X477" s="93"/>
    </row>
    <row r="478" spans="3:24">
      <c r="C478" s="85"/>
      <c r="D478" s="62"/>
      <c r="E478" s="62"/>
      <c r="F478" s="55"/>
      <c r="G478" s="55"/>
      <c r="H478" s="55"/>
      <c r="I478" s="55"/>
      <c r="J478" s="55"/>
      <c r="K478" s="55"/>
      <c r="L478" s="55"/>
      <c r="M478" s="55"/>
      <c r="N478" s="55"/>
      <c r="U478" s="55"/>
      <c r="V478" s="86"/>
      <c r="X478" s="93"/>
    </row>
    <row r="479" spans="3:24">
      <c r="C479" s="85"/>
      <c r="D479" s="62"/>
      <c r="E479" s="62"/>
      <c r="F479" s="55"/>
      <c r="G479" s="55"/>
      <c r="H479" s="55"/>
      <c r="I479" s="55"/>
      <c r="J479" s="55"/>
      <c r="K479" s="55"/>
      <c r="L479" s="55"/>
      <c r="M479" s="55"/>
      <c r="N479" s="55"/>
      <c r="U479" s="55"/>
      <c r="V479" s="86"/>
      <c r="X479" s="93"/>
    </row>
    <row r="480" spans="3:24">
      <c r="C480" s="85"/>
      <c r="D480" s="62"/>
      <c r="E480" s="62"/>
      <c r="F480" s="55"/>
      <c r="G480" s="55"/>
      <c r="H480" s="55"/>
      <c r="I480" s="55"/>
      <c r="J480" s="55"/>
      <c r="K480" s="55"/>
      <c r="L480" s="55"/>
      <c r="M480" s="55"/>
      <c r="N480" s="55"/>
      <c r="U480" s="55"/>
      <c r="V480" s="86"/>
      <c r="X480" s="93"/>
    </row>
    <row r="481" spans="3:24">
      <c r="C481" s="85"/>
      <c r="D481" s="62"/>
      <c r="E481" s="62"/>
      <c r="F481" s="55"/>
      <c r="G481" s="55"/>
      <c r="H481" s="55"/>
      <c r="I481" s="55"/>
      <c r="J481" s="55"/>
      <c r="K481" s="55"/>
      <c r="L481" s="55"/>
      <c r="M481" s="55"/>
      <c r="N481" s="55"/>
      <c r="U481" s="55"/>
      <c r="V481" s="86"/>
      <c r="X481" s="93"/>
    </row>
    <row r="482" spans="3:24">
      <c r="C482" s="85"/>
      <c r="D482" s="62"/>
      <c r="E482" s="62"/>
      <c r="F482" s="55"/>
      <c r="G482" s="55"/>
      <c r="H482" s="55"/>
      <c r="I482" s="55"/>
      <c r="J482" s="55"/>
      <c r="K482" s="55"/>
      <c r="L482" s="55"/>
      <c r="M482" s="55"/>
      <c r="N482" s="55"/>
      <c r="U482" s="55"/>
      <c r="V482" s="86"/>
      <c r="X482" s="93"/>
    </row>
    <row r="483" spans="3:24">
      <c r="C483" s="85"/>
      <c r="D483" s="62"/>
      <c r="E483" s="62"/>
      <c r="F483" s="55"/>
      <c r="G483" s="55"/>
      <c r="H483" s="55"/>
      <c r="I483" s="55"/>
      <c r="J483" s="55"/>
      <c r="K483" s="55"/>
      <c r="L483" s="55"/>
      <c r="M483" s="55"/>
      <c r="N483" s="55"/>
      <c r="U483" s="55"/>
      <c r="V483" s="86"/>
      <c r="X483" s="93"/>
    </row>
    <row r="484" spans="3:24">
      <c r="C484" s="85"/>
      <c r="D484" s="62"/>
      <c r="E484" s="62"/>
      <c r="F484" s="55"/>
      <c r="G484" s="55"/>
      <c r="H484" s="55"/>
      <c r="I484" s="55"/>
      <c r="J484" s="55"/>
      <c r="K484" s="55"/>
      <c r="L484" s="55"/>
      <c r="M484" s="55"/>
      <c r="N484" s="55"/>
      <c r="U484" s="55"/>
      <c r="V484" s="86"/>
      <c r="X484" s="93"/>
    </row>
    <row r="485" spans="3:24">
      <c r="C485" s="85"/>
      <c r="D485" s="62"/>
      <c r="E485" s="62"/>
      <c r="F485" s="55"/>
      <c r="G485" s="55"/>
      <c r="H485" s="55"/>
      <c r="I485" s="55"/>
      <c r="J485" s="55"/>
      <c r="K485" s="55"/>
      <c r="L485" s="55"/>
      <c r="M485" s="55"/>
      <c r="N485" s="55"/>
      <c r="U485" s="55"/>
      <c r="V485" s="86"/>
      <c r="X485" s="93"/>
    </row>
    <row r="486" spans="3:24">
      <c r="C486" s="85"/>
      <c r="D486" s="62"/>
      <c r="E486" s="62"/>
      <c r="F486" s="55"/>
      <c r="G486" s="55"/>
      <c r="H486" s="55"/>
      <c r="I486" s="55"/>
      <c r="J486" s="55"/>
      <c r="K486" s="55"/>
      <c r="L486" s="55"/>
      <c r="M486" s="55"/>
      <c r="N486" s="55"/>
      <c r="U486" s="55"/>
      <c r="V486" s="86"/>
      <c r="X486" s="93"/>
    </row>
    <row r="487" spans="3:24">
      <c r="C487" s="85"/>
      <c r="D487" s="62"/>
      <c r="E487" s="62"/>
      <c r="F487" s="55"/>
      <c r="G487" s="55"/>
      <c r="H487" s="55"/>
      <c r="I487" s="55"/>
      <c r="J487" s="55"/>
      <c r="K487" s="55"/>
      <c r="L487" s="55"/>
      <c r="M487" s="55"/>
      <c r="N487" s="55"/>
      <c r="U487" s="55"/>
      <c r="V487" s="86"/>
      <c r="X487" s="93"/>
    </row>
    <row r="488" spans="3:24">
      <c r="C488" s="85"/>
      <c r="D488" s="62"/>
      <c r="E488" s="62"/>
      <c r="F488" s="55"/>
      <c r="G488" s="55"/>
      <c r="H488" s="55"/>
      <c r="I488" s="55"/>
      <c r="J488" s="55"/>
      <c r="K488" s="55"/>
      <c r="L488" s="55"/>
      <c r="M488" s="55"/>
      <c r="N488" s="55"/>
      <c r="U488" s="55"/>
      <c r="V488" s="86"/>
      <c r="X488" s="93"/>
    </row>
    <row r="489" spans="3:24">
      <c r="C489" s="85"/>
      <c r="D489" s="62"/>
      <c r="E489" s="62"/>
      <c r="F489" s="55"/>
      <c r="G489" s="55"/>
      <c r="H489" s="55"/>
      <c r="I489" s="55"/>
      <c r="J489" s="55"/>
      <c r="K489" s="55"/>
      <c r="L489" s="55"/>
      <c r="M489" s="55"/>
      <c r="N489" s="55"/>
      <c r="U489" s="55"/>
      <c r="V489" s="86"/>
      <c r="X489" s="93"/>
    </row>
    <row r="490" spans="3:24">
      <c r="C490" s="85"/>
      <c r="D490" s="62"/>
      <c r="E490" s="62"/>
      <c r="F490" s="55"/>
      <c r="G490" s="55"/>
      <c r="H490" s="55"/>
      <c r="I490" s="55"/>
      <c r="J490" s="55"/>
      <c r="K490" s="55"/>
      <c r="L490" s="55"/>
      <c r="M490" s="55"/>
      <c r="N490" s="55"/>
      <c r="U490" s="55"/>
      <c r="V490" s="86"/>
      <c r="X490" s="93"/>
    </row>
    <row r="491" spans="3:24">
      <c r="C491" s="85"/>
      <c r="D491" s="62"/>
      <c r="E491" s="62"/>
      <c r="F491" s="55"/>
      <c r="G491" s="55"/>
      <c r="H491" s="55"/>
      <c r="I491" s="55"/>
      <c r="J491" s="55"/>
      <c r="K491" s="55"/>
      <c r="L491" s="55"/>
      <c r="M491" s="55"/>
      <c r="N491" s="55"/>
      <c r="U491" s="55"/>
      <c r="V491" s="86"/>
      <c r="X491" s="93"/>
    </row>
    <row r="492" spans="3:24">
      <c r="C492" s="85"/>
      <c r="D492" s="62"/>
      <c r="E492" s="62"/>
      <c r="F492" s="55"/>
      <c r="G492" s="55"/>
      <c r="H492" s="55"/>
      <c r="I492" s="55"/>
      <c r="J492" s="55"/>
      <c r="K492" s="55"/>
      <c r="L492" s="55"/>
      <c r="M492" s="55"/>
      <c r="N492" s="55"/>
      <c r="U492" s="55"/>
      <c r="V492" s="86"/>
      <c r="X492" s="93"/>
    </row>
    <row r="493" spans="3:24">
      <c r="C493" s="85"/>
      <c r="D493" s="62"/>
      <c r="E493" s="62"/>
      <c r="F493" s="55"/>
      <c r="G493" s="55"/>
      <c r="H493" s="55"/>
      <c r="I493" s="55"/>
      <c r="J493" s="55"/>
      <c r="K493" s="55"/>
      <c r="L493" s="55"/>
      <c r="M493" s="55"/>
      <c r="N493" s="55"/>
      <c r="U493" s="55"/>
      <c r="V493" s="86"/>
      <c r="X493" s="93"/>
    </row>
    <row r="494" spans="3:24">
      <c r="C494" s="85"/>
      <c r="D494" s="62"/>
      <c r="E494" s="62"/>
      <c r="F494" s="55"/>
      <c r="G494" s="55"/>
      <c r="H494" s="55"/>
      <c r="I494" s="55"/>
      <c r="J494" s="55"/>
      <c r="K494" s="55"/>
      <c r="L494" s="55"/>
      <c r="M494" s="55"/>
      <c r="N494" s="55"/>
      <c r="U494" s="55"/>
      <c r="V494" s="86"/>
      <c r="X494" s="93"/>
    </row>
    <row r="495" spans="3:24">
      <c r="C495" s="85"/>
      <c r="D495" s="62"/>
      <c r="E495" s="62"/>
      <c r="F495" s="55"/>
      <c r="G495" s="55"/>
      <c r="H495" s="55"/>
      <c r="I495" s="55"/>
      <c r="J495" s="55"/>
      <c r="K495" s="55"/>
      <c r="L495" s="55"/>
      <c r="M495" s="55"/>
      <c r="N495" s="55"/>
      <c r="U495" s="55"/>
      <c r="V495" s="86"/>
      <c r="X495" s="93"/>
    </row>
    <row r="496" spans="3:24">
      <c r="C496" s="85"/>
      <c r="D496" s="62"/>
      <c r="E496" s="62"/>
      <c r="F496" s="55"/>
      <c r="G496" s="55"/>
      <c r="H496" s="55"/>
      <c r="I496" s="55"/>
      <c r="J496" s="55"/>
      <c r="K496" s="55"/>
      <c r="L496" s="55"/>
      <c r="M496" s="55"/>
      <c r="N496" s="55"/>
      <c r="U496" s="55"/>
      <c r="V496" s="86"/>
      <c r="X496" s="93"/>
    </row>
    <row r="497" spans="3:24">
      <c r="C497" s="85"/>
      <c r="D497" s="62"/>
      <c r="E497" s="62"/>
      <c r="F497" s="55"/>
      <c r="G497" s="55"/>
      <c r="H497" s="55"/>
      <c r="I497" s="55"/>
      <c r="J497" s="55"/>
      <c r="K497" s="55"/>
      <c r="L497" s="55"/>
      <c r="M497" s="55"/>
      <c r="N497" s="55"/>
      <c r="U497" s="55"/>
      <c r="V497" s="86"/>
      <c r="X497" s="93"/>
    </row>
    <row r="498" spans="3:24">
      <c r="C498" s="85"/>
      <c r="D498" s="62"/>
      <c r="E498" s="62"/>
      <c r="F498" s="55"/>
      <c r="G498" s="55"/>
      <c r="H498" s="55"/>
      <c r="I498" s="55"/>
      <c r="J498" s="55"/>
      <c r="K498" s="55"/>
      <c r="L498" s="55"/>
      <c r="M498" s="55"/>
      <c r="N498" s="55"/>
      <c r="U498" s="55"/>
      <c r="V498" s="86"/>
      <c r="X498" s="93"/>
    </row>
    <row r="499" spans="3:24">
      <c r="C499" s="85"/>
      <c r="D499" s="62"/>
      <c r="E499" s="62"/>
      <c r="F499" s="55"/>
      <c r="G499" s="55"/>
      <c r="H499" s="55"/>
      <c r="I499" s="55"/>
      <c r="J499" s="55"/>
      <c r="K499" s="55"/>
      <c r="L499" s="55"/>
      <c r="M499" s="55"/>
      <c r="N499" s="55"/>
      <c r="U499" s="55"/>
      <c r="V499" s="86"/>
      <c r="X499" s="93"/>
    </row>
    <row r="500" spans="3:24">
      <c r="C500" s="85"/>
      <c r="D500" s="62"/>
      <c r="E500" s="62"/>
      <c r="F500" s="55"/>
      <c r="G500" s="55"/>
      <c r="H500" s="55"/>
      <c r="I500" s="55"/>
      <c r="J500" s="55"/>
      <c r="K500" s="55"/>
      <c r="L500" s="55"/>
      <c r="M500" s="55"/>
      <c r="N500" s="55"/>
      <c r="U500" s="55"/>
      <c r="V500" s="86"/>
      <c r="X500" s="93"/>
    </row>
    <row r="501" spans="3:24">
      <c r="C501" s="85"/>
      <c r="D501" s="62"/>
      <c r="E501" s="62"/>
      <c r="F501" s="55"/>
      <c r="G501" s="55"/>
      <c r="H501" s="55"/>
      <c r="I501" s="55"/>
      <c r="J501" s="55"/>
      <c r="K501" s="55"/>
      <c r="L501" s="55"/>
      <c r="M501" s="55"/>
      <c r="N501" s="55"/>
      <c r="U501" s="55"/>
      <c r="V501" s="86"/>
      <c r="X501" s="93"/>
    </row>
    <row r="502" spans="3:24">
      <c r="C502" s="85"/>
      <c r="D502" s="62"/>
      <c r="E502" s="62"/>
      <c r="F502" s="55"/>
      <c r="G502" s="55"/>
      <c r="H502" s="55"/>
      <c r="I502" s="55"/>
      <c r="J502" s="55"/>
      <c r="K502" s="55"/>
      <c r="L502" s="55"/>
      <c r="M502" s="55"/>
      <c r="N502" s="55"/>
      <c r="U502" s="55"/>
      <c r="V502" s="86"/>
      <c r="X502" s="93"/>
    </row>
    <row r="503" spans="3:24">
      <c r="C503" s="85"/>
      <c r="D503" s="62"/>
      <c r="E503" s="62"/>
      <c r="F503" s="55"/>
      <c r="G503" s="55"/>
      <c r="H503" s="55"/>
      <c r="I503" s="55"/>
      <c r="J503" s="55"/>
      <c r="K503" s="55"/>
      <c r="L503" s="55"/>
      <c r="M503" s="55"/>
      <c r="N503" s="55"/>
      <c r="U503" s="55"/>
      <c r="V503" s="86"/>
      <c r="X503" s="93"/>
    </row>
    <row r="504" spans="3:24">
      <c r="C504" s="85"/>
      <c r="D504" s="62"/>
      <c r="E504" s="62"/>
      <c r="F504" s="55"/>
      <c r="G504" s="55"/>
      <c r="H504" s="55"/>
      <c r="I504" s="55"/>
      <c r="J504" s="55"/>
      <c r="K504" s="55"/>
      <c r="L504" s="55"/>
      <c r="M504" s="55"/>
      <c r="N504" s="55"/>
      <c r="U504" s="55"/>
      <c r="V504" s="86"/>
      <c r="X504" s="93"/>
    </row>
    <row r="505" spans="3:24">
      <c r="C505" s="85"/>
      <c r="D505" s="62"/>
      <c r="E505" s="62"/>
      <c r="F505" s="55"/>
      <c r="G505" s="55"/>
      <c r="H505" s="55"/>
      <c r="I505" s="55"/>
      <c r="J505" s="55"/>
      <c r="K505" s="55"/>
      <c r="L505" s="55"/>
      <c r="M505" s="55"/>
      <c r="N505" s="55"/>
      <c r="U505" s="55"/>
      <c r="V505" s="86"/>
      <c r="X505" s="93"/>
    </row>
    <row r="506" spans="3:24">
      <c r="C506" s="85"/>
      <c r="D506" s="62"/>
      <c r="E506" s="62"/>
      <c r="F506" s="55"/>
      <c r="G506" s="55"/>
      <c r="H506" s="55"/>
      <c r="I506" s="55"/>
      <c r="J506" s="55"/>
      <c r="K506" s="55"/>
      <c r="L506" s="55"/>
      <c r="M506" s="55"/>
      <c r="N506" s="55"/>
      <c r="U506" s="55"/>
      <c r="V506" s="86"/>
      <c r="X506" s="93"/>
    </row>
    <row r="507" spans="3:24">
      <c r="C507" s="85"/>
      <c r="D507" s="62"/>
      <c r="E507" s="62"/>
      <c r="F507" s="55"/>
      <c r="G507" s="55"/>
      <c r="H507" s="55"/>
      <c r="I507" s="55"/>
      <c r="J507" s="55"/>
      <c r="K507" s="55"/>
      <c r="L507" s="55"/>
      <c r="M507" s="55"/>
      <c r="N507" s="55"/>
      <c r="U507" s="55"/>
      <c r="V507" s="86"/>
      <c r="X507" s="93"/>
    </row>
    <row r="508" spans="3:24">
      <c r="C508" s="85"/>
      <c r="D508" s="62"/>
      <c r="E508" s="62"/>
      <c r="F508" s="55"/>
      <c r="G508" s="55"/>
      <c r="H508" s="55"/>
      <c r="I508" s="55"/>
      <c r="J508" s="55"/>
      <c r="K508" s="55"/>
      <c r="L508" s="55"/>
      <c r="M508" s="55"/>
      <c r="N508" s="55"/>
      <c r="U508" s="55"/>
      <c r="V508" s="86"/>
      <c r="X508" s="93"/>
    </row>
    <row r="509" spans="3:24">
      <c r="C509" s="85"/>
      <c r="D509" s="62"/>
      <c r="E509" s="62"/>
      <c r="F509" s="55"/>
      <c r="G509" s="55"/>
      <c r="H509" s="55"/>
      <c r="I509" s="55"/>
      <c r="J509" s="55"/>
      <c r="K509" s="55"/>
      <c r="L509" s="55"/>
      <c r="M509" s="55"/>
      <c r="N509" s="55"/>
      <c r="U509" s="55"/>
      <c r="V509" s="86"/>
      <c r="X509" s="93"/>
    </row>
    <row r="510" spans="3:24">
      <c r="C510" s="85"/>
      <c r="D510" s="62"/>
      <c r="E510" s="62"/>
      <c r="F510" s="55"/>
      <c r="G510" s="55"/>
      <c r="H510" s="55"/>
      <c r="I510" s="55"/>
      <c r="J510" s="55"/>
      <c r="K510" s="55"/>
      <c r="L510" s="55"/>
      <c r="M510" s="55"/>
      <c r="N510" s="55"/>
      <c r="U510" s="55"/>
      <c r="V510" s="86"/>
      <c r="X510" s="93"/>
    </row>
    <row r="511" spans="3:24">
      <c r="C511" s="85"/>
      <c r="D511" s="62"/>
      <c r="E511" s="62"/>
      <c r="F511" s="55"/>
      <c r="G511" s="55"/>
      <c r="H511" s="55"/>
      <c r="I511" s="55"/>
      <c r="J511" s="55"/>
      <c r="K511" s="55"/>
      <c r="L511" s="55"/>
      <c r="M511" s="55"/>
      <c r="N511" s="55"/>
      <c r="U511" s="55"/>
      <c r="V511" s="86"/>
      <c r="X511" s="93"/>
    </row>
    <row r="512" spans="3:24">
      <c r="C512" s="85"/>
      <c r="D512" s="62"/>
      <c r="E512" s="62"/>
      <c r="F512" s="55"/>
      <c r="G512" s="55"/>
      <c r="H512" s="55"/>
      <c r="I512" s="55"/>
      <c r="J512" s="55"/>
      <c r="K512" s="55"/>
      <c r="L512" s="55"/>
      <c r="M512" s="55"/>
      <c r="N512" s="55"/>
      <c r="U512" s="55"/>
      <c r="V512" s="86"/>
      <c r="X512" s="93"/>
    </row>
    <row r="513" spans="3:24">
      <c r="C513" s="85"/>
      <c r="D513" s="62"/>
      <c r="E513" s="62"/>
      <c r="F513" s="55"/>
      <c r="G513" s="55"/>
      <c r="H513" s="55"/>
      <c r="I513" s="55"/>
      <c r="J513" s="55"/>
      <c r="K513" s="55"/>
      <c r="L513" s="55"/>
      <c r="M513" s="55"/>
      <c r="N513" s="55"/>
      <c r="U513" s="55"/>
      <c r="V513" s="86"/>
      <c r="X513" s="93"/>
    </row>
    <row r="514" spans="3:24">
      <c r="C514" s="85"/>
      <c r="D514" s="62"/>
      <c r="E514" s="62"/>
      <c r="F514" s="55"/>
      <c r="G514" s="55"/>
      <c r="H514" s="55"/>
      <c r="I514" s="55"/>
      <c r="J514" s="55"/>
      <c r="K514" s="55"/>
      <c r="L514" s="55"/>
      <c r="M514" s="55"/>
      <c r="N514" s="55"/>
      <c r="U514" s="55"/>
      <c r="V514" s="86"/>
      <c r="X514" s="93"/>
    </row>
    <row r="515" spans="3:24">
      <c r="C515" s="85"/>
      <c r="D515" s="62"/>
      <c r="E515" s="62"/>
      <c r="F515" s="55"/>
      <c r="G515" s="55"/>
      <c r="H515" s="55"/>
      <c r="I515" s="55"/>
      <c r="J515" s="55"/>
      <c r="K515" s="55"/>
      <c r="L515" s="55"/>
      <c r="M515" s="55"/>
      <c r="N515" s="55"/>
      <c r="U515" s="55"/>
      <c r="V515" s="86"/>
      <c r="X515" s="93"/>
    </row>
    <row r="516" spans="3:24">
      <c r="C516" s="85"/>
      <c r="D516" s="62"/>
      <c r="E516" s="62"/>
      <c r="F516" s="55"/>
      <c r="G516" s="55"/>
      <c r="H516" s="55"/>
      <c r="I516" s="55"/>
      <c r="J516" s="55"/>
      <c r="K516" s="55"/>
      <c r="L516" s="55"/>
      <c r="M516" s="55"/>
      <c r="N516" s="55"/>
      <c r="U516" s="55"/>
      <c r="V516" s="86"/>
      <c r="X516" s="93"/>
    </row>
    <row r="517" spans="3:24">
      <c r="C517" s="85"/>
      <c r="D517" s="62"/>
      <c r="E517" s="62"/>
      <c r="F517" s="55"/>
      <c r="G517" s="55"/>
      <c r="H517" s="55"/>
      <c r="I517" s="55"/>
      <c r="J517" s="55"/>
      <c r="K517" s="55"/>
      <c r="L517" s="55"/>
      <c r="M517" s="55"/>
      <c r="N517" s="55"/>
      <c r="U517" s="55"/>
      <c r="V517" s="86"/>
      <c r="X517" s="93"/>
    </row>
    <row r="518" spans="3:24">
      <c r="C518" s="85"/>
      <c r="D518" s="62"/>
      <c r="E518" s="62"/>
      <c r="F518" s="55"/>
      <c r="G518" s="55"/>
      <c r="H518" s="55"/>
      <c r="I518" s="55"/>
      <c r="J518" s="55"/>
      <c r="K518" s="55"/>
      <c r="L518" s="55"/>
      <c r="M518" s="55"/>
      <c r="N518" s="55"/>
      <c r="U518" s="55"/>
      <c r="V518" s="86"/>
      <c r="X518" s="93"/>
    </row>
    <row r="519" spans="3:24">
      <c r="C519" s="85"/>
      <c r="D519" s="62"/>
      <c r="E519" s="62"/>
      <c r="F519" s="55"/>
      <c r="G519" s="55"/>
      <c r="H519" s="55"/>
      <c r="I519" s="55"/>
      <c r="J519" s="55"/>
      <c r="K519" s="55"/>
      <c r="L519" s="55"/>
      <c r="M519" s="55"/>
      <c r="N519" s="55"/>
      <c r="U519" s="55"/>
      <c r="V519" s="86"/>
      <c r="X519" s="93"/>
    </row>
    <row r="520" spans="3:24">
      <c r="C520" s="85"/>
      <c r="D520" s="62"/>
      <c r="E520" s="62"/>
      <c r="F520" s="55"/>
      <c r="G520" s="55"/>
      <c r="H520" s="55"/>
      <c r="I520" s="55"/>
      <c r="J520" s="55"/>
      <c r="K520" s="55"/>
      <c r="L520" s="55"/>
      <c r="M520" s="55"/>
      <c r="N520" s="55"/>
      <c r="U520" s="55"/>
      <c r="V520" s="86"/>
      <c r="X520" s="93"/>
    </row>
    <row r="521" spans="3:24">
      <c r="C521" s="85"/>
      <c r="D521" s="62"/>
      <c r="E521" s="62"/>
      <c r="F521" s="55"/>
      <c r="G521" s="55"/>
      <c r="H521" s="55"/>
      <c r="I521" s="55"/>
      <c r="J521" s="55"/>
      <c r="K521" s="55"/>
      <c r="L521" s="55"/>
      <c r="M521" s="55"/>
      <c r="N521" s="55"/>
      <c r="U521" s="55"/>
      <c r="V521" s="86"/>
      <c r="X521" s="93"/>
    </row>
    <row r="522" spans="3:24">
      <c r="C522" s="85"/>
      <c r="D522" s="62"/>
      <c r="E522" s="62"/>
      <c r="F522" s="55"/>
      <c r="G522" s="55"/>
      <c r="H522" s="55"/>
      <c r="I522" s="55"/>
      <c r="J522" s="55"/>
      <c r="K522" s="55"/>
      <c r="L522" s="55"/>
      <c r="M522" s="55"/>
      <c r="N522" s="55"/>
      <c r="U522" s="55"/>
      <c r="V522" s="86"/>
      <c r="X522" s="93"/>
    </row>
    <row r="523" spans="3:24">
      <c r="C523" s="85"/>
      <c r="D523" s="62"/>
      <c r="E523" s="62"/>
      <c r="F523" s="55"/>
      <c r="G523" s="55"/>
      <c r="H523" s="55"/>
      <c r="I523" s="55"/>
      <c r="J523" s="55"/>
      <c r="K523" s="55"/>
      <c r="L523" s="55"/>
      <c r="M523" s="55"/>
      <c r="N523" s="55"/>
      <c r="U523" s="55"/>
      <c r="V523" s="86"/>
      <c r="X523" s="93"/>
    </row>
    <row r="524" spans="3:24">
      <c r="C524" s="85"/>
      <c r="D524" s="62"/>
      <c r="E524" s="62"/>
      <c r="F524" s="55"/>
      <c r="G524" s="55"/>
      <c r="H524" s="55"/>
      <c r="I524" s="55"/>
      <c r="J524" s="55"/>
      <c r="K524" s="55"/>
      <c r="L524" s="55"/>
      <c r="M524" s="55"/>
      <c r="N524" s="55"/>
      <c r="U524" s="55"/>
      <c r="V524" s="86"/>
      <c r="X524" s="93"/>
    </row>
    <row r="525" spans="3:24">
      <c r="C525" s="85"/>
      <c r="D525" s="62"/>
      <c r="E525" s="62"/>
      <c r="F525" s="55"/>
      <c r="G525" s="55"/>
      <c r="H525" s="55"/>
      <c r="I525" s="55"/>
      <c r="J525" s="55"/>
      <c r="K525" s="55"/>
      <c r="L525" s="55"/>
      <c r="M525" s="55"/>
      <c r="N525" s="55"/>
      <c r="U525" s="55"/>
      <c r="V525" s="86"/>
      <c r="X525" s="93"/>
    </row>
    <row r="526" spans="3:24">
      <c r="C526" s="85"/>
      <c r="D526" s="62"/>
      <c r="E526" s="62"/>
      <c r="F526" s="55"/>
      <c r="G526" s="55"/>
      <c r="H526" s="55"/>
      <c r="I526" s="55"/>
      <c r="J526" s="55"/>
      <c r="K526" s="55"/>
      <c r="L526" s="55"/>
      <c r="M526" s="55"/>
      <c r="N526" s="55"/>
      <c r="U526" s="55"/>
      <c r="V526" s="86"/>
      <c r="X526" s="93"/>
    </row>
    <row r="527" spans="3:24">
      <c r="C527" s="85"/>
      <c r="D527" s="62"/>
      <c r="E527" s="62"/>
      <c r="F527" s="55"/>
      <c r="G527" s="55"/>
      <c r="H527" s="55"/>
      <c r="I527" s="55"/>
      <c r="J527" s="55"/>
      <c r="K527" s="55"/>
      <c r="L527" s="55"/>
      <c r="M527" s="55"/>
      <c r="N527" s="55"/>
      <c r="U527" s="55"/>
      <c r="V527" s="86"/>
      <c r="X527" s="93"/>
    </row>
    <row r="528" spans="3:24">
      <c r="C528" s="85"/>
      <c r="D528" s="62"/>
      <c r="E528" s="62"/>
      <c r="F528" s="55"/>
      <c r="G528" s="55"/>
      <c r="H528" s="55"/>
      <c r="I528" s="55"/>
      <c r="J528" s="55"/>
      <c r="K528" s="55"/>
      <c r="L528" s="55"/>
      <c r="M528" s="55"/>
      <c r="N528" s="55"/>
      <c r="U528" s="55"/>
      <c r="V528" s="86"/>
      <c r="X528" s="93"/>
    </row>
    <row r="529" spans="3:24">
      <c r="C529" s="85"/>
      <c r="D529" s="62"/>
      <c r="E529" s="62"/>
      <c r="F529" s="55"/>
      <c r="G529" s="55"/>
      <c r="H529" s="55"/>
      <c r="I529" s="55"/>
      <c r="J529" s="55"/>
      <c r="K529" s="55"/>
      <c r="L529" s="55"/>
      <c r="M529" s="55"/>
      <c r="N529" s="55"/>
      <c r="U529" s="55"/>
      <c r="V529" s="86"/>
      <c r="X529" s="93"/>
    </row>
    <row r="530" spans="3:24">
      <c r="C530" s="85"/>
      <c r="D530" s="62"/>
      <c r="E530" s="62"/>
      <c r="F530" s="55"/>
      <c r="G530" s="55"/>
      <c r="H530" s="55"/>
      <c r="I530" s="55"/>
      <c r="J530" s="55"/>
      <c r="K530" s="55"/>
      <c r="L530" s="55"/>
      <c r="M530" s="55"/>
      <c r="N530" s="55"/>
      <c r="U530" s="55"/>
      <c r="V530" s="86"/>
      <c r="X530" s="93"/>
    </row>
    <row r="531" spans="3:24">
      <c r="C531" s="85"/>
      <c r="D531" s="62"/>
      <c r="E531" s="62"/>
      <c r="F531" s="55"/>
      <c r="G531" s="55"/>
      <c r="H531" s="55"/>
      <c r="I531" s="55"/>
      <c r="J531" s="55"/>
      <c r="K531" s="55"/>
      <c r="L531" s="55"/>
      <c r="M531" s="55"/>
      <c r="N531" s="55"/>
      <c r="U531" s="55"/>
      <c r="V531" s="86"/>
      <c r="X531" s="93"/>
    </row>
    <row r="532" spans="3:24">
      <c r="C532" s="85"/>
      <c r="D532" s="62"/>
      <c r="E532" s="62"/>
      <c r="F532" s="55"/>
      <c r="G532" s="55"/>
      <c r="H532" s="55"/>
      <c r="I532" s="55"/>
      <c r="J532" s="55"/>
      <c r="K532" s="55"/>
      <c r="L532" s="55"/>
      <c r="M532" s="55"/>
      <c r="N532" s="55"/>
      <c r="U532" s="55"/>
      <c r="V532" s="86"/>
      <c r="X532" s="93"/>
    </row>
    <row r="533" spans="3:24">
      <c r="C533" s="85"/>
      <c r="D533" s="62"/>
      <c r="E533" s="62"/>
      <c r="F533" s="55"/>
      <c r="G533" s="55"/>
      <c r="H533" s="55"/>
      <c r="I533" s="55"/>
      <c r="J533" s="55"/>
      <c r="K533" s="55"/>
      <c r="L533" s="55"/>
      <c r="M533" s="55"/>
      <c r="N533" s="55"/>
      <c r="U533" s="55"/>
      <c r="V533" s="86"/>
      <c r="X533" s="93"/>
    </row>
    <row r="534" spans="3:24">
      <c r="C534" s="85"/>
      <c r="D534" s="62"/>
      <c r="E534" s="62"/>
      <c r="F534" s="55"/>
      <c r="G534" s="55"/>
      <c r="H534" s="55"/>
      <c r="I534" s="55"/>
      <c r="J534" s="55"/>
      <c r="K534" s="55"/>
      <c r="L534" s="55"/>
      <c r="M534" s="55"/>
      <c r="N534" s="55"/>
      <c r="U534" s="55"/>
      <c r="V534" s="86"/>
      <c r="X534" s="93"/>
    </row>
    <row r="535" spans="3:24">
      <c r="C535" s="85"/>
      <c r="D535" s="62"/>
      <c r="E535" s="62"/>
      <c r="F535" s="55"/>
      <c r="G535" s="55"/>
      <c r="H535" s="55"/>
      <c r="I535" s="55"/>
      <c r="J535" s="55"/>
      <c r="K535" s="55"/>
      <c r="L535" s="55"/>
      <c r="M535" s="55"/>
      <c r="N535" s="55"/>
      <c r="U535" s="55"/>
      <c r="V535" s="86"/>
      <c r="X535" s="93"/>
    </row>
    <row r="536" spans="3:24">
      <c r="C536" s="85"/>
      <c r="D536" s="62"/>
      <c r="E536" s="62"/>
      <c r="F536" s="55"/>
      <c r="G536" s="55"/>
      <c r="H536" s="55"/>
      <c r="I536" s="55"/>
      <c r="J536" s="55"/>
      <c r="K536" s="55"/>
      <c r="L536" s="55"/>
      <c r="M536" s="55"/>
      <c r="N536" s="55"/>
      <c r="U536" s="55"/>
      <c r="V536" s="86"/>
      <c r="X536" s="93"/>
    </row>
    <row r="537" spans="3:24">
      <c r="C537" s="85"/>
      <c r="D537" s="62"/>
      <c r="E537" s="62"/>
      <c r="F537" s="55"/>
      <c r="G537" s="55"/>
      <c r="H537" s="55"/>
      <c r="I537" s="55"/>
      <c r="J537" s="55"/>
      <c r="K537" s="55"/>
      <c r="L537" s="55"/>
      <c r="M537" s="55"/>
      <c r="N537" s="55"/>
      <c r="U537" s="55"/>
      <c r="V537" s="86"/>
      <c r="X537" s="93"/>
    </row>
    <row r="538" spans="3:24">
      <c r="C538" s="85"/>
      <c r="D538" s="62"/>
      <c r="E538" s="62"/>
      <c r="F538" s="55"/>
      <c r="G538" s="55"/>
      <c r="H538" s="55"/>
      <c r="I538" s="55"/>
      <c r="J538" s="55"/>
      <c r="K538" s="55"/>
      <c r="L538" s="55"/>
      <c r="M538" s="55"/>
      <c r="N538" s="55"/>
      <c r="U538" s="55"/>
      <c r="V538" s="86"/>
      <c r="X538" s="93"/>
    </row>
    <row r="539" spans="3:24">
      <c r="C539" s="85"/>
      <c r="D539" s="62"/>
      <c r="E539" s="62"/>
      <c r="F539" s="55"/>
      <c r="G539" s="55"/>
      <c r="H539" s="55"/>
      <c r="I539" s="55"/>
      <c r="J539" s="55"/>
      <c r="K539" s="55"/>
      <c r="L539" s="55"/>
      <c r="M539" s="55"/>
      <c r="N539" s="55"/>
      <c r="U539" s="55"/>
      <c r="V539" s="86"/>
      <c r="X539" s="93"/>
    </row>
    <row r="540" spans="3:24">
      <c r="C540" s="85"/>
      <c r="D540" s="62"/>
      <c r="E540" s="62"/>
      <c r="F540" s="55"/>
      <c r="G540" s="55"/>
      <c r="H540" s="55"/>
      <c r="I540" s="55"/>
      <c r="J540" s="55"/>
      <c r="K540" s="55"/>
      <c r="L540" s="55"/>
      <c r="M540" s="55"/>
      <c r="N540" s="55"/>
      <c r="U540" s="55"/>
      <c r="V540" s="86"/>
      <c r="X540" s="93"/>
    </row>
    <row r="541" spans="3:24">
      <c r="C541" s="85"/>
      <c r="D541" s="62"/>
      <c r="E541" s="62"/>
      <c r="F541" s="55"/>
      <c r="G541" s="55"/>
      <c r="H541" s="55"/>
      <c r="I541" s="55"/>
      <c r="J541" s="55"/>
      <c r="K541" s="55"/>
      <c r="L541" s="55"/>
      <c r="M541" s="55"/>
      <c r="N541" s="55"/>
      <c r="U541" s="55"/>
      <c r="V541" s="86"/>
      <c r="X541" s="93"/>
    </row>
    <row r="542" spans="3:24">
      <c r="C542" s="85"/>
      <c r="D542" s="62"/>
      <c r="E542" s="62"/>
      <c r="F542" s="55"/>
      <c r="G542" s="55"/>
      <c r="H542" s="55"/>
      <c r="I542" s="55"/>
      <c r="J542" s="55"/>
      <c r="K542" s="55"/>
      <c r="L542" s="55"/>
      <c r="M542" s="55"/>
      <c r="N542" s="55"/>
      <c r="U542" s="55"/>
      <c r="V542" s="86"/>
      <c r="X542" s="93"/>
    </row>
    <row r="543" spans="3:24">
      <c r="C543" s="85"/>
      <c r="D543" s="62"/>
      <c r="E543" s="62"/>
      <c r="F543" s="55"/>
      <c r="G543" s="55"/>
      <c r="H543" s="55"/>
      <c r="I543" s="55"/>
      <c r="J543" s="55"/>
      <c r="K543" s="55"/>
      <c r="L543" s="55"/>
      <c r="M543" s="55"/>
      <c r="N543" s="55"/>
      <c r="U543" s="55"/>
      <c r="V543" s="86"/>
      <c r="X543" s="93"/>
    </row>
    <row r="544" spans="3:24">
      <c r="C544" s="85"/>
      <c r="D544" s="62"/>
      <c r="E544" s="62"/>
      <c r="F544" s="55"/>
      <c r="G544" s="55"/>
      <c r="H544" s="55"/>
      <c r="I544" s="55"/>
      <c r="J544" s="55"/>
      <c r="K544" s="55"/>
      <c r="L544" s="55"/>
      <c r="M544" s="55"/>
      <c r="N544" s="55"/>
      <c r="U544" s="55"/>
      <c r="V544" s="86"/>
      <c r="X544" s="93"/>
    </row>
    <row r="545" spans="3:24">
      <c r="C545" s="85"/>
      <c r="D545" s="62"/>
      <c r="E545" s="62"/>
      <c r="F545" s="55"/>
      <c r="G545" s="55"/>
      <c r="H545" s="55"/>
      <c r="I545" s="55"/>
      <c r="J545" s="55"/>
      <c r="K545" s="55"/>
      <c r="L545" s="55"/>
      <c r="M545" s="55"/>
      <c r="N545" s="55"/>
      <c r="U545" s="55"/>
      <c r="V545" s="86"/>
      <c r="X545" s="93"/>
    </row>
    <row r="546" spans="3:24">
      <c r="C546" s="85"/>
      <c r="D546" s="62"/>
      <c r="E546" s="62"/>
      <c r="F546" s="55"/>
      <c r="G546" s="55"/>
      <c r="H546" s="55"/>
      <c r="I546" s="55"/>
      <c r="J546" s="55"/>
      <c r="K546" s="55"/>
      <c r="L546" s="55"/>
      <c r="M546" s="55"/>
      <c r="N546" s="55"/>
      <c r="U546" s="55"/>
      <c r="V546" s="86"/>
      <c r="X546" s="93"/>
    </row>
    <row r="547" spans="3:24">
      <c r="C547" s="85"/>
      <c r="D547" s="62"/>
      <c r="E547" s="62"/>
      <c r="F547" s="55"/>
      <c r="G547" s="55"/>
      <c r="H547" s="55"/>
      <c r="I547" s="55"/>
      <c r="J547" s="55"/>
      <c r="K547" s="55"/>
      <c r="L547" s="55"/>
      <c r="M547" s="55"/>
      <c r="N547" s="55"/>
      <c r="U547" s="55"/>
      <c r="V547" s="86"/>
      <c r="X547" s="93"/>
    </row>
    <row r="548" spans="3:24">
      <c r="C548" s="85"/>
      <c r="D548" s="62"/>
      <c r="E548" s="62"/>
      <c r="F548" s="55"/>
      <c r="G548" s="55"/>
      <c r="H548" s="55"/>
      <c r="I548" s="55"/>
      <c r="J548" s="55"/>
      <c r="K548" s="55"/>
      <c r="L548" s="55"/>
      <c r="M548" s="55"/>
      <c r="N548" s="55"/>
      <c r="U548" s="55"/>
      <c r="V548" s="86"/>
      <c r="X548" s="93"/>
    </row>
    <row r="549" spans="3:24">
      <c r="C549" s="85"/>
      <c r="D549" s="62"/>
      <c r="E549" s="62"/>
      <c r="F549" s="55"/>
      <c r="G549" s="55"/>
      <c r="H549" s="55"/>
      <c r="I549" s="55"/>
      <c r="J549" s="55"/>
      <c r="K549" s="55"/>
      <c r="L549" s="55"/>
      <c r="M549" s="55"/>
      <c r="N549" s="55"/>
      <c r="U549" s="55"/>
      <c r="V549" s="86"/>
      <c r="X549" s="93"/>
    </row>
    <row r="550" spans="3:24">
      <c r="C550" s="85"/>
      <c r="D550" s="62"/>
      <c r="E550" s="62"/>
      <c r="F550" s="55"/>
      <c r="G550" s="55"/>
      <c r="H550" s="55"/>
      <c r="I550" s="55"/>
      <c r="J550" s="55"/>
      <c r="K550" s="55"/>
      <c r="L550" s="55"/>
      <c r="M550" s="55"/>
      <c r="N550" s="55"/>
      <c r="U550" s="55"/>
      <c r="V550" s="86"/>
      <c r="X550" s="93"/>
    </row>
    <row r="551" spans="3:24">
      <c r="C551" s="85"/>
      <c r="D551" s="62"/>
      <c r="E551" s="62"/>
      <c r="F551" s="55"/>
      <c r="G551" s="55"/>
      <c r="H551" s="55"/>
      <c r="I551" s="55"/>
      <c r="J551" s="55"/>
      <c r="K551" s="55"/>
      <c r="L551" s="55"/>
      <c r="M551" s="55"/>
      <c r="N551" s="55"/>
      <c r="U551" s="55"/>
      <c r="V551" s="86"/>
      <c r="X551" s="93"/>
    </row>
    <row r="552" spans="3:24">
      <c r="C552" s="85"/>
      <c r="D552" s="62"/>
      <c r="E552" s="62"/>
      <c r="F552" s="55"/>
      <c r="G552" s="55"/>
      <c r="H552" s="55"/>
      <c r="I552" s="55"/>
      <c r="J552" s="55"/>
      <c r="K552" s="55"/>
      <c r="L552" s="55"/>
      <c r="M552" s="55"/>
      <c r="N552" s="55"/>
      <c r="U552" s="55"/>
      <c r="V552" s="86"/>
      <c r="X552" s="93"/>
    </row>
    <row r="553" spans="3:24">
      <c r="C553" s="85"/>
      <c r="D553" s="62"/>
      <c r="E553" s="62"/>
      <c r="F553" s="55"/>
      <c r="G553" s="55"/>
      <c r="H553" s="55"/>
      <c r="I553" s="55"/>
      <c r="J553" s="55"/>
      <c r="K553" s="55"/>
      <c r="L553" s="55"/>
      <c r="M553" s="55"/>
      <c r="N553" s="55"/>
      <c r="U553" s="55"/>
      <c r="V553" s="86"/>
      <c r="X553" s="93"/>
    </row>
    <row r="554" spans="3:24">
      <c r="C554" s="85"/>
      <c r="D554" s="62"/>
      <c r="E554" s="62"/>
      <c r="F554" s="55"/>
      <c r="G554" s="55"/>
      <c r="H554" s="55"/>
      <c r="I554" s="55"/>
      <c r="J554" s="55"/>
      <c r="K554" s="55"/>
      <c r="L554" s="55"/>
      <c r="M554" s="55"/>
      <c r="N554" s="55"/>
      <c r="U554" s="55"/>
      <c r="V554" s="86"/>
      <c r="X554" s="93"/>
    </row>
    <row r="555" spans="3:24">
      <c r="C555" s="85"/>
      <c r="D555" s="62"/>
      <c r="E555" s="62"/>
      <c r="F555" s="55"/>
      <c r="G555" s="55"/>
      <c r="H555" s="55"/>
      <c r="I555" s="55"/>
      <c r="J555" s="55"/>
      <c r="K555" s="55"/>
      <c r="L555" s="55"/>
      <c r="M555" s="55"/>
      <c r="N555" s="55"/>
      <c r="U555" s="55"/>
      <c r="V555" s="86"/>
      <c r="X555" s="93"/>
    </row>
    <row r="556" spans="3:24">
      <c r="C556" s="85"/>
      <c r="D556" s="62"/>
      <c r="E556" s="62"/>
      <c r="F556" s="55"/>
      <c r="G556" s="55"/>
      <c r="H556" s="55"/>
      <c r="I556" s="55"/>
      <c r="J556" s="55"/>
      <c r="K556" s="55"/>
      <c r="L556" s="55"/>
      <c r="M556" s="55"/>
      <c r="N556" s="55"/>
      <c r="U556" s="55"/>
      <c r="V556" s="86"/>
      <c r="X556" s="93"/>
    </row>
    <row r="557" spans="3:24">
      <c r="C557" s="85"/>
      <c r="D557" s="62"/>
      <c r="E557" s="62"/>
      <c r="F557" s="55"/>
      <c r="G557" s="55"/>
      <c r="H557" s="55"/>
      <c r="I557" s="55"/>
      <c r="J557" s="55"/>
      <c r="K557" s="55"/>
      <c r="L557" s="55"/>
      <c r="M557" s="55"/>
      <c r="N557" s="55"/>
      <c r="U557" s="55"/>
      <c r="V557" s="86"/>
      <c r="X557" s="93"/>
    </row>
    <row r="558" spans="3:24">
      <c r="C558" s="85"/>
      <c r="D558" s="62"/>
      <c r="E558" s="62"/>
      <c r="F558" s="55"/>
      <c r="G558" s="55"/>
      <c r="H558" s="55"/>
      <c r="I558" s="55"/>
      <c r="J558" s="55"/>
      <c r="K558" s="55"/>
      <c r="L558" s="55"/>
      <c r="M558" s="55"/>
      <c r="N558" s="55"/>
      <c r="U558" s="55"/>
      <c r="V558" s="86"/>
      <c r="X558" s="93"/>
    </row>
    <row r="559" spans="3:24">
      <c r="C559" s="85"/>
      <c r="D559" s="62"/>
      <c r="E559" s="62"/>
      <c r="F559" s="55"/>
      <c r="G559" s="55"/>
      <c r="H559" s="55"/>
      <c r="I559" s="55"/>
      <c r="J559" s="55"/>
      <c r="K559" s="55"/>
      <c r="L559" s="55"/>
      <c r="M559" s="55"/>
      <c r="N559" s="55"/>
      <c r="U559" s="55"/>
      <c r="V559" s="86"/>
      <c r="X559" s="93"/>
    </row>
    <row r="560" spans="3:24">
      <c r="C560" s="85"/>
      <c r="D560" s="62"/>
      <c r="E560" s="62"/>
      <c r="F560" s="55"/>
      <c r="G560" s="55"/>
      <c r="H560" s="55"/>
      <c r="I560" s="55"/>
      <c r="J560" s="55"/>
      <c r="K560" s="55"/>
      <c r="L560" s="55"/>
      <c r="M560" s="55"/>
      <c r="N560" s="55"/>
      <c r="U560" s="55"/>
      <c r="V560" s="86"/>
      <c r="X560" s="93"/>
    </row>
    <row r="561" spans="3:24">
      <c r="C561" s="85"/>
      <c r="D561" s="62"/>
      <c r="E561" s="62"/>
      <c r="F561" s="55"/>
      <c r="G561" s="55"/>
      <c r="H561" s="55"/>
      <c r="I561" s="55"/>
      <c r="J561" s="55"/>
      <c r="K561" s="55"/>
      <c r="L561" s="55"/>
      <c r="M561" s="55"/>
      <c r="N561" s="55"/>
      <c r="U561" s="55"/>
      <c r="V561" s="86"/>
      <c r="X561" s="93"/>
    </row>
    <row r="562" spans="3:24">
      <c r="C562" s="85"/>
      <c r="D562" s="62"/>
      <c r="E562" s="62"/>
      <c r="F562" s="55"/>
      <c r="G562" s="55"/>
      <c r="H562" s="55"/>
      <c r="I562" s="55"/>
      <c r="J562" s="55"/>
      <c r="K562" s="55"/>
      <c r="L562" s="55"/>
      <c r="M562" s="55"/>
      <c r="N562" s="55"/>
      <c r="U562" s="55"/>
      <c r="V562" s="86"/>
      <c r="X562" s="93"/>
    </row>
    <row r="563" spans="3:24">
      <c r="C563" s="85"/>
      <c r="D563" s="62"/>
      <c r="E563" s="62"/>
      <c r="F563" s="55"/>
      <c r="G563" s="55"/>
      <c r="H563" s="55"/>
      <c r="I563" s="55"/>
      <c r="J563" s="55"/>
      <c r="K563" s="55"/>
      <c r="L563" s="55"/>
      <c r="M563" s="55"/>
      <c r="N563" s="55"/>
      <c r="U563" s="55"/>
      <c r="V563" s="86"/>
      <c r="X563" s="93"/>
    </row>
    <row r="564" spans="3:24">
      <c r="C564" s="85"/>
      <c r="D564" s="62"/>
      <c r="E564" s="62"/>
      <c r="F564" s="55"/>
      <c r="G564" s="55"/>
      <c r="H564" s="55"/>
      <c r="I564" s="55"/>
      <c r="J564" s="55"/>
      <c r="K564" s="55"/>
      <c r="L564" s="55"/>
      <c r="M564" s="55"/>
      <c r="N564" s="55"/>
      <c r="U564" s="55"/>
      <c r="V564" s="86"/>
      <c r="X564" s="93"/>
    </row>
    <row r="565" spans="3:24">
      <c r="C565" s="85"/>
      <c r="D565" s="62"/>
      <c r="E565" s="62"/>
      <c r="F565" s="55"/>
      <c r="G565" s="55"/>
      <c r="H565" s="55"/>
      <c r="I565" s="55"/>
      <c r="J565" s="55"/>
      <c r="K565" s="55"/>
      <c r="L565" s="55"/>
      <c r="M565" s="55"/>
      <c r="N565" s="55"/>
      <c r="U565" s="55"/>
      <c r="V565" s="86"/>
      <c r="X565" s="93"/>
    </row>
    <row r="566" spans="3:24">
      <c r="C566" s="85"/>
      <c r="D566" s="62"/>
      <c r="E566" s="62"/>
      <c r="F566" s="55"/>
      <c r="G566" s="55"/>
      <c r="H566" s="55"/>
      <c r="I566" s="55"/>
      <c r="J566" s="55"/>
      <c r="K566" s="55"/>
      <c r="L566" s="55"/>
      <c r="M566" s="55"/>
      <c r="N566" s="55"/>
      <c r="U566" s="55"/>
      <c r="V566" s="86"/>
      <c r="X566" s="93"/>
    </row>
    <row r="567" spans="3:24">
      <c r="C567" s="85"/>
      <c r="D567" s="62"/>
      <c r="E567" s="62"/>
      <c r="F567" s="55"/>
      <c r="G567" s="55"/>
      <c r="H567" s="55"/>
      <c r="I567" s="55"/>
      <c r="J567" s="55"/>
      <c r="K567" s="55"/>
      <c r="L567" s="55"/>
      <c r="M567" s="55"/>
      <c r="N567" s="55"/>
      <c r="U567" s="55"/>
      <c r="V567" s="86"/>
      <c r="X567" s="93"/>
    </row>
    <row r="568" spans="3:24">
      <c r="C568" s="85"/>
      <c r="D568" s="62"/>
      <c r="E568" s="62"/>
      <c r="F568" s="55"/>
      <c r="G568" s="55"/>
      <c r="H568" s="55"/>
      <c r="I568" s="55"/>
      <c r="J568" s="55"/>
      <c r="K568" s="55"/>
      <c r="L568" s="55"/>
      <c r="M568" s="55"/>
      <c r="N568" s="55"/>
      <c r="U568" s="55"/>
      <c r="V568" s="86"/>
      <c r="X568" s="93"/>
    </row>
    <row r="569" spans="3:24">
      <c r="C569" s="85"/>
      <c r="D569" s="62"/>
      <c r="E569" s="62"/>
      <c r="F569" s="55"/>
      <c r="G569" s="55"/>
      <c r="H569" s="55"/>
      <c r="I569" s="55"/>
      <c r="J569" s="55"/>
      <c r="K569" s="55"/>
      <c r="L569" s="55"/>
      <c r="M569" s="55"/>
      <c r="N569" s="55"/>
      <c r="U569" s="55"/>
      <c r="V569" s="86"/>
      <c r="X569" s="93"/>
    </row>
    <row r="570" spans="3:24">
      <c r="C570" s="85"/>
      <c r="D570" s="62"/>
      <c r="E570" s="62"/>
      <c r="F570" s="55"/>
      <c r="G570" s="55"/>
      <c r="H570" s="55"/>
      <c r="I570" s="55"/>
      <c r="J570" s="55"/>
      <c r="K570" s="55"/>
      <c r="L570" s="55"/>
      <c r="M570" s="55"/>
      <c r="N570" s="55"/>
      <c r="U570" s="55"/>
      <c r="V570" s="86"/>
      <c r="X570" s="93"/>
    </row>
    <row r="571" spans="3:24">
      <c r="C571" s="85"/>
      <c r="D571" s="62"/>
      <c r="E571" s="62"/>
      <c r="F571" s="55"/>
      <c r="G571" s="55"/>
      <c r="H571" s="55"/>
      <c r="I571" s="55"/>
      <c r="J571" s="55"/>
      <c r="K571" s="55"/>
      <c r="L571" s="55"/>
      <c r="M571" s="55"/>
      <c r="N571" s="55"/>
      <c r="U571" s="55"/>
      <c r="V571" s="86"/>
      <c r="X571" s="93"/>
    </row>
    <row r="572" spans="3:24">
      <c r="C572" s="85"/>
      <c r="D572" s="62"/>
      <c r="E572" s="62"/>
      <c r="F572" s="55"/>
      <c r="G572" s="55"/>
      <c r="H572" s="55"/>
      <c r="I572" s="55"/>
      <c r="J572" s="55"/>
      <c r="K572" s="55"/>
      <c r="L572" s="55"/>
      <c r="M572" s="55"/>
      <c r="N572" s="55"/>
      <c r="U572" s="55"/>
      <c r="V572" s="86"/>
      <c r="X572" s="93"/>
    </row>
    <row r="573" spans="3:24">
      <c r="C573" s="85"/>
      <c r="D573" s="62"/>
      <c r="E573" s="62"/>
      <c r="F573" s="55"/>
      <c r="G573" s="55"/>
      <c r="H573" s="55"/>
      <c r="I573" s="55"/>
      <c r="J573" s="55"/>
      <c r="K573" s="55"/>
      <c r="L573" s="55"/>
      <c r="M573" s="55"/>
      <c r="N573" s="55"/>
      <c r="U573" s="55"/>
      <c r="V573" s="86"/>
      <c r="X573" s="93"/>
    </row>
    <row r="574" spans="3:24">
      <c r="C574" s="85"/>
      <c r="D574" s="62"/>
      <c r="E574" s="62"/>
      <c r="F574" s="55"/>
      <c r="G574" s="55"/>
      <c r="H574" s="55"/>
      <c r="I574" s="55"/>
      <c r="J574" s="55"/>
      <c r="K574" s="55"/>
      <c r="L574" s="55"/>
      <c r="M574" s="55"/>
      <c r="N574" s="55"/>
      <c r="U574" s="55"/>
      <c r="V574" s="86"/>
      <c r="X574" s="93"/>
    </row>
    <row r="575" spans="3:24">
      <c r="C575" s="85"/>
      <c r="D575" s="62"/>
      <c r="E575" s="62"/>
      <c r="F575" s="55"/>
      <c r="G575" s="55"/>
      <c r="H575" s="55"/>
      <c r="I575" s="55"/>
      <c r="J575" s="55"/>
      <c r="K575" s="55"/>
      <c r="L575" s="55"/>
      <c r="M575" s="55"/>
      <c r="N575" s="55"/>
      <c r="U575" s="55"/>
      <c r="V575" s="86"/>
      <c r="X575" s="93"/>
    </row>
    <row r="576" spans="3:24">
      <c r="C576" s="85"/>
      <c r="D576" s="62"/>
      <c r="E576" s="62"/>
      <c r="F576" s="55"/>
      <c r="G576" s="55"/>
      <c r="H576" s="55"/>
      <c r="I576" s="55"/>
      <c r="J576" s="55"/>
      <c r="K576" s="55"/>
      <c r="L576" s="55"/>
      <c r="M576" s="55"/>
      <c r="N576" s="55"/>
      <c r="U576" s="55"/>
      <c r="V576" s="86"/>
      <c r="X576" s="93"/>
    </row>
    <row r="577" spans="3:24">
      <c r="C577" s="85"/>
      <c r="D577" s="62"/>
      <c r="E577" s="62"/>
      <c r="F577" s="55"/>
      <c r="G577" s="55"/>
      <c r="H577" s="55"/>
      <c r="I577" s="55"/>
      <c r="J577" s="55"/>
      <c r="K577" s="55"/>
      <c r="L577" s="55"/>
      <c r="M577" s="55"/>
      <c r="N577" s="55"/>
      <c r="U577" s="55"/>
      <c r="V577" s="86"/>
      <c r="X577" s="93"/>
    </row>
    <row r="578" spans="3:24">
      <c r="C578" s="85"/>
      <c r="D578" s="62"/>
      <c r="E578" s="62"/>
      <c r="F578" s="55"/>
      <c r="G578" s="55"/>
      <c r="H578" s="55"/>
      <c r="I578" s="55"/>
      <c r="J578" s="55"/>
      <c r="K578" s="55"/>
      <c r="L578" s="55"/>
      <c r="M578" s="55"/>
      <c r="N578" s="55"/>
      <c r="U578" s="55"/>
      <c r="V578" s="86"/>
      <c r="X578" s="93"/>
    </row>
    <row r="579" spans="3:24">
      <c r="C579" s="85"/>
      <c r="D579" s="62"/>
      <c r="E579" s="62"/>
      <c r="F579" s="55"/>
      <c r="G579" s="55"/>
      <c r="H579" s="55"/>
      <c r="I579" s="55"/>
      <c r="J579" s="55"/>
      <c r="K579" s="55"/>
      <c r="L579" s="55"/>
      <c r="M579" s="55"/>
      <c r="N579" s="55"/>
      <c r="U579" s="55"/>
      <c r="V579" s="86"/>
      <c r="X579" s="93"/>
    </row>
    <row r="580" spans="3:24">
      <c r="C580" s="85"/>
      <c r="D580" s="62"/>
      <c r="E580" s="62"/>
      <c r="F580" s="55"/>
      <c r="G580" s="55"/>
      <c r="H580" s="55"/>
      <c r="I580" s="55"/>
      <c r="J580" s="55"/>
      <c r="K580" s="55"/>
      <c r="L580" s="55"/>
      <c r="M580" s="55"/>
      <c r="N580" s="55"/>
      <c r="U580" s="55"/>
      <c r="V580" s="86"/>
      <c r="X580" s="93"/>
    </row>
    <row r="581" spans="3:24">
      <c r="C581" s="85"/>
      <c r="D581" s="62"/>
      <c r="E581" s="62"/>
      <c r="F581" s="55"/>
      <c r="G581" s="55"/>
      <c r="H581" s="55"/>
      <c r="I581" s="55"/>
      <c r="J581" s="55"/>
      <c r="K581" s="55"/>
      <c r="L581" s="55"/>
      <c r="M581" s="55"/>
      <c r="N581" s="55"/>
      <c r="U581" s="55"/>
      <c r="V581" s="86"/>
      <c r="X581" s="93"/>
    </row>
    <row r="582" spans="3:24">
      <c r="C582" s="85"/>
      <c r="D582" s="62"/>
      <c r="E582" s="62"/>
      <c r="F582" s="55"/>
      <c r="G582" s="55"/>
      <c r="H582" s="55"/>
      <c r="I582" s="55"/>
      <c r="J582" s="55"/>
      <c r="K582" s="55"/>
      <c r="L582" s="55"/>
      <c r="M582" s="55"/>
      <c r="N582" s="55"/>
      <c r="U582" s="55"/>
      <c r="V582" s="86"/>
      <c r="X582" s="93"/>
    </row>
    <row r="583" spans="3:24">
      <c r="C583" s="85"/>
      <c r="D583" s="62"/>
      <c r="E583" s="62"/>
      <c r="F583" s="55"/>
      <c r="G583" s="55"/>
      <c r="H583" s="55"/>
      <c r="I583" s="55"/>
      <c r="J583" s="55"/>
      <c r="K583" s="55"/>
      <c r="L583" s="55"/>
      <c r="M583" s="55"/>
      <c r="N583" s="55"/>
      <c r="U583" s="55"/>
      <c r="V583" s="86"/>
      <c r="X583" s="93"/>
    </row>
    <row r="584" spans="3:24">
      <c r="C584" s="85"/>
      <c r="D584" s="62"/>
      <c r="E584" s="62"/>
      <c r="F584" s="55"/>
      <c r="G584" s="55"/>
      <c r="H584" s="55"/>
      <c r="I584" s="55"/>
      <c r="J584" s="55"/>
      <c r="K584" s="55"/>
      <c r="L584" s="55"/>
      <c r="M584" s="55"/>
      <c r="N584" s="55"/>
      <c r="U584" s="55"/>
      <c r="V584" s="86"/>
      <c r="X584" s="93"/>
    </row>
    <row r="585" spans="3:24">
      <c r="C585" s="85"/>
      <c r="D585" s="62"/>
      <c r="E585" s="62"/>
      <c r="F585" s="55"/>
      <c r="G585" s="55"/>
      <c r="H585" s="55"/>
      <c r="I585" s="55"/>
      <c r="J585" s="55"/>
      <c r="K585" s="55"/>
      <c r="L585" s="55"/>
      <c r="M585" s="55"/>
      <c r="N585" s="55"/>
      <c r="U585" s="55"/>
      <c r="V585" s="86"/>
      <c r="X585" s="93"/>
    </row>
    <row r="586" spans="3:24">
      <c r="C586" s="85"/>
      <c r="D586" s="62"/>
      <c r="E586" s="62"/>
      <c r="F586" s="55"/>
      <c r="G586" s="55"/>
      <c r="H586" s="55"/>
      <c r="I586" s="55"/>
      <c r="J586" s="55"/>
      <c r="K586" s="55"/>
      <c r="L586" s="55"/>
      <c r="M586" s="55"/>
      <c r="N586" s="55"/>
      <c r="U586" s="55"/>
      <c r="V586" s="86"/>
      <c r="X586" s="93"/>
    </row>
    <row r="587" spans="3:24">
      <c r="C587" s="85"/>
      <c r="D587" s="62"/>
      <c r="E587" s="62"/>
      <c r="F587" s="55"/>
      <c r="G587" s="55"/>
      <c r="H587" s="55"/>
      <c r="I587" s="55"/>
      <c r="J587" s="55"/>
      <c r="K587" s="55"/>
      <c r="L587" s="55"/>
      <c r="M587" s="55"/>
      <c r="N587" s="55"/>
      <c r="U587" s="55"/>
      <c r="V587" s="86"/>
      <c r="X587" s="93"/>
    </row>
    <row r="588" spans="3:24">
      <c r="C588" s="85"/>
      <c r="D588" s="62"/>
      <c r="E588" s="62"/>
      <c r="F588" s="55"/>
      <c r="G588" s="55"/>
      <c r="H588" s="55"/>
      <c r="I588" s="55"/>
      <c r="J588" s="55"/>
      <c r="K588" s="55"/>
      <c r="L588" s="55"/>
      <c r="M588" s="55"/>
      <c r="N588" s="55"/>
      <c r="U588" s="55"/>
      <c r="V588" s="86"/>
      <c r="X588" s="93"/>
    </row>
    <row r="589" spans="3:24">
      <c r="C589" s="85"/>
      <c r="D589" s="62"/>
      <c r="E589" s="62"/>
      <c r="F589" s="55"/>
      <c r="G589" s="55"/>
      <c r="H589" s="55"/>
      <c r="I589" s="55"/>
      <c r="J589" s="55"/>
      <c r="K589" s="55"/>
      <c r="L589" s="55"/>
      <c r="M589" s="55"/>
      <c r="N589" s="55"/>
      <c r="U589" s="55"/>
      <c r="V589" s="86"/>
      <c r="X589" s="93"/>
    </row>
    <row r="590" spans="3:24">
      <c r="C590" s="85"/>
      <c r="D590" s="62"/>
      <c r="E590" s="62"/>
      <c r="F590" s="55"/>
      <c r="G590" s="55"/>
      <c r="H590" s="55"/>
      <c r="I590" s="55"/>
      <c r="J590" s="55"/>
      <c r="K590" s="55"/>
      <c r="L590" s="55"/>
      <c r="M590" s="55"/>
      <c r="N590" s="55"/>
      <c r="U590" s="55"/>
      <c r="V590" s="86"/>
      <c r="X590" s="93"/>
    </row>
    <row r="591" spans="3:24">
      <c r="C591" s="85"/>
      <c r="D591" s="62"/>
      <c r="E591" s="62"/>
      <c r="F591" s="55"/>
      <c r="G591" s="55"/>
      <c r="H591" s="55"/>
      <c r="I591" s="55"/>
      <c r="J591" s="55"/>
      <c r="K591" s="55"/>
      <c r="L591" s="55"/>
      <c r="M591" s="55"/>
      <c r="N591" s="55"/>
      <c r="U591" s="55"/>
      <c r="V591" s="86"/>
      <c r="X591" s="93"/>
    </row>
    <row r="592" spans="3:24">
      <c r="C592" s="85"/>
      <c r="D592" s="62"/>
      <c r="E592" s="62"/>
      <c r="F592" s="55"/>
      <c r="G592" s="55"/>
      <c r="H592" s="55"/>
      <c r="I592" s="55"/>
      <c r="J592" s="55"/>
      <c r="K592" s="55"/>
      <c r="L592" s="55"/>
      <c r="M592" s="55"/>
      <c r="N592" s="55"/>
      <c r="U592" s="55"/>
      <c r="V592" s="86"/>
      <c r="X592" s="93"/>
    </row>
    <row r="593" spans="3:24">
      <c r="C593" s="85"/>
      <c r="D593" s="62"/>
      <c r="E593" s="62"/>
      <c r="F593" s="55"/>
      <c r="G593" s="55"/>
      <c r="H593" s="55"/>
      <c r="I593" s="55"/>
      <c r="J593" s="55"/>
      <c r="K593" s="55"/>
      <c r="L593" s="55"/>
      <c r="M593" s="55"/>
      <c r="N593" s="55"/>
      <c r="U593" s="55"/>
      <c r="V593" s="86"/>
      <c r="X593" s="93"/>
    </row>
    <row r="594" spans="3:24">
      <c r="C594" s="85"/>
      <c r="D594" s="62"/>
      <c r="E594" s="62"/>
      <c r="F594" s="55"/>
      <c r="G594" s="55"/>
      <c r="H594" s="55"/>
      <c r="I594" s="55"/>
      <c r="J594" s="55"/>
      <c r="K594" s="55"/>
      <c r="L594" s="55"/>
      <c r="M594" s="55"/>
      <c r="N594" s="55"/>
      <c r="U594" s="55"/>
      <c r="V594" s="86"/>
      <c r="X594" s="93"/>
    </row>
    <row r="595" spans="3:24">
      <c r="C595" s="85"/>
      <c r="D595" s="62"/>
      <c r="E595" s="62"/>
      <c r="F595" s="55"/>
      <c r="G595" s="55"/>
      <c r="H595" s="55"/>
      <c r="I595" s="55"/>
      <c r="J595" s="55"/>
      <c r="K595" s="55"/>
      <c r="L595" s="55"/>
      <c r="M595" s="55"/>
      <c r="N595" s="55"/>
      <c r="U595" s="55"/>
      <c r="V595" s="86"/>
      <c r="X595" s="93"/>
    </row>
    <row r="596" spans="3:24">
      <c r="C596" s="85"/>
      <c r="D596" s="62"/>
      <c r="E596" s="62"/>
      <c r="F596" s="55"/>
      <c r="G596" s="55"/>
      <c r="H596" s="55"/>
      <c r="I596" s="55"/>
      <c r="J596" s="55"/>
      <c r="K596" s="55"/>
      <c r="L596" s="55"/>
      <c r="M596" s="55"/>
      <c r="N596" s="55"/>
      <c r="U596" s="55"/>
      <c r="V596" s="86"/>
      <c r="X596" s="93"/>
    </row>
    <row r="597" spans="3:24">
      <c r="C597" s="85"/>
      <c r="D597" s="62"/>
      <c r="E597" s="62"/>
      <c r="F597" s="55"/>
      <c r="G597" s="55"/>
      <c r="H597" s="55"/>
      <c r="I597" s="55"/>
      <c r="J597" s="55"/>
      <c r="K597" s="55"/>
      <c r="L597" s="55"/>
      <c r="M597" s="55"/>
      <c r="N597" s="55"/>
      <c r="U597" s="55"/>
      <c r="V597" s="86"/>
      <c r="X597" s="93"/>
    </row>
    <row r="598" spans="3:24">
      <c r="C598" s="85"/>
      <c r="D598" s="62"/>
      <c r="E598" s="62"/>
      <c r="F598" s="55"/>
      <c r="G598" s="55"/>
      <c r="H598" s="55"/>
      <c r="I598" s="55"/>
      <c r="J598" s="55"/>
      <c r="K598" s="55"/>
      <c r="L598" s="55"/>
      <c r="M598" s="55"/>
      <c r="N598" s="55"/>
      <c r="U598" s="55"/>
      <c r="V598" s="86"/>
      <c r="X598" s="93"/>
    </row>
    <row r="599" spans="3:24">
      <c r="C599" s="85"/>
      <c r="D599" s="62"/>
      <c r="E599" s="62"/>
      <c r="F599" s="55"/>
      <c r="G599" s="55"/>
      <c r="H599" s="55"/>
      <c r="I599" s="55"/>
      <c r="J599" s="55"/>
      <c r="K599" s="55"/>
      <c r="L599" s="55"/>
      <c r="M599" s="55"/>
      <c r="N599" s="55"/>
      <c r="U599" s="55"/>
      <c r="V599" s="86"/>
      <c r="X599" s="93"/>
    </row>
    <row r="600" spans="3:24">
      <c r="C600" s="85"/>
      <c r="D600" s="62"/>
      <c r="E600" s="62"/>
      <c r="F600" s="55"/>
      <c r="G600" s="55"/>
      <c r="H600" s="55"/>
      <c r="I600" s="55"/>
      <c r="J600" s="55"/>
      <c r="K600" s="55"/>
      <c r="L600" s="55"/>
      <c r="M600" s="55"/>
      <c r="N600" s="55"/>
      <c r="U600" s="55"/>
      <c r="V600" s="86"/>
      <c r="X600" s="93"/>
    </row>
    <row r="601" spans="3:24">
      <c r="C601" s="85"/>
      <c r="D601" s="62"/>
      <c r="E601" s="62"/>
      <c r="F601" s="55"/>
      <c r="G601" s="55"/>
      <c r="H601" s="55"/>
      <c r="I601" s="55"/>
      <c r="J601" s="55"/>
      <c r="K601" s="55"/>
      <c r="L601" s="55"/>
      <c r="M601" s="55"/>
      <c r="N601" s="55"/>
      <c r="U601" s="55"/>
      <c r="V601" s="86"/>
      <c r="X601" s="93"/>
    </row>
    <row r="602" spans="3:24">
      <c r="C602" s="85"/>
      <c r="D602" s="62"/>
      <c r="E602" s="62"/>
      <c r="F602" s="55"/>
      <c r="G602" s="55"/>
      <c r="H602" s="55"/>
      <c r="I602" s="55"/>
      <c r="J602" s="55"/>
      <c r="K602" s="55"/>
      <c r="L602" s="55"/>
      <c r="M602" s="55"/>
      <c r="N602" s="55"/>
      <c r="U602" s="55"/>
      <c r="V602" s="86"/>
      <c r="X602" s="93"/>
    </row>
    <row r="603" spans="3:24">
      <c r="C603" s="85"/>
      <c r="D603" s="62"/>
      <c r="E603" s="62"/>
      <c r="F603" s="55"/>
      <c r="G603" s="55"/>
      <c r="H603" s="55"/>
      <c r="I603" s="55"/>
      <c r="J603" s="55"/>
      <c r="K603" s="55"/>
      <c r="L603" s="55"/>
      <c r="M603" s="55"/>
      <c r="N603" s="55"/>
      <c r="U603" s="55"/>
      <c r="V603" s="86"/>
      <c r="X603" s="93"/>
    </row>
    <row r="604" spans="3:24">
      <c r="C604" s="85"/>
      <c r="D604" s="62"/>
      <c r="E604" s="62"/>
      <c r="F604" s="55"/>
      <c r="G604" s="55"/>
      <c r="H604" s="55"/>
      <c r="I604" s="55"/>
      <c r="J604" s="55"/>
      <c r="K604" s="55"/>
      <c r="L604" s="55"/>
      <c r="M604" s="55"/>
      <c r="N604" s="55"/>
      <c r="U604" s="55"/>
      <c r="V604" s="86"/>
      <c r="X604" s="93"/>
    </row>
    <row r="605" spans="3:24">
      <c r="C605" s="85"/>
      <c r="D605" s="62"/>
      <c r="E605" s="62"/>
      <c r="F605" s="55"/>
      <c r="G605" s="55"/>
      <c r="H605" s="55"/>
      <c r="I605" s="55"/>
      <c r="J605" s="55"/>
      <c r="K605" s="55"/>
      <c r="L605" s="55"/>
      <c r="M605" s="55"/>
      <c r="N605" s="55"/>
      <c r="U605" s="55"/>
      <c r="V605" s="86"/>
      <c r="X605" s="93"/>
    </row>
    <row r="606" spans="3:24">
      <c r="C606" s="85"/>
      <c r="D606" s="62"/>
      <c r="E606" s="62"/>
      <c r="F606" s="55"/>
      <c r="G606" s="55"/>
      <c r="H606" s="55"/>
      <c r="I606" s="55"/>
      <c r="J606" s="55"/>
      <c r="K606" s="55"/>
      <c r="L606" s="55"/>
      <c r="M606" s="55"/>
      <c r="N606" s="55"/>
      <c r="U606" s="55"/>
      <c r="V606" s="86"/>
      <c r="X606" s="93"/>
    </row>
    <row r="607" spans="3:24">
      <c r="C607" s="85"/>
      <c r="D607" s="62"/>
      <c r="E607" s="62"/>
      <c r="F607" s="55"/>
      <c r="G607" s="55"/>
      <c r="H607" s="55"/>
      <c r="I607" s="55"/>
      <c r="J607" s="55"/>
      <c r="K607" s="55"/>
      <c r="L607" s="55"/>
      <c r="M607" s="55"/>
      <c r="N607" s="55"/>
      <c r="U607" s="55"/>
      <c r="V607" s="86"/>
      <c r="X607" s="93"/>
    </row>
    <row r="608" spans="3:24">
      <c r="C608" s="85"/>
      <c r="D608" s="62"/>
      <c r="E608" s="62"/>
      <c r="F608" s="55"/>
      <c r="G608" s="55"/>
      <c r="H608" s="55"/>
      <c r="I608" s="55"/>
      <c r="J608" s="55"/>
      <c r="K608" s="55"/>
      <c r="L608" s="55"/>
      <c r="M608" s="55"/>
      <c r="N608" s="55"/>
      <c r="U608" s="55"/>
      <c r="V608" s="86"/>
      <c r="X608" s="93"/>
    </row>
    <row r="609" spans="3:24">
      <c r="C609" s="85"/>
      <c r="D609" s="62"/>
      <c r="E609" s="62"/>
      <c r="F609" s="55"/>
      <c r="G609" s="55"/>
      <c r="H609" s="55"/>
      <c r="I609" s="55"/>
      <c r="J609" s="55"/>
      <c r="K609" s="55"/>
      <c r="L609" s="55"/>
      <c r="M609" s="55"/>
      <c r="N609" s="55"/>
      <c r="U609" s="55"/>
      <c r="V609" s="86"/>
      <c r="X609" s="93"/>
    </row>
    <row r="610" spans="3:24">
      <c r="C610" s="85"/>
      <c r="D610" s="62"/>
      <c r="E610" s="62"/>
      <c r="F610" s="55"/>
      <c r="G610" s="55"/>
      <c r="H610" s="55"/>
      <c r="I610" s="55"/>
      <c r="J610" s="55"/>
      <c r="K610" s="55"/>
      <c r="L610" s="55"/>
      <c r="M610" s="55"/>
      <c r="N610" s="55"/>
      <c r="U610" s="55"/>
      <c r="V610" s="86"/>
      <c r="X610" s="93"/>
    </row>
    <row r="611" spans="3:24">
      <c r="C611" s="85"/>
      <c r="D611" s="62"/>
      <c r="E611" s="62"/>
      <c r="F611" s="55"/>
      <c r="G611" s="55"/>
      <c r="H611" s="55"/>
      <c r="I611" s="55"/>
      <c r="J611" s="55"/>
      <c r="K611" s="55"/>
      <c r="L611" s="55"/>
      <c r="M611" s="55"/>
      <c r="N611" s="55"/>
      <c r="U611" s="55"/>
      <c r="V611" s="86"/>
      <c r="X611" s="93"/>
    </row>
    <row r="612" spans="3:24">
      <c r="C612" s="85"/>
      <c r="D612" s="62"/>
      <c r="E612" s="62"/>
      <c r="F612" s="55"/>
      <c r="G612" s="55"/>
      <c r="H612" s="55"/>
      <c r="I612" s="55"/>
      <c r="J612" s="55"/>
      <c r="K612" s="55"/>
      <c r="L612" s="55"/>
      <c r="M612" s="55"/>
      <c r="N612" s="55"/>
      <c r="U612" s="55"/>
      <c r="V612" s="86"/>
      <c r="X612" s="93"/>
    </row>
    <row r="613" spans="3:24">
      <c r="C613" s="85"/>
      <c r="D613" s="62"/>
      <c r="E613" s="62"/>
      <c r="F613" s="55"/>
      <c r="G613" s="55"/>
      <c r="H613" s="55"/>
      <c r="I613" s="55"/>
      <c r="J613" s="55"/>
      <c r="K613" s="55"/>
      <c r="L613" s="55"/>
      <c r="M613" s="55"/>
      <c r="N613" s="55"/>
      <c r="U613" s="55"/>
      <c r="V613" s="86"/>
      <c r="X613" s="93"/>
    </row>
    <row r="614" spans="3:24">
      <c r="C614" s="85"/>
      <c r="D614" s="62"/>
      <c r="E614" s="62"/>
      <c r="F614" s="55"/>
      <c r="G614" s="55"/>
      <c r="H614" s="55"/>
      <c r="I614" s="55"/>
      <c r="J614" s="55"/>
      <c r="K614" s="55"/>
      <c r="L614" s="55"/>
      <c r="M614" s="55"/>
      <c r="N614" s="55"/>
      <c r="U614" s="55"/>
      <c r="V614" s="86"/>
      <c r="X614" s="93"/>
    </row>
    <row r="615" spans="3:24">
      <c r="C615" s="85"/>
      <c r="D615" s="62"/>
      <c r="E615" s="62"/>
      <c r="F615" s="55"/>
      <c r="G615" s="55"/>
      <c r="H615" s="55"/>
      <c r="I615" s="55"/>
      <c r="J615" s="55"/>
      <c r="K615" s="55"/>
      <c r="L615" s="55"/>
      <c r="M615" s="55"/>
      <c r="N615" s="55"/>
      <c r="U615" s="55"/>
      <c r="V615" s="86"/>
      <c r="X615" s="93"/>
    </row>
    <row r="616" spans="3:24">
      <c r="C616" s="85"/>
      <c r="D616" s="62"/>
      <c r="E616" s="62"/>
      <c r="F616" s="55"/>
      <c r="G616" s="55"/>
      <c r="H616" s="55"/>
      <c r="I616" s="55"/>
      <c r="J616" s="55"/>
      <c r="K616" s="55"/>
      <c r="L616" s="55"/>
      <c r="M616" s="55"/>
      <c r="N616" s="55"/>
      <c r="U616" s="55"/>
      <c r="V616" s="86"/>
      <c r="X616" s="93"/>
    </row>
    <row r="617" spans="3:24">
      <c r="C617" s="85"/>
      <c r="D617" s="62"/>
      <c r="E617" s="62"/>
      <c r="F617" s="55"/>
      <c r="G617" s="55"/>
      <c r="H617" s="55"/>
      <c r="I617" s="55"/>
      <c r="J617" s="55"/>
      <c r="K617" s="55"/>
      <c r="L617" s="55"/>
      <c r="M617" s="55"/>
      <c r="N617" s="55"/>
      <c r="U617" s="55"/>
      <c r="V617" s="86"/>
      <c r="X617" s="93"/>
    </row>
    <row r="618" spans="3:24">
      <c r="C618" s="85"/>
      <c r="D618" s="62"/>
      <c r="E618" s="62"/>
      <c r="F618" s="55"/>
      <c r="G618" s="55"/>
      <c r="H618" s="55"/>
      <c r="I618" s="55"/>
      <c r="J618" s="55"/>
      <c r="K618" s="55"/>
      <c r="L618" s="55"/>
      <c r="M618" s="55"/>
      <c r="N618" s="55"/>
      <c r="U618" s="55"/>
      <c r="V618" s="86"/>
      <c r="X618" s="93"/>
    </row>
    <row r="619" spans="3:24">
      <c r="C619" s="85"/>
      <c r="D619" s="62"/>
      <c r="E619" s="62"/>
      <c r="F619" s="55"/>
      <c r="G619" s="55"/>
      <c r="H619" s="55"/>
      <c r="I619" s="55"/>
      <c r="J619" s="55"/>
      <c r="K619" s="55"/>
      <c r="L619" s="55"/>
      <c r="M619" s="55"/>
      <c r="N619" s="55"/>
      <c r="U619" s="55"/>
      <c r="V619" s="86"/>
      <c r="X619" s="93"/>
    </row>
    <row r="620" spans="3:24">
      <c r="C620" s="85"/>
      <c r="D620" s="62"/>
      <c r="E620" s="62"/>
      <c r="F620" s="55"/>
      <c r="G620" s="55"/>
      <c r="H620" s="55"/>
      <c r="I620" s="55"/>
      <c r="J620" s="55"/>
      <c r="K620" s="55"/>
      <c r="L620" s="55"/>
      <c r="M620" s="55"/>
      <c r="N620" s="55"/>
      <c r="U620" s="55"/>
      <c r="V620" s="86"/>
      <c r="X620" s="93"/>
    </row>
    <row r="621" spans="3:24">
      <c r="C621" s="85"/>
      <c r="D621" s="62"/>
      <c r="E621" s="62"/>
      <c r="F621" s="55"/>
      <c r="G621" s="55"/>
      <c r="H621" s="55"/>
      <c r="I621" s="55"/>
      <c r="J621" s="55"/>
      <c r="K621" s="55"/>
      <c r="L621" s="55"/>
      <c r="M621" s="55"/>
      <c r="N621" s="55"/>
      <c r="U621" s="55"/>
      <c r="V621" s="86"/>
      <c r="X621" s="93"/>
    </row>
    <row r="622" spans="3:24">
      <c r="C622" s="85"/>
      <c r="D622" s="62"/>
      <c r="E622" s="62"/>
      <c r="F622" s="55"/>
      <c r="G622" s="55"/>
      <c r="H622" s="55"/>
      <c r="I622" s="55"/>
      <c r="J622" s="55"/>
      <c r="K622" s="55"/>
      <c r="L622" s="55"/>
      <c r="M622" s="55"/>
      <c r="N622" s="55"/>
      <c r="U622" s="55"/>
      <c r="V622" s="86"/>
      <c r="X622" s="93"/>
    </row>
    <row r="623" spans="3:24">
      <c r="C623" s="85"/>
      <c r="D623" s="62"/>
      <c r="E623" s="62"/>
      <c r="F623" s="55"/>
      <c r="G623" s="55"/>
      <c r="H623" s="55"/>
      <c r="I623" s="55"/>
      <c r="J623" s="55"/>
      <c r="K623" s="55"/>
      <c r="L623" s="55"/>
      <c r="M623" s="55"/>
      <c r="N623" s="55"/>
      <c r="U623" s="55"/>
      <c r="V623" s="86"/>
      <c r="X623" s="93"/>
    </row>
    <row r="624" spans="3:24">
      <c r="C624" s="85"/>
      <c r="D624" s="62"/>
      <c r="E624" s="62"/>
      <c r="F624" s="55"/>
      <c r="G624" s="55"/>
      <c r="H624" s="55"/>
      <c r="I624" s="55"/>
      <c r="J624" s="55"/>
      <c r="K624" s="55"/>
      <c r="L624" s="55"/>
      <c r="M624" s="55"/>
      <c r="N624" s="55"/>
      <c r="U624" s="55"/>
      <c r="V624" s="86"/>
      <c r="X624" s="93"/>
    </row>
    <row r="625" spans="3:24">
      <c r="C625" s="85"/>
      <c r="D625" s="62"/>
      <c r="E625" s="62"/>
      <c r="F625" s="55"/>
      <c r="G625" s="55"/>
      <c r="H625" s="55"/>
      <c r="I625" s="55"/>
      <c r="J625" s="55"/>
      <c r="K625" s="55"/>
      <c r="L625" s="55"/>
      <c r="M625" s="55"/>
      <c r="N625" s="55"/>
      <c r="U625" s="55"/>
      <c r="V625" s="86"/>
      <c r="X625" s="93"/>
    </row>
    <row r="626" spans="3:24">
      <c r="C626" s="85"/>
      <c r="D626" s="62"/>
      <c r="E626" s="62"/>
      <c r="F626" s="55"/>
      <c r="G626" s="55"/>
      <c r="H626" s="55"/>
      <c r="I626" s="55"/>
      <c r="J626" s="55"/>
      <c r="K626" s="55"/>
      <c r="L626" s="55"/>
      <c r="M626" s="55"/>
      <c r="N626" s="55"/>
      <c r="U626" s="55"/>
      <c r="V626" s="86"/>
      <c r="X626" s="93"/>
    </row>
    <row r="627" spans="3:24">
      <c r="C627" s="85"/>
      <c r="D627" s="62"/>
      <c r="E627" s="62"/>
      <c r="F627" s="55"/>
      <c r="G627" s="55"/>
      <c r="H627" s="55"/>
      <c r="I627" s="55"/>
      <c r="J627" s="55"/>
      <c r="K627" s="55"/>
      <c r="L627" s="55"/>
      <c r="M627" s="55"/>
      <c r="N627" s="55"/>
      <c r="U627" s="55"/>
      <c r="V627" s="86"/>
      <c r="X627" s="93"/>
    </row>
    <row r="628" spans="3:24">
      <c r="C628" s="85"/>
      <c r="D628" s="62"/>
      <c r="E628" s="62"/>
      <c r="F628" s="55"/>
      <c r="G628" s="55"/>
      <c r="H628" s="55"/>
      <c r="I628" s="55"/>
      <c r="J628" s="55"/>
      <c r="K628" s="55"/>
      <c r="L628" s="55"/>
      <c r="M628" s="55"/>
      <c r="N628" s="55"/>
      <c r="U628" s="55"/>
      <c r="V628" s="86"/>
      <c r="X628" s="93"/>
    </row>
    <row r="629" spans="3:24">
      <c r="C629" s="85"/>
      <c r="D629" s="62"/>
      <c r="E629" s="62"/>
      <c r="F629" s="55"/>
      <c r="G629" s="55"/>
      <c r="H629" s="55"/>
      <c r="I629" s="55"/>
      <c r="J629" s="55"/>
      <c r="K629" s="55"/>
      <c r="L629" s="55"/>
      <c r="M629" s="55"/>
      <c r="N629" s="55"/>
      <c r="U629" s="55"/>
      <c r="V629" s="86"/>
      <c r="X629" s="93"/>
    </row>
    <row r="630" spans="3:24">
      <c r="C630" s="85"/>
      <c r="D630" s="62"/>
      <c r="E630" s="62"/>
      <c r="F630" s="55"/>
      <c r="G630" s="55"/>
      <c r="H630" s="55"/>
      <c r="I630" s="55"/>
      <c r="J630" s="55"/>
      <c r="K630" s="55"/>
      <c r="L630" s="55"/>
      <c r="M630" s="55"/>
      <c r="N630" s="55"/>
      <c r="U630" s="55"/>
      <c r="V630" s="86"/>
      <c r="X630" s="93"/>
    </row>
    <row r="631" spans="3:24">
      <c r="C631" s="85"/>
      <c r="D631" s="62"/>
      <c r="E631" s="62"/>
      <c r="F631" s="55"/>
      <c r="G631" s="55"/>
      <c r="H631" s="55"/>
      <c r="I631" s="55"/>
      <c r="J631" s="55"/>
      <c r="K631" s="55"/>
      <c r="L631" s="55"/>
      <c r="M631" s="55"/>
      <c r="N631" s="55"/>
      <c r="U631" s="55"/>
      <c r="V631" s="86"/>
      <c r="X631" s="93"/>
    </row>
    <row r="632" spans="3:24">
      <c r="C632" s="85"/>
      <c r="D632" s="62"/>
      <c r="E632" s="62"/>
      <c r="F632" s="55"/>
      <c r="G632" s="55"/>
      <c r="H632" s="55"/>
      <c r="I632" s="55"/>
      <c r="J632" s="55"/>
      <c r="K632" s="55"/>
      <c r="L632" s="55"/>
      <c r="M632" s="55"/>
      <c r="N632" s="55"/>
      <c r="U632" s="55"/>
      <c r="V632" s="86"/>
      <c r="X632" s="93"/>
    </row>
    <row r="633" spans="3:24">
      <c r="C633" s="85"/>
      <c r="D633" s="62"/>
      <c r="E633" s="62"/>
      <c r="F633" s="55"/>
      <c r="G633" s="55"/>
      <c r="H633" s="55"/>
      <c r="I633" s="55"/>
      <c r="J633" s="55"/>
      <c r="K633" s="55"/>
      <c r="L633" s="55"/>
      <c r="M633" s="55"/>
      <c r="N633" s="55"/>
      <c r="U633" s="55"/>
      <c r="V633" s="86"/>
      <c r="X633" s="93"/>
    </row>
    <row r="634" spans="3:24">
      <c r="C634" s="85"/>
      <c r="D634" s="62"/>
      <c r="E634" s="62"/>
      <c r="F634" s="55"/>
      <c r="G634" s="55"/>
      <c r="H634" s="55"/>
      <c r="I634" s="55"/>
      <c r="J634" s="55"/>
      <c r="K634" s="55"/>
      <c r="L634" s="55"/>
      <c r="M634" s="55"/>
      <c r="N634" s="55"/>
      <c r="U634" s="55"/>
      <c r="V634" s="86"/>
      <c r="X634" s="93"/>
    </row>
    <row r="635" spans="3:24">
      <c r="C635" s="85"/>
      <c r="D635" s="62"/>
      <c r="E635" s="62"/>
      <c r="F635" s="55"/>
      <c r="G635" s="55"/>
      <c r="H635" s="55"/>
      <c r="I635" s="55"/>
      <c r="J635" s="55"/>
      <c r="K635" s="55"/>
      <c r="L635" s="55"/>
      <c r="M635" s="55"/>
      <c r="N635" s="55"/>
      <c r="U635" s="55"/>
      <c r="V635" s="86"/>
      <c r="X635" s="93"/>
    </row>
    <row r="636" spans="3:24">
      <c r="C636" s="85"/>
      <c r="D636" s="62"/>
      <c r="E636" s="62"/>
      <c r="F636" s="55"/>
      <c r="G636" s="55"/>
      <c r="H636" s="55"/>
      <c r="I636" s="55"/>
      <c r="J636" s="55"/>
      <c r="K636" s="55"/>
      <c r="L636" s="55"/>
      <c r="M636" s="55"/>
      <c r="N636" s="55"/>
      <c r="U636" s="55"/>
      <c r="V636" s="86"/>
      <c r="X636" s="93"/>
    </row>
    <row r="637" spans="3:24">
      <c r="C637" s="85"/>
      <c r="D637" s="62"/>
      <c r="E637" s="62"/>
      <c r="F637" s="55"/>
      <c r="G637" s="55"/>
      <c r="H637" s="55"/>
      <c r="I637" s="55"/>
      <c r="J637" s="55"/>
      <c r="K637" s="55"/>
      <c r="L637" s="55"/>
      <c r="M637" s="55"/>
      <c r="N637" s="55"/>
      <c r="U637" s="55"/>
      <c r="V637" s="86"/>
      <c r="X637" s="93"/>
    </row>
    <row r="638" spans="3:24">
      <c r="C638" s="85"/>
      <c r="D638" s="62"/>
      <c r="E638" s="62"/>
      <c r="F638" s="55"/>
      <c r="G638" s="55"/>
      <c r="H638" s="55"/>
      <c r="I638" s="55"/>
      <c r="J638" s="55"/>
      <c r="K638" s="55"/>
      <c r="L638" s="55"/>
      <c r="M638" s="55"/>
      <c r="N638" s="55"/>
      <c r="U638" s="55"/>
      <c r="V638" s="86"/>
      <c r="X638" s="93"/>
    </row>
    <row r="639" spans="3:24">
      <c r="C639" s="85"/>
      <c r="D639" s="62"/>
      <c r="E639" s="62"/>
      <c r="F639" s="55"/>
      <c r="G639" s="55"/>
      <c r="H639" s="55"/>
      <c r="I639" s="55"/>
      <c r="J639" s="55"/>
      <c r="K639" s="55"/>
      <c r="L639" s="55"/>
      <c r="M639" s="55"/>
      <c r="N639" s="55"/>
      <c r="U639" s="55"/>
      <c r="V639" s="86"/>
      <c r="X639" s="93"/>
    </row>
    <row r="640" spans="3:24">
      <c r="C640" s="85"/>
      <c r="D640" s="62"/>
      <c r="E640" s="62"/>
      <c r="F640" s="55"/>
      <c r="G640" s="55"/>
      <c r="H640" s="55"/>
      <c r="I640" s="55"/>
      <c r="J640" s="55"/>
      <c r="K640" s="55"/>
      <c r="L640" s="55"/>
      <c r="M640" s="55"/>
      <c r="N640" s="55"/>
      <c r="U640" s="55"/>
      <c r="V640" s="86"/>
      <c r="X640" s="93"/>
    </row>
    <row r="641" spans="3:24">
      <c r="C641" s="85"/>
      <c r="D641" s="62"/>
      <c r="E641" s="62"/>
      <c r="F641" s="55"/>
      <c r="G641" s="55"/>
      <c r="H641" s="55"/>
      <c r="I641" s="55"/>
      <c r="J641" s="55"/>
      <c r="K641" s="55"/>
      <c r="L641" s="55"/>
      <c r="M641" s="55"/>
      <c r="N641" s="55"/>
      <c r="U641" s="55"/>
      <c r="V641" s="86"/>
      <c r="X641" s="93"/>
    </row>
    <row r="642" spans="3:24">
      <c r="C642" s="85"/>
      <c r="D642" s="62"/>
      <c r="E642" s="62"/>
      <c r="F642" s="55"/>
      <c r="G642" s="55"/>
      <c r="H642" s="55"/>
      <c r="I642" s="55"/>
      <c r="J642" s="55"/>
      <c r="K642" s="55"/>
      <c r="L642" s="55"/>
      <c r="M642" s="55"/>
      <c r="N642" s="55"/>
      <c r="U642" s="55"/>
      <c r="V642" s="86"/>
      <c r="X642" s="93"/>
    </row>
    <row r="643" spans="3:24">
      <c r="C643" s="85"/>
      <c r="D643" s="62"/>
      <c r="E643" s="62"/>
      <c r="F643" s="55"/>
      <c r="G643" s="55"/>
      <c r="H643" s="55"/>
      <c r="I643" s="55"/>
      <c r="J643" s="55"/>
      <c r="K643" s="55"/>
      <c r="L643" s="55"/>
      <c r="M643" s="55"/>
      <c r="N643" s="55"/>
      <c r="U643" s="55"/>
      <c r="V643" s="86"/>
      <c r="X643" s="93"/>
    </row>
    <row r="644" spans="3:24">
      <c r="C644" s="85"/>
      <c r="D644" s="62"/>
      <c r="E644" s="62"/>
      <c r="F644" s="55"/>
      <c r="G644" s="55"/>
      <c r="H644" s="55"/>
      <c r="I644" s="55"/>
      <c r="J644" s="55"/>
      <c r="K644" s="55"/>
      <c r="L644" s="55"/>
      <c r="M644" s="55"/>
      <c r="N644" s="55"/>
      <c r="U644" s="55"/>
      <c r="V644" s="86"/>
      <c r="X644" s="93"/>
    </row>
    <row r="645" spans="3:24">
      <c r="C645" s="85"/>
      <c r="D645" s="62"/>
      <c r="E645" s="62"/>
      <c r="F645" s="55"/>
      <c r="G645" s="55"/>
      <c r="H645" s="55"/>
      <c r="I645" s="55"/>
      <c r="J645" s="55"/>
      <c r="K645" s="55"/>
      <c r="L645" s="55"/>
      <c r="M645" s="55"/>
      <c r="N645" s="55"/>
      <c r="U645" s="55"/>
      <c r="V645" s="86"/>
      <c r="X645" s="93"/>
    </row>
    <row r="646" spans="3:24">
      <c r="C646" s="85"/>
      <c r="D646" s="62"/>
      <c r="E646" s="62"/>
      <c r="F646" s="55"/>
      <c r="G646" s="55"/>
      <c r="H646" s="55"/>
      <c r="I646" s="55"/>
      <c r="J646" s="55"/>
      <c r="K646" s="55"/>
      <c r="L646" s="55"/>
      <c r="M646" s="55"/>
      <c r="N646" s="55"/>
      <c r="U646" s="55"/>
      <c r="V646" s="86"/>
      <c r="X646" s="93"/>
    </row>
    <row r="647" spans="3:24">
      <c r="C647" s="85"/>
      <c r="D647" s="62"/>
      <c r="E647" s="62"/>
      <c r="F647" s="55"/>
      <c r="G647" s="55"/>
      <c r="H647" s="55"/>
      <c r="I647" s="55"/>
      <c r="J647" s="55"/>
      <c r="K647" s="55"/>
      <c r="L647" s="55"/>
      <c r="M647" s="55"/>
      <c r="N647" s="55"/>
      <c r="U647" s="55"/>
      <c r="V647" s="86"/>
      <c r="X647" s="93"/>
    </row>
    <row r="648" spans="3:24">
      <c r="C648" s="85"/>
      <c r="D648" s="62"/>
      <c r="E648" s="62"/>
      <c r="F648" s="55"/>
      <c r="G648" s="55"/>
      <c r="H648" s="55"/>
      <c r="I648" s="55"/>
      <c r="J648" s="55"/>
      <c r="K648" s="55"/>
      <c r="L648" s="55"/>
      <c r="M648" s="55"/>
      <c r="N648" s="55"/>
      <c r="U648" s="55"/>
      <c r="V648" s="86"/>
      <c r="X648" s="93"/>
    </row>
    <row r="649" spans="3:24">
      <c r="C649" s="85"/>
      <c r="D649" s="62"/>
      <c r="E649" s="62"/>
      <c r="F649" s="55"/>
      <c r="G649" s="55"/>
      <c r="H649" s="55"/>
      <c r="I649" s="55"/>
      <c r="J649" s="55"/>
      <c r="K649" s="55"/>
      <c r="L649" s="55"/>
      <c r="M649" s="55"/>
      <c r="N649" s="55"/>
      <c r="U649" s="55"/>
      <c r="V649" s="86"/>
      <c r="X649" s="93"/>
    </row>
    <row r="650" spans="3:24">
      <c r="C650" s="85"/>
      <c r="D650" s="62"/>
      <c r="E650" s="62"/>
      <c r="F650" s="55"/>
      <c r="G650" s="55"/>
      <c r="H650" s="55"/>
      <c r="I650" s="55"/>
      <c r="J650" s="55"/>
      <c r="K650" s="55"/>
      <c r="L650" s="55"/>
      <c r="M650" s="55"/>
      <c r="N650" s="55"/>
      <c r="U650" s="55"/>
      <c r="V650" s="86"/>
      <c r="X650" s="93"/>
    </row>
    <row r="651" spans="3:24">
      <c r="C651" s="85"/>
      <c r="D651" s="62"/>
      <c r="E651" s="62"/>
      <c r="F651" s="55"/>
      <c r="G651" s="55"/>
      <c r="H651" s="55"/>
      <c r="I651" s="55"/>
      <c r="J651" s="55"/>
      <c r="K651" s="55"/>
      <c r="L651" s="55"/>
      <c r="M651" s="55"/>
      <c r="N651" s="55"/>
      <c r="U651" s="55"/>
      <c r="V651" s="86"/>
      <c r="X651" s="93"/>
    </row>
    <row r="652" spans="3:24">
      <c r="C652" s="85"/>
      <c r="D652" s="62"/>
      <c r="E652" s="62"/>
      <c r="F652" s="55"/>
      <c r="G652" s="55"/>
      <c r="H652" s="55"/>
      <c r="I652" s="55"/>
      <c r="J652" s="55"/>
      <c r="K652" s="55"/>
      <c r="L652" s="55"/>
      <c r="M652" s="55"/>
      <c r="N652" s="55"/>
      <c r="U652" s="55"/>
      <c r="V652" s="86"/>
      <c r="X652" s="93"/>
    </row>
    <row r="653" spans="3:24">
      <c r="C653" s="85"/>
      <c r="D653" s="62"/>
      <c r="E653" s="62"/>
      <c r="F653" s="55"/>
      <c r="G653" s="55"/>
      <c r="H653" s="55"/>
      <c r="I653" s="55"/>
      <c r="J653" s="55"/>
      <c r="K653" s="55"/>
      <c r="L653" s="55"/>
      <c r="M653" s="55"/>
      <c r="N653" s="55"/>
      <c r="U653" s="55"/>
      <c r="V653" s="86"/>
      <c r="X653" s="93"/>
    </row>
    <row r="654" spans="3:24">
      <c r="C654" s="85"/>
      <c r="D654" s="62"/>
      <c r="E654" s="62"/>
      <c r="F654" s="55"/>
      <c r="G654" s="55"/>
      <c r="H654" s="55"/>
      <c r="I654" s="55"/>
      <c r="J654" s="55"/>
      <c r="K654" s="55"/>
      <c r="L654" s="55"/>
      <c r="M654" s="55"/>
      <c r="N654" s="55"/>
      <c r="U654" s="55"/>
      <c r="V654" s="86"/>
      <c r="X654" s="93"/>
    </row>
    <row r="655" spans="3:24">
      <c r="C655" s="85"/>
      <c r="D655" s="62"/>
      <c r="E655" s="62"/>
      <c r="F655" s="55"/>
      <c r="G655" s="55"/>
      <c r="H655" s="55"/>
      <c r="I655" s="55"/>
      <c r="J655" s="55"/>
      <c r="K655" s="55"/>
      <c r="L655" s="55"/>
      <c r="M655" s="55"/>
      <c r="N655" s="55"/>
      <c r="U655" s="55"/>
      <c r="V655" s="86"/>
      <c r="X655" s="93"/>
    </row>
    <row r="656" spans="3:24">
      <c r="C656" s="85"/>
      <c r="D656" s="62"/>
      <c r="E656" s="62"/>
      <c r="F656" s="55"/>
      <c r="G656" s="55"/>
      <c r="H656" s="55"/>
      <c r="I656" s="55"/>
      <c r="J656" s="55"/>
      <c r="K656" s="55"/>
      <c r="L656" s="55"/>
      <c r="M656" s="55"/>
      <c r="N656" s="55"/>
      <c r="U656" s="55"/>
      <c r="V656" s="86"/>
      <c r="X656" s="93"/>
    </row>
    <row r="657" spans="3:24">
      <c r="C657" s="85"/>
      <c r="D657" s="62"/>
      <c r="E657" s="62"/>
      <c r="F657" s="55"/>
      <c r="G657" s="55"/>
      <c r="H657" s="55"/>
      <c r="I657" s="55"/>
      <c r="J657" s="55"/>
      <c r="K657" s="55"/>
      <c r="L657" s="55"/>
      <c r="M657" s="55"/>
      <c r="N657" s="55"/>
      <c r="U657" s="55"/>
      <c r="V657" s="86"/>
      <c r="X657" s="93"/>
    </row>
    <row r="658" spans="3:24">
      <c r="C658" s="85"/>
      <c r="D658" s="62"/>
      <c r="E658" s="62"/>
      <c r="F658" s="55"/>
      <c r="G658" s="55"/>
      <c r="H658" s="55"/>
      <c r="I658" s="55"/>
      <c r="J658" s="55"/>
      <c r="K658" s="55"/>
      <c r="L658" s="55"/>
      <c r="M658" s="55"/>
      <c r="N658" s="55"/>
      <c r="U658" s="55"/>
      <c r="V658" s="86"/>
      <c r="X658" s="93"/>
    </row>
    <row r="659" spans="3:24">
      <c r="C659" s="85"/>
      <c r="D659" s="62"/>
      <c r="E659" s="62"/>
      <c r="F659" s="55"/>
      <c r="G659" s="55"/>
      <c r="H659" s="55"/>
      <c r="I659" s="55"/>
      <c r="J659" s="55"/>
      <c r="K659" s="55"/>
      <c r="L659" s="55"/>
      <c r="M659" s="55"/>
      <c r="N659" s="55"/>
      <c r="U659" s="55"/>
      <c r="V659" s="86"/>
      <c r="X659" s="93"/>
    </row>
    <row r="660" spans="3:24">
      <c r="C660" s="85"/>
      <c r="D660" s="62"/>
      <c r="E660" s="62"/>
      <c r="F660" s="55"/>
      <c r="G660" s="55"/>
      <c r="H660" s="55"/>
      <c r="I660" s="55"/>
      <c r="J660" s="55"/>
      <c r="K660" s="55"/>
      <c r="L660" s="55"/>
      <c r="M660" s="55"/>
      <c r="N660" s="55"/>
      <c r="U660" s="55"/>
      <c r="V660" s="86"/>
      <c r="X660" s="93"/>
    </row>
    <row r="661" spans="3:24">
      <c r="C661" s="85"/>
      <c r="D661" s="62"/>
      <c r="E661" s="62"/>
      <c r="F661" s="55"/>
      <c r="G661" s="55"/>
      <c r="H661" s="55"/>
      <c r="I661" s="55"/>
      <c r="J661" s="55"/>
      <c r="K661" s="55"/>
      <c r="L661" s="55"/>
      <c r="M661" s="55"/>
      <c r="N661" s="55"/>
      <c r="U661" s="55"/>
      <c r="V661" s="86"/>
      <c r="X661" s="93"/>
    </row>
    <row r="662" spans="3:24">
      <c r="C662" s="85"/>
      <c r="D662" s="62"/>
      <c r="E662" s="62"/>
      <c r="F662" s="55"/>
      <c r="G662" s="55"/>
      <c r="H662" s="55"/>
      <c r="I662" s="55"/>
      <c r="J662" s="55"/>
      <c r="K662" s="55"/>
      <c r="L662" s="55"/>
      <c r="M662" s="55"/>
      <c r="N662" s="55"/>
      <c r="U662" s="55"/>
      <c r="V662" s="86"/>
      <c r="X662" s="93"/>
    </row>
    <row r="663" spans="3:24">
      <c r="C663" s="85"/>
      <c r="D663" s="62"/>
      <c r="E663" s="62"/>
      <c r="F663" s="55"/>
      <c r="G663" s="55"/>
      <c r="H663" s="55"/>
      <c r="I663" s="55"/>
      <c r="J663" s="55"/>
      <c r="K663" s="55"/>
      <c r="L663" s="55"/>
      <c r="M663" s="55"/>
      <c r="N663" s="55"/>
      <c r="U663" s="55"/>
      <c r="V663" s="86"/>
      <c r="X663" s="93"/>
    </row>
    <row r="664" spans="3:24">
      <c r="C664" s="85"/>
      <c r="D664" s="62"/>
      <c r="E664" s="62"/>
      <c r="F664" s="55"/>
      <c r="G664" s="55"/>
      <c r="H664" s="55"/>
      <c r="I664" s="55"/>
      <c r="J664" s="55"/>
      <c r="K664" s="55"/>
      <c r="L664" s="55"/>
      <c r="M664" s="55"/>
      <c r="N664" s="55"/>
      <c r="U664" s="55"/>
      <c r="V664" s="86"/>
      <c r="X664" s="93"/>
    </row>
    <row r="665" spans="3:24">
      <c r="C665" s="85"/>
      <c r="D665" s="62"/>
      <c r="E665" s="62"/>
      <c r="F665" s="55"/>
      <c r="G665" s="55"/>
      <c r="H665" s="55"/>
      <c r="I665" s="55"/>
      <c r="J665" s="55"/>
      <c r="K665" s="55"/>
      <c r="L665" s="55"/>
      <c r="M665" s="55"/>
      <c r="N665" s="55"/>
      <c r="U665" s="55"/>
      <c r="V665" s="86"/>
      <c r="X665" s="93"/>
    </row>
    <row r="666" spans="3:24">
      <c r="C666" s="85"/>
      <c r="D666" s="62"/>
      <c r="E666" s="62"/>
      <c r="F666" s="55"/>
      <c r="G666" s="55"/>
      <c r="H666" s="55"/>
      <c r="I666" s="55"/>
      <c r="J666" s="55"/>
      <c r="K666" s="55"/>
      <c r="L666" s="55"/>
      <c r="M666" s="55"/>
      <c r="N666" s="55"/>
      <c r="U666" s="55"/>
      <c r="V666" s="86"/>
      <c r="X666" s="93"/>
    </row>
    <row r="667" spans="3:24">
      <c r="C667" s="85"/>
      <c r="D667" s="62"/>
      <c r="E667" s="62"/>
      <c r="F667" s="55"/>
      <c r="G667" s="55"/>
      <c r="H667" s="55"/>
      <c r="I667" s="55"/>
      <c r="J667" s="55"/>
      <c r="K667" s="55"/>
      <c r="L667" s="55"/>
      <c r="M667" s="55"/>
      <c r="N667" s="55"/>
      <c r="U667" s="55"/>
      <c r="V667" s="86"/>
      <c r="X667" s="93"/>
    </row>
    <row r="668" spans="3:24">
      <c r="C668" s="85"/>
      <c r="D668" s="62"/>
      <c r="E668" s="62"/>
      <c r="F668" s="55"/>
      <c r="G668" s="55"/>
      <c r="H668" s="55"/>
      <c r="I668" s="55"/>
      <c r="J668" s="55"/>
      <c r="K668" s="55"/>
      <c r="L668" s="55"/>
      <c r="M668" s="55"/>
      <c r="N668" s="55"/>
      <c r="U668" s="55"/>
      <c r="V668" s="86"/>
      <c r="X668" s="93"/>
    </row>
    <row r="669" spans="3:24">
      <c r="C669" s="85"/>
      <c r="D669" s="62"/>
      <c r="E669" s="62"/>
      <c r="F669" s="55"/>
      <c r="G669" s="55"/>
      <c r="H669" s="55"/>
      <c r="I669" s="55"/>
      <c r="J669" s="55"/>
      <c r="K669" s="55"/>
      <c r="L669" s="55"/>
      <c r="M669" s="55"/>
      <c r="N669" s="55"/>
      <c r="U669" s="55"/>
      <c r="V669" s="86"/>
      <c r="X669" s="93"/>
    </row>
    <row r="670" spans="3:24">
      <c r="C670" s="85"/>
      <c r="D670" s="62"/>
      <c r="E670" s="62"/>
      <c r="F670" s="55"/>
      <c r="G670" s="55"/>
      <c r="H670" s="55"/>
      <c r="I670" s="55"/>
      <c r="J670" s="55"/>
      <c r="K670" s="55"/>
      <c r="L670" s="55"/>
      <c r="M670" s="55"/>
      <c r="N670" s="55"/>
      <c r="U670" s="55"/>
      <c r="V670" s="86"/>
      <c r="X670" s="93"/>
    </row>
    <row r="671" spans="3:24">
      <c r="C671" s="85"/>
      <c r="D671" s="62"/>
      <c r="E671" s="62"/>
      <c r="F671" s="55"/>
      <c r="G671" s="55"/>
      <c r="H671" s="55"/>
      <c r="I671" s="55"/>
      <c r="J671" s="55"/>
      <c r="K671" s="55"/>
      <c r="L671" s="55"/>
      <c r="M671" s="55"/>
      <c r="N671" s="55"/>
      <c r="U671" s="55"/>
      <c r="V671" s="86"/>
      <c r="X671" s="93"/>
    </row>
    <row r="672" spans="3:24">
      <c r="C672" s="85"/>
      <c r="D672" s="62"/>
      <c r="E672" s="62"/>
      <c r="F672" s="55"/>
      <c r="G672" s="55"/>
      <c r="H672" s="55"/>
      <c r="I672" s="55"/>
      <c r="J672" s="55"/>
      <c r="K672" s="55"/>
      <c r="L672" s="55"/>
      <c r="M672" s="55"/>
      <c r="N672" s="55"/>
      <c r="U672" s="55"/>
      <c r="V672" s="86"/>
      <c r="X672" s="93"/>
    </row>
    <row r="673" spans="3:24">
      <c r="C673" s="85"/>
      <c r="D673" s="62"/>
      <c r="E673" s="62"/>
      <c r="F673" s="55"/>
      <c r="G673" s="55"/>
      <c r="H673" s="55"/>
      <c r="I673" s="55"/>
      <c r="J673" s="55"/>
      <c r="K673" s="55"/>
      <c r="L673" s="55"/>
      <c r="M673" s="55"/>
      <c r="N673" s="55"/>
      <c r="U673" s="55"/>
      <c r="V673" s="86"/>
      <c r="X673" s="93"/>
    </row>
    <row r="674" spans="3:24">
      <c r="C674" s="85"/>
      <c r="D674" s="62"/>
      <c r="E674" s="62"/>
      <c r="F674" s="55"/>
      <c r="G674" s="55"/>
      <c r="H674" s="55"/>
      <c r="I674" s="55"/>
      <c r="J674" s="55"/>
      <c r="K674" s="55"/>
      <c r="L674" s="55"/>
      <c r="M674" s="55"/>
      <c r="N674" s="55"/>
      <c r="U674" s="55"/>
      <c r="V674" s="86"/>
      <c r="X674" s="93"/>
    </row>
    <row r="675" spans="3:24">
      <c r="C675" s="85"/>
      <c r="D675" s="62"/>
      <c r="E675" s="62"/>
      <c r="F675" s="55"/>
      <c r="G675" s="55"/>
      <c r="H675" s="55"/>
      <c r="I675" s="55"/>
      <c r="J675" s="55"/>
      <c r="K675" s="55"/>
      <c r="L675" s="55"/>
      <c r="M675" s="55"/>
      <c r="N675" s="55"/>
      <c r="U675" s="55"/>
      <c r="V675" s="86"/>
      <c r="X675" s="93"/>
    </row>
    <row r="676" spans="3:24">
      <c r="C676" s="85"/>
      <c r="D676" s="62"/>
      <c r="E676" s="62"/>
      <c r="F676" s="55"/>
      <c r="G676" s="55"/>
      <c r="H676" s="55"/>
      <c r="I676" s="55"/>
      <c r="J676" s="55"/>
      <c r="K676" s="55"/>
      <c r="L676" s="55"/>
      <c r="M676" s="55"/>
      <c r="N676" s="55"/>
      <c r="U676" s="55"/>
      <c r="V676" s="86"/>
      <c r="X676" s="93"/>
    </row>
    <row r="677" spans="3:24">
      <c r="C677" s="85"/>
      <c r="D677" s="62"/>
      <c r="E677" s="62"/>
      <c r="F677" s="55"/>
      <c r="G677" s="55"/>
      <c r="H677" s="55"/>
      <c r="I677" s="55"/>
      <c r="J677" s="55"/>
      <c r="K677" s="55"/>
      <c r="L677" s="55"/>
      <c r="M677" s="55"/>
      <c r="N677" s="55"/>
      <c r="U677" s="55"/>
      <c r="V677" s="86"/>
      <c r="X677" s="93"/>
    </row>
    <row r="678" spans="3:24">
      <c r="C678" s="85"/>
      <c r="D678" s="62"/>
      <c r="E678" s="62"/>
      <c r="F678" s="55"/>
      <c r="G678" s="55"/>
      <c r="H678" s="55"/>
      <c r="I678" s="55"/>
      <c r="J678" s="55"/>
      <c r="K678" s="55"/>
      <c r="L678" s="55"/>
      <c r="M678" s="55"/>
      <c r="N678" s="55"/>
      <c r="U678" s="55"/>
      <c r="V678" s="86"/>
      <c r="X678" s="93"/>
    </row>
    <row r="679" spans="3:24">
      <c r="C679" s="85"/>
      <c r="D679" s="62"/>
      <c r="E679" s="62"/>
      <c r="F679" s="55"/>
      <c r="G679" s="55"/>
      <c r="H679" s="55"/>
      <c r="I679" s="55"/>
      <c r="J679" s="55"/>
      <c r="K679" s="55"/>
      <c r="L679" s="55"/>
      <c r="M679" s="55"/>
      <c r="N679" s="55"/>
      <c r="U679" s="55"/>
      <c r="V679" s="86"/>
      <c r="X679" s="93"/>
    </row>
    <row r="680" spans="3:24">
      <c r="C680" s="85"/>
      <c r="D680" s="62"/>
      <c r="E680" s="62"/>
      <c r="F680" s="55"/>
      <c r="G680" s="55"/>
      <c r="H680" s="55"/>
      <c r="I680" s="55"/>
      <c r="J680" s="55"/>
      <c r="K680" s="55"/>
      <c r="L680" s="55"/>
      <c r="M680" s="55"/>
      <c r="N680" s="55"/>
      <c r="U680" s="55"/>
      <c r="V680" s="86"/>
      <c r="X680" s="93"/>
    </row>
    <row r="681" spans="3:24">
      <c r="C681" s="85"/>
      <c r="D681" s="62"/>
      <c r="E681" s="62"/>
      <c r="F681" s="55"/>
      <c r="G681" s="55"/>
      <c r="H681" s="55"/>
      <c r="I681" s="55"/>
      <c r="J681" s="55"/>
      <c r="K681" s="55"/>
      <c r="L681" s="55"/>
      <c r="M681" s="55"/>
      <c r="N681" s="55"/>
      <c r="U681" s="55"/>
      <c r="V681" s="86"/>
      <c r="X681" s="93"/>
    </row>
    <row r="682" spans="3:24">
      <c r="C682" s="85"/>
      <c r="D682" s="62"/>
      <c r="E682" s="62"/>
      <c r="F682" s="55"/>
      <c r="G682" s="55"/>
      <c r="H682" s="55"/>
      <c r="I682" s="55"/>
      <c r="J682" s="55"/>
      <c r="K682" s="55"/>
      <c r="L682" s="55"/>
      <c r="M682" s="55"/>
      <c r="N682" s="55"/>
      <c r="U682" s="55"/>
      <c r="V682" s="86"/>
      <c r="X682" s="93"/>
    </row>
    <row r="683" spans="3:24">
      <c r="C683" s="85"/>
      <c r="D683" s="62"/>
      <c r="E683" s="62"/>
      <c r="F683" s="55"/>
      <c r="G683" s="55"/>
      <c r="H683" s="55"/>
      <c r="I683" s="55"/>
      <c r="J683" s="55"/>
      <c r="K683" s="55"/>
      <c r="L683" s="55"/>
      <c r="M683" s="55"/>
      <c r="N683" s="55"/>
      <c r="U683" s="55"/>
      <c r="V683" s="86"/>
      <c r="X683" s="93"/>
    </row>
    <row r="684" spans="3:24">
      <c r="C684" s="85"/>
      <c r="D684" s="62"/>
      <c r="E684" s="62"/>
      <c r="F684" s="55"/>
      <c r="G684" s="55"/>
      <c r="H684" s="55"/>
      <c r="I684" s="55"/>
      <c r="J684" s="55"/>
      <c r="K684" s="55"/>
      <c r="L684" s="55"/>
      <c r="M684" s="55"/>
      <c r="N684" s="55"/>
      <c r="U684" s="55"/>
      <c r="V684" s="86"/>
      <c r="X684" s="93"/>
    </row>
    <row r="685" spans="3:24">
      <c r="C685" s="85"/>
      <c r="D685" s="62"/>
      <c r="E685" s="62"/>
      <c r="F685" s="55"/>
      <c r="G685" s="55"/>
      <c r="H685" s="55"/>
      <c r="I685" s="55"/>
      <c r="J685" s="55"/>
      <c r="K685" s="55"/>
      <c r="L685" s="55"/>
      <c r="M685" s="55"/>
      <c r="N685" s="55"/>
      <c r="U685" s="55"/>
      <c r="V685" s="86"/>
      <c r="X685" s="93"/>
    </row>
    <row r="686" spans="3:24">
      <c r="C686" s="85"/>
      <c r="D686" s="62"/>
      <c r="E686" s="62"/>
      <c r="F686" s="55"/>
      <c r="G686" s="55"/>
      <c r="H686" s="55"/>
      <c r="I686" s="55"/>
      <c r="J686" s="55"/>
      <c r="K686" s="55"/>
      <c r="L686" s="55"/>
      <c r="M686" s="55"/>
      <c r="N686" s="55"/>
      <c r="U686" s="55"/>
      <c r="V686" s="86"/>
      <c r="X686" s="93"/>
    </row>
    <row r="687" spans="3:24">
      <c r="C687" s="85"/>
      <c r="D687" s="62"/>
      <c r="E687" s="62"/>
      <c r="F687" s="55"/>
      <c r="G687" s="55"/>
      <c r="H687" s="55"/>
      <c r="I687" s="55"/>
      <c r="J687" s="55"/>
      <c r="K687" s="55"/>
      <c r="L687" s="55"/>
      <c r="M687" s="55"/>
      <c r="N687" s="55"/>
      <c r="U687" s="55"/>
      <c r="V687" s="86"/>
      <c r="X687" s="93"/>
    </row>
    <row r="688" spans="3:24">
      <c r="C688" s="85"/>
      <c r="D688" s="62"/>
      <c r="E688" s="62"/>
      <c r="F688" s="55"/>
      <c r="G688" s="55"/>
      <c r="H688" s="55"/>
      <c r="I688" s="55"/>
      <c r="J688" s="55"/>
      <c r="K688" s="55"/>
      <c r="L688" s="55"/>
      <c r="M688" s="55"/>
      <c r="N688" s="55"/>
      <c r="U688" s="55"/>
      <c r="V688" s="86"/>
      <c r="X688" s="93"/>
    </row>
    <row r="689" spans="3:24">
      <c r="C689" s="85"/>
      <c r="D689" s="62"/>
      <c r="E689" s="62"/>
      <c r="F689" s="55"/>
      <c r="G689" s="55"/>
      <c r="H689" s="55"/>
      <c r="I689" s="55"/>
      <c r="J689" s="55"/>
      <c r="K689" s="55"/>
      <c r="L689" s="55"/>
      <c r="M689" s="55"/>
      <c r="N689" s="55"/>
      <c r="U689" s="55"/>
      <c r="V689" s="86"/>
      <c r="X689" s="93"/>
    </row>
    <row r="690" spans="3:24">
      <c r="C690" s="85"/>
      <c r="D690" s="62"/>
      <c r="E690" s="62"/>
      <c r="F690" s="55"/>
      <c r="G690" s="55"/>
      <c r="H690" s="55"/>
      <c r="I690" s="55"/>
      <c r="J690" s="55"/>
      <c r="K690" s="55"/>
      <c r="L690" s="55"/>
      <c r="M690" s="55"/>
      <c r="N690" s="55"/>
      <c r="U690" s="55"/>
      <c r="V690" s="86"/>
      <c r="X690" s="93"/>
    </row>
    <row r="691" spans="3:24">
      <c r="C691" s="85"/>
      <c r="D691" s="62"/>
      <c r="E691" s="62"/>
      <c r="F691" s="55"/>
      <c r="G691" s="55"/>
      <c r="H691" s="55"/>
      <c r="I691" s="55"/>
      <c r="J691" s="55"/>
      <c r="K691" s="55"/>
      <c r="L691" s="55"/>
      <c r="M691" s="55"/>
      <c r="N691" s="55"/>
      <c r="U691" s="55"/>
      <c r="V691" s="86"/>
      <c r="X691" s="93"/>
    </row>
    <row r="692" spans="3:24">
      <c r="C692" s="85"/>
      <c r="D692" s="62"/>
      <c r="E692" s="62"/>
      <c r="F692" s="55"/>
      <c r="G692" s="55"/>
      <c r="H692" s="55"/>
      <c r="I692" s="55"/>
      <c r="J692" s="55"/>
      <c r="K692" s="55"/>
      <c r="L692" s="55"/>
      <c r="M692" s="55"/>
      <c r="N692" s="55"/>
      <c r="U692" s="55"/>
      <c r="V692" s="86"/>
      <c r="X692" s="93"/>
    </row>
    <row r="693" spans="3:24">
      <c r="C693" s="85"/>
      <c r="D693" s="62"/>
      <c r="E693" s="62"/>
      <c r="F693" s="55"/>
      <c r="G693" s="55"/>
      <c r="H693" s="55"/>
      <c r="I693" s="55"/>
      <c r="J693" s="55"/>
      <c r="K693" s="55"/>
      <c r="L693" s="55"/>
      <c r="M693" s="55"/>
      <c r="N693" s="55"/>
      <c r="U693" s="55"/>
      <c r="V693" s="86"/>
      <c r="X693" s="93"/>
    </row>
    <row r="694" spans="3:24">
      <c r="C694" s="85"/>
      <c r="D694" s="62"/>
      <c r="E694" s="62"/>
      <c r="F694" s="55"/>
      <c r="G694" s="55"/>
      <c r="H694" s="55"/>
      <c r="I694" s="55"/>
      <c r="J694" s="55"/>
      <c r="K694" s="55"/>
      <c r="L694" s="55"/>
      <c r="M694" s="55"/>
      <c r="N694" s="55"/>
      <c r="U694" s="55"/>
      <c r="V694" s="86"/>
      <c r="X694" s="93"/>
    </row>
    <row r="695" spans="3:24">
      <c r="C695" s="85"/>
      <c r="D695" s="62"/>
      <c r="E695" s="62"/>
      <c r="F695" s="55"/>
      <c r="G695" s="55"/>
      <c r="H695" s="55"/>
      <c r="I695" s="55"/>
      <c r="J695" s="55"/>
      <c r="K695" s="55"/>
      <c r="L695" s="55"/>
      <c r="M695" s="55"/>
      <c r="N695" s="55"/>
      <c r="U695" s="55"/>
      <c r="V695" s="86"/>
      <c r="X695" s="93"/>
    </row>
    <row r="696" spans="3:24">
      <c r="C696" s="85"/>
      <c r="D696" s="62"/>
      <c r="E696" s="62"/>
      <c r="F696" s="55"/>
      <c r="G696" s="55"/>
      <c r="H696" s="55"/>
      <c r="I696" s="55"/>
      <c r="J696" s="55"/>
      <c r="K696" s="55"/>
      <c r="L696" s="55"/>
      <c r="M696" s="55"/>
      <c r="N696" s="55"/>
      <c r="U696" s="55"/>
      <c r="V696" s="86"/>
      <c r="X696" s="93"/>
    </row>
    <row r="697" spans="3:24">
      <c r="C697" s="85"/>
      <c r="D697" s="62"/>
      <c r="E697" s="62"/>
      <c r="F697" s="55"/>
      <c r="G697" s="55"/>
      <c r="H697" s="55"/>
      <c r="I697" s="55"/>
      <c r="J697" s="55"/>
      <c r="K697" s="55"/>
      <c r="L697" s="55"/>
      <c r="M697" s="55"/>
      <c r="N697" s="55"/>
      <c r="U697" s="55"/>
      <c r="V697" s="86"/>
      <c r="X697" s="93"/>
    </row>
    <row r="698" spans="3:24">
      <c r="C698" s="85"/>
      <c r="D698" s="62"/>
      <c r="E698" s="62"/>
      <c r="F698" s="55"/>
      <c r="G698" s="55"/>
      <c r="H698" s="55"/>
      <c r="I698" s="55"/>
      <c r="J698" s="55"/>
      <c r="K698" s="55"/>
      <c r="L698" s="55"/>
      <c r="M698" s="55"/>
      <c r="N698" s="55"/>
      <c r="U698" s="55"/>
      <c r="V698" s="86"/>
      <c r="X698" s="93"/>
    </row>
    <row r="699" spans="3:24">
      <c r="C699" s="85"/>
      <c r="D699" s="62"/>
      <c r="E699" s="62"/>
      <c r="F699" s="55"/>
      <c r="G699" s="55"/>
      <c r="H699" s="55"/>
      <c r="I699" s="55"/>
      <c r="J699" s="55"/>
      <c r="K699" s="55"/>
      <c r="L699" s="55"/>
      <c r="M699" s="55"/>
      <c r="N699" s="55"/>
      <c r="U699" s="55"/>
      <c r="V699" s="86"/>
      <c r="X699" s="93"/>
    </row>
    <row r="700" spans="3:24">
      <c r="C700" s="85"/>
      <c r="D700" s="62"/>
      <c r="E700" s="62"/>
      <c r="F700" s="55"/>
      <c r="G700" s="55"/>
      <c r="H700" s="55"/>
      <c r="I700" s="55"/>
      <c r="J700" s="55"/>
      <c r="K700" s="55"/>
      <c r="L700" s="55"/>
      <c r="M700" s="55"/>
      <c r="N700" s="55"/>
      <c r="U700" s="55"/>
      <c r="V700" s="86"/>
      <c r="X700" s="93"/>
    </row>
    <row r="701" spans="3:24">
      <c r="C701" s="85"/>
      <c r="D701" s="62"/>
      <c r="E701" s="62"/>
      <c r="F701" s="55"/>
      <c r="G701" s="55"/>
      <c r="H701" s="55"/>
      <c r="I701" s="55"/>
      <c r="J701" s="55"/>
      <c r="K701" s="55"/>
      <c r="L701" s="55"/>
      <c r="M701" s="55"/>
      <c r="N701" s="55"/>
      <c r="U701" s="55"/>
      <c r="V701" s="86"/>
      <c r="X701" s="93"/>
    </row>
    <row r="702" spans="3:24">
      <c r="C702" s="85"/>
      <c r="D702" s="62"/>
      <c r="E702" s="62"/>
      <c r="F702" s="55"/>
      <c r="G702" s="55"/>
      <c r="H702" s="55"/>
      <c r="I702" s="55"/>
      <c r="J702" s="55"/>
      <c r="K702" s="55"/>
      <c r="L702" s="55"/>
      <c r="M702" s="55"/>
      <c r="N702" s="55"/>
      <c r="U702" s="55"/>
      <c r="V702" s="86"/>
      <c r="X702" s="93"/>
    </row>
    <row r="703" spans="3:24">
      <c r="C703" s="85"/>
      <c r="D703" s="62"/>
      <c r="E703" s="62"/>
      <c r="F703" s="55"/>
      <c r="G703" s="55"/>
      <c r="H703" s="55"/>
      <c r="I703" s="55"/>
      <c r="J703" s="55"/>
      <c r="K703" s="55"/>
      <c r="L703" s="55"/>
      <c r="M703" s="55"/>
      <c r="N703" s="55"/>
      <c r="U703" s="55"/>
      <c r="V703" s="86"/>
      <c r="X703" s="93"/>
    </row>
    <row r="704" spans="3:24">
      <c r="C704" s="85"/>
      <c r="D704" s="62"/>
      <c r="E704" s="62"/>
      <c r="F704" s="55"/>
      <c r="G704" s="55"/>
      <c r="H704" s="55"/>
      <c r="I704" s="55"/>
      <c r="J704" s="55"/>
      <c r="K704" s="55"/>
      <c r="L704" s="55"/>
      <c r="M704" s="55"/>
      <c r="N704" s="55"/>
      <c r="U704" s="55"/>
      <c r="V704" s="86"/>
      <c r="X704" s="93"/>
    </row>
    <row r="705" spans="3:24">
      <c r="C705" s="85"/>
      <c r="D705" s="62"/>
      <c r="E705" s="62"/>
      <c r="F705" s="55"/>
      <c r="G705" s="55"/>
      <c r="H705" s="55"/>
      <c r="I705" s="55"/>
      <c r="J705" s="55"/>
      <c r="K705" s="55"/>
      <c r="L705" s="55"/>
      <c r="M705" s="55"/>
      <c r="N705" s="55"/>
      <c r="U705" s="55"/>
      <c r="V705" s="86"/>
      <c r="X705" s="93"/>
    </row>
    <row r="706" spans="3:24">
      <c r="C706" s="85"/>
      <c r="D706" s="62"/>
      <c r="E706" s="62"/>
      <c r="F706" s="55"/>
      <c r="G706" s="55"/>
      <c r="H706" s="55"/>
      <c r="I706" s="55"/>
      <c r="J706" s="55"/>
      <c r="K706" s="55"/>
      <c r="L706" s="55"/>
      <c r="M706" s="55"/>
      <c r="N706" s="55"/>
      <c r="U706" s="55"/>
      <c r="V706" s="86"/>
      <c r="X706" s="93"/>
    </row>
    <row r="707" spans="3:24">
      <c r="C707" s="85"/>
      <c r="D707" s="62"/>
      <c r="E707" s="62"/>
      <c r="F707" s="55"/>
      <c r="G707" s="55"/>
      <c r="H707" s="55"/>
      <c r="I707" s="55"/>
      <c r="J707" s="55"/>
      <c r="K707" s="55"/>
      <c r="L707" s="55"/>
      <c r="M707" s="55"/>
      <c r="N707" s="55"/>
      <c r="U707" s="55"/>
      <c r="V707" s="86"/>
      <c r="X707" s="93"/>
    </row>
    <row r="708" spans="3:24">
      <c r="C708" s="85"/>
      <c r="D708" s="62"/>
      <c r="E708" s="62"/>
      <c r="F708" s="55"/>
      <c r="G708" s="55"/>
      <c r="H708" s="55"/>
      <c r="I708" s="55"/>
      <c r="J708" s="55"/>
      <c r="K708" s="55"/>
      <c r="L708" s="55"/>
      <c r="M708" s="55"/>
      <c r="N708" s="55"/>
      <c r="U708" s="55"/>
      <c r="V708" s="86"/>
      <c r="X708" s="93"/>
    </row>
    <row r="709" spans="3:24">
      <c r="C709" s="85"/>
      <c r="D709" s="62"/>
      <c r="E709" s="62"/>
      <c r="F709" s="55"/>
      <c r="G709" s="55"/>
      <c r="H709" s="55"/>
      <c r="I709" s="55"/>
      <c r="J709" s="55"/>
      <c r="K709" s="55"/>
      <c r="L709" s="55"/>
      <c r="M709" s="55"/>
      <c r="N709" s="55"/>
      <c r="U709" s="55"/>
      <c r="V709" s="86"/>
      <c r="X709" s="93"/>
    </row>
    <row r="710" spans="3:24">
      <c r="C710" s="85"/>
      <c r="D710" s="62"/>
      <c r="E710" s="62"/>
      <c r="F710" s="55"/>
      <c r="G710" s="55"/>
      <c r="H710" s="55"/>
      <c r="I710" s="55"/>
      <c r="J710" s="55"/>
      <c r="K710" s="55"/>
      <c r="L710" s="55"/>
      <c r="M710" s="55"/>
      <c r="N710" s="55"/>
      <c r="U710" s="55"/>
      <c r="V710" s="86"/>
      <c r="X710" s="93"/>
    </row>
    <row r="711" spans="3:24">
      <c r="C711" s="85"/>
      <c r="D711" s="62"/>
      <c r="E711" s="62"/>
      <c r="F711" s="55"/>
      <c r="G711" s="55"/>
      <c r="H711" s="55"/>
      <c r="I711" s="55"/>
      <c r="J711" s="55"/>
      <c r="K711" s="55"/>
      <c r="L711" s="55"/>
      <c r="M711" s="55"/>
      <c r="N711" s="55"/>
      <c r="U711" s="55"/>
      <c r="V711" s="86"/>
      <c r="X711" s="93"/>
    </row>
    <row r="712" spans="3:24">
      <c r="C712" s="85"/>
      <c r="D712" s="62"/>
      <c r="E712" s="62"/>
      <c r="F712" s="55"/>
      <c r="G712" s="55"/>
      <c r="H712" s="55"/>
      <c r="I712" s="55"/>
      <c r="J712" s="55"/>
      <c r="K712" s="55"/>
      <c r="L712" s="55"/>
      <c r="M712" s="55"/>
      <c r="N712" s="55"/>
      <c r="U712" s="55"/>
      <c r="V712" s="86"/>
      <c r="X712" s="93"/>
    </row>
    <row r="713" spans="3:24">
      <c r="C713" s="85"/>
      <c r="D713" s="62"/>
      <c r="E713" s="62"/>
      <c r="F713" s="55"/>
      <c r="G713" s="55"/>
      <c r="H713" s="55"/>
      <c r="I713" s="55"/>
      <c r="J713" s="55"/>
      <c r="K713" s="55"/>
      <c r="L713" s="55"/>
      <c r="M713" s="55"/>
      <c r="N713" s="55"/>
      <c r="U713" s="55"/>
      <c r="V713" s="86"/>
      <c r="X713" s="93"/>
    </row>
    <row r="714" spans="3:24">
      <c r="C714" s="85"/>
      <c r="D714" s="62"/>
      <c r="E714" s="62"/>
      <c r="F714" s="55"/>
      <c r="G714" s="55"/>
      <c r="H714" s="55"/>
      <c r="I714" s="55"/>
      <c r="J714" s="55"/>
      <c r="K714" s="55"/>
      <c r="L714" s="55"/>
      <c r="M714" s="55"/>
      <c r="N714" s="55"/>
      <c r="U714" s="55"/>
      <c r="V714" s="86"/>
      <c r="X714" s="93"/>
    </row>
    <row r="715" spans="3:24">
      <c r="C715" s="85"/>
      <c r="D715" s="62"/>
      <c r="E715" s="62"/>
      <c r="F715" s="55"/>
      <c r="G715" s="55"/>
      <c r="H715" s="55"/>
      <c r="I715" s="55"/>
      <c r="J715" s="55"/>
      <c r="K715" s="55"/>
      <c r="L715" s="55"/>
      <c r="M715" s="55"/>
      <c r="N715" s="55"/>
      <c r="U715" s="55"/>
      <c r="V715" s="86"/>
      <c r="X715" s="93"/>
    </row>
    <row r="716" spans="3:24">
      <c r="C716" s="85"/>
      <c r="D716" s="62"/>
      <c r="E716" s="62"/>
      <c r="F716" s="55"/>
      <c r="G716" s="55"/>
      <c r="H716" s="55"/>
      <c r="I716" s="55"/>
      <c r="J716" s="55"/>
      <c r="K716" s="55"/>
      <c r="L716" s="55"/>
      <c r="M716" s="55"/>
      <c r="N716" s="55"/>
      <c r="U716" s="55"/>
      <c r="V716" s="86"/>
      <c r="X716" s="93"/>
    </row>
    <row r="717" spans="3:24">
      <c r="C717" s="85"/>
      <c r="D717" s="62"/>
      <c r="E717" s="62"/>
      <c r="F717" s="55"/>
      <c r="G717" s="55"/>
      <c r="H717" s="55"/>
      <c r="I717" s="55"/>
      <c r="J717" s="55"/>
      <c r="K717" s="55"/>
      <c r="L717" s="55"/>
      <c r="M717" s="55"/>
      <c r="N717" s="55"/>
      <c r="U717" s="55"/>
      <c r="V717" s="86"/>
      <c r="X717" s="93"/>
    </row>
    <row r="718" spans="3:24">
      <c r="C718" s="85"/>
      <c r="D718" s="62"/>
      <c r="E718" s="62"/>
      <c r="F718" s="55"/>
      <c r="G718" s="55"/>
      <c r="H718" s="55"/>
      <c r="I718" s="55"/>
      <c r="J718" s="55"/>
      <c r="K718" s="55"/>
      <c r="L718" s="55"/>
      <c r="M718" s="55"/>
      <c r="N718" s="55"/>
      <c r="U718" s="55"/>
      <c r="V718" s="86"/>
      <c r="X718" s="93"/>
    </row>
    <row r="719" spans="3:24">
      <c r="C719" s="85"/>
      <c r="D719" s="62"/>
      <c r="E719" s="62"/>
      <c r="F719" s="55"/>
      <c r="G719" s="55"/>
      <c r="H719" s="55"/>
      <c r="I719" s="55"/>
      <c r="J719" s="55"/>
      <c r="K719" s="55"/>
      <c r="L719" s="55"/>
      <c r="M719" s="55"/>
      <c r="N719" s="55"/>
      <c r="U719" s="55"/>
      <c r="V719" s="86"/>
      <c r="X719" s="93"/>
    </row>
    <row r="720" spans="3:24">
      <c r="C720" s="85"/>
      <c r="D720" s="62"/>
      <c r="E720" s="62"/>
      <c r="F720" s="55"/>
      <c r="G720" s="55"/>
      <c r="H720" s="55"/>
      <c r="I720" s="55"/>
      <c r="J720" s="55"/>
      <c r="K720" s="55"/>
      <c r="L720" s="55"/>
      <c r="M720" s="55"/>
      <c r="N720" s="55"/>
      <c r="U720" s="55"/>
      <c r="V720" s="86"/>
      <c r="X720" s="93"/>
    </row>
    <row r="721" spans="3:24">
      <c r="C721" s="85"/>
      <c r="D721" s="62"/>
      <c r="E721" s="62"/>
      <c r="F721" s="55"/>
      <c r="G721" s="55"/>
      <c r="H721" s="55"/>
      <c r="I721" s="55"/>
      <c r="J721" s="55"/>
      <c r="K721" s="55"/>
      <c r="L721" s="55"/>
      <c r="M721" s="55"/>
      <c r="N721" s="55"/>
      <c r="U721" s="55"/>
      <c r="V721" s="86"/>
      <c r="X721" s="93"/>
    </row>
    <row r="722" spans="3:24">
      <c r="C722" s="85"/>
      <c r="D722" s="62"/>
      <c r="E722" s="62"/>
      <c r="F722" s="55"/>
      <c r="G722" s="55"/>
      <c r="H722" s="55"/>
      <c r="I722" s="55"/>
      <c r="J722" s="55"/>
      <c r="K722" s="55"/>
      <c r="L722" s="55"/>
      <c r="M722" s="55"/>
      <c r="N722" s="55"/>
      <c r="U722" s="55"/>
      <c r="V722" s="86"/>
      <c r="X722" s="93"/>
    </row>
    <row r="723" spans="3:24">
      <c r="C723" s="85"/>
      <c r="D723" s="62"/>
      <c r="E723" s="62"/>
      <c r="F723" s="55"/>
      <c r="G723" s="55"/>
      <c r="H723" s="55"/>
      <c r="I723" s="55"/>
      <c r="J723" s="55"/>
      <c r="K723" s="55"/>
      <c r="L723" s="55"/>
      <c r="M723" s="55"/>
      <c r="N723" s="55"/>
      <c r="U723" s="55"/>
      <c r="V723" s="86"/>
      <c r="X723" s="93"/>
    </row>
    <row r="724" spans="3:24">
      <c r="C724" s="85"/>
      <c r="D724" s="62"/>
      <c r="E724" s="62"/>
      <c r="F724" s="55"/>
      <c r="G724" s="55"/>
      <c r="H724" s="55"/>
      <c r="I724" s="55"/>
      <c r="J724" s="55"/>
      <c r="K724" s="55"/>
      <c r="L724" s="55"/>
      <c r="M724" s="55"/>
      <c r="N724" s="55"/>
      <c r="U724" s="55"/>
      <c r="V724" s="86"/>
      <c r="X724" s="93"/>
    </row>
    <row r="725" spans="3:24">
      <c r="C725" s="85"/>
      <c r="D725" s="62"/>
      <c r="E725" s="62"/>
      <c r="F725" s="55"/>
      <c r="G725" s="55"/>
      <c r="H725" s="55"/>
      <c r="I725" s="55"/>
      <c r="J725" s="55"/>
      <c r="K725" s="55"/>
      <c r="L725" s="55"/>
      <c r="M725" s="55"/>
      <c r="N725" s="55"/>
      <c r="U725" s="55"/>
      <c r="V725" s="86"/>
      <c r="X725" s="93"/>
    </row>
    <row r="726" spans="3:24">
      <c r="C726" s="85"/>
      <c r="D726" s="62"/>
      <c r="E726" s="62"/>
      <c r="F726" s="55"/>
      <c r="G726" s="55"/>
      <c r="H726" s="55"/>
      <c r="I726" s="55"/>
      <c r="J726" s="55"/>
      <c r="K726" s="55"/>
      <c r="L726" s="55"/>
      <c r="M726" s="55"/>
      <c r="N726" s="55"/>
      <c r="U726" s="55"/>
      <c r="V726" s="86"/>
      <c r="X726" s="93"/>
    </row>
    <row r="727" spans="3:24">
      <c r="C727" s="85"/>
      <c r="D727" s="62"/>
      <c r="E727" s="62"/>
      <c r="F727" s="55"/>
      <c r="G727" s="55"/>
      <c r="H727" s="55"/>
      <c r="I727" s="55"/>
      <c r="J727" s="55"/>
      <c r="K727" s="55"/>
      <c r="L727" s="55"/>
      <c r="M727" s="55"/>
      <c r="N727" s="55"/>
      <c r="U727" s="55"/>
      <c r="V727" s="86"/>
      <c r="X727" s="93"/>
    </row>
    <row r="728" spans="3:24">
      <c r="C728" s="85"/>
      <c r="D728" s="62"/>
      <c r="E728" s="62"/>
      <c r="F728" s="55"/>
      <c r="G728" s="55"/>
      <c r="H728" s="55"/>
      <c r="I728" s="55"/>
      <c r="J728" s="55"/>
      <c r="K728" s="55"/>
      <c r="L728" s="55"/>
      <c r="M728" s="55"/>
      <c r="N728" s="55"/>
      <c r="U728" s="55"/>
      <c r="V728" s="86"/>
      <c r="X728" s="93"/>
    </row>
    <row r="729" spans="3:24">
      <c r="C729" s="85"/>
      <c r="D729" s="62"/>
      <c r="E729" s="62"/>
      <c r="F729" s="55"/>
      <c r="G729" s="55"/>
      <c r="H729" s="55"/>
      <c r="I729" s="55"/>
      <c r="J729" s="55"/>
      <c r="K729" s="55"/>
      <c r="L729" s="55"/>
      <c r="M729" s="55"/>
      <c r="N729" s="55"/>
      <c r="U729" s="55"/>
      <c r="V729" s="86"/>
      <c r="X729" s="93"/>
    </row>
    <row r="730" spans="3:24">
      <c r="C730" s="85"/>
      <c r="D730" s="62"/>
      <c r="E730" s="62"/>
      <c r="F730" s="55"/>
      <c r="G730" s="55"/>
      <c r="H730" s="55"/>
      <c r="I730" s="55"/>
      <c r="J730" s="55"/>
      <c r="K730" s="55"/>
      <c r="L730" s="55"/>
      <c r="M730" s="55"/>
      <c r="N730" s="55"/>
      <c r="U730" s="55"/>
      <c r="V730" s="86"/>
      <c r="X730" s="93"/>
    </row>
    <row r="731" spans="3:24">
      <c r="C731" s="85"/>
      <c r="D731" s="62"/>
      <c r="E731" s="62"/>
      <c r="F731" s="55"/>
      <c r="G731" s="55"/>
      <c r="H731" s="55"/>
      <c r="I731" s="55"/>
      <c r="J731" s="55"/>
      <c r="K731" s="55"/>
      <c r="L731" s="55"/>
      <c r="M731" s="55"/>
      <c r="N731" s="55"/>
      <c r="U731" s="55"/>
      <c r="V731" s="86"/>
      <c r="X731" s="93"/>
    </row>
    <row r="732" spans="3:24">
      <c r="C732" s="85"/>
      <c r="D732" s="62"/>
      <c r="E732" s="62"/>
      <c r="F732" s="55"/>
      <c r="G732" s="55"/>
      <c r="H732" s="55"/>
      <c r="I732" s="55"/>
      <c r="J732" s="55"/>
      <c r="K732" s="55"/>
      <c r="L732" s="55"/>
      <c r="M732" s="55"/>
      <c r="N732" s="55"/>
      <c r="U732" s="55"/>
      <c r="V732" s="86"/>
      <c r="X732" s="93"/>
    </row>
    <row r="733" spans="3:24">
      <c r="C733" s="85"/>
      <c r="D733" s="62"/>
      <c r="E733" s="62"/>
      <c r="F733" s="55"/>
      <c r="G733" s="55"/>
      <c r="H733" s="55"/>
      <c r="I733" s="55"/>
      <c r="J733" s="55"/>
      <c r="K733" s="55"/>
      <c r="L733" s="55"/>
      <c r="M733" s="55"/>
      <c r="N733" s="55"/>
      <c r="U733" s="55"/>
      <c r="V733" s="86"/>
      <c r="X733" s="93"/>
    </row>
    <row r="734" spans="3:24">
      <c r="C734" s="85"/>
      <c r="D734" s="62"/>
      <c r="E734" s="62"/>
      <c r="F734" s="55"/>
      <c r="G734" s="55"/>
      <c r="H734" s="55"/>
      <c r="I734" s="55"/>
      <c r="J734" s="55"/>
      <c r="K734" s="55"/>
      <c r="L734" s="55"/>
      <c r="M734" s="55"/>
      <c r="N734" s="55"/>
      <c r="U734" s="55"/>
      <c r="V734" s="86"/>
      <c r="X734" s="93"/>
    </row>
    <row r="735" spans="3:24">
      <c r="C735" s="85"/>
      <c r="D735" s="62"/>
      <c r="E735" s="62"/>
      <c r="F735" s="55"/>
      <c r="G735" s="55"/>
      <c r="H735" s="55"/>
      <c r="I735" s="55"/>
      <c r="J735" s="55"/>
      <c r="K735" s="55"/>
      <c r="L735" s="55"/>
      <c r="M735" s="55"/>
      <c r="N735" s="55"/>
      <c r="U735" s="55"/>
      <c r="V735" s="86"/>
      <c r="X735" s="93"/>
    </row>
    <row r="736" spans="3:24">
      <c r="C736" s="85"/>
      <c r="D736" s="62"/>
      <c r="E736" s="62"/>
      <c r="F736" s="55"/>
      <c r="G736" s="55"/>
      <c r="H736" s="55"/>
      <c r="I736" s="55"/>
      <c r="J736" s="55"/>
      <c r="K736" s="55"/>
      <c r="L736" s="55"/>
      <c r="M736" s="55"/>
      <c r="N736" s="55"/>
      <c r="U736" s="55"/>
      <c r="V736" s="86"/>
      <c r="X736" s="93"/>
    </row>
    <row r="737" spans="3:24">
      <c r="C737" s="85"/>
      <c r="D737" s="62"/>
      <c r="E737" s="62"/>
      <c r="F737" s="55"/>
      <c r="G737" s="55"/>
      <c r="H737" s="55"/>
      <c r="I737" s="55"/>
      <c r="J737" s="55"/>
      <c r="K737" s="55"/>
      <c r="L737" s="55"/>
      <c r="M737" s="55"/>
      <c r="N737" s="55"/>
      <c r="U737" s="55"/>
      <c r="V737" s="86"/>
      <c r="X737" s="93"/>
    </row>
    <row r="738" spans="3:24">
      <c r="C738" s="85"/>
      <c r="D738" s="62"/>
      <c r="E738" s="62"/>
      <c r="F738" s="55"/>
      <c r="G738" s="55"/>
      <c r="H738" s="55"/>
      <c r="I738" s="55"/>
      <c r="J738" s="55"/>
      <c r="K738" s="55"/>
      <c r="L738" s="55"/>
      <c r="M738" s="55"/>
      <c r="N738" s="55"/>
      <c r="U738" s="55"/>
      <c r="V738" s="86"/>
      <c r="X738" s="93"/>
    </row>
    <row r="739" spans="3:24">
      <c r="C739" s="85"/>
      <c r="D739" s="62"/>
      <c r="E739" s="62"/>
      <c r="F739" s="55"/>
      <c r="G739" s="55"/>
      <c r="H739" s="55"/>
      <c r="I739" s="55"/>
      <c r="J739" s="55"/>
      <c r="K739" s="55"/>
      <c r="L739" s="55"/>
      <c r="M739" s="55"/>
      <c r="N739" s="55"/>
      <c r="U739" s="55"/>
      <c r="V739" s="86"/>
      <c r="X739" s="93"/>
    </row>
    <row r="740" spans="3:24">
      <c r="C740" s="85"/>
      <c r="D740" s="62"/>
      <c r="E740" s="62"/>
      <c r="F740" s="55"/>
      <c r="G740" s="55"/>
      <c r="H740" s="55"/>
      <c r="I740" s="55"/>
      <c r="J740" s="55"/>
      <c r="K740" s="55"/>
      <c r="L740" s="55"/>
      <c r="M740" s="55"/>
      <c r="N740" s="55"/>
      <c r="U740" s="55"/>
      <c r="V740" s="86"/>
      <c r="X740" s="93"/>
    </row>
    <row r="741" spans="3:24">
      <c r="C741" s="85"/>
      <c r="D741" s="62"/>
      <c r="E741" s="62"/>
      <c r="F741" s="55"/>
      <c r="G741" s="55"/>
      <c r="H741" s="55"/>
      <c r="I741" s="55"/>
      <c r="J741" s="55"/>
      <c r="K741" s="55"/>
      <c r="L741" s="55"/>
      <c r="M741" s="55"/>
      <c r="N741" s="55"/>
      <c r="U741" s="55"/>
      <c r="V741" s="86"/>
      <c r="X741" s="93"/>
    </row>
    <row r="742" spans="3:24">
      <c r="C742" s="85"/>
      <c r="D742" s="62"/>
      <c r="E742" s="62"/>
      <c r="F742" s="55"/>
      <c r="G742" s="55"/>
      <c r="H742" s="55"/>
      <c r="I742" s="55"/>
      <c r="J742" s="55"/>
      <c r="K742" s="55"/>
      <c r="L742" s="55"/>
      <c r="M742" s="55"/>
      <c r="N742" s="55"/>
      <c r="U742" s="55"/>
      <c r="V742" s="86"/>
      <c r="X742" s="93"/>
    </row>
    <row r="743" spans="3:24">
      <c r="C743" s="85"/>
      <c r="D743" s="62"/>
      <c r="E743" s="62"/>
      <c r="F743" s="55"/>
      <c r="G743" s="55"/>
      <c r="H743" s="55"/>
      <c r="I743" s="55"/>
      <c r="J743" s="55"/>
      <c r="K743" s="55"/>
      <c r="L743" s="55"/>
      <c r="M743" s="55"/>
      <c r="N743" s="55"/>
      <c r="U743" s="55"/>
      <c r="V743" s="86"/>
      <c r="X743" s="93"/>
    </row>
    <row r="744" spans="3:24">
      <c r="C744" s="85"/>
      <c r="D744" s="62"/>
      <c r="E744" s="62"/>
      <c r="F744" s="55"/>
      <c r="G744" s="55"/>
      <c r="H744" s="55"/>
      <c r="I744" s="55"/>
      <c r="J744" s="55"/>
      <c r="K744" s="55"/>
      <c r="L744" s="55"/>
      <c r="M744" s="55"/>
      <c r="N744" s="55"/>
      <c r="U744" s="55"/>
      <c r="V744" s="86"/>
      <c r="X744" s="93"/>
    </row>
    <row r="745" spans="3:24">
      <c r="C745" s="85"/>
      <c r="D745" s="62"/>
      <c r="E745" s="62"/>
      <c r="F745" s="55"/>
      <c r="G745" s="55"/>
      <c r="H745" s="55"/>
      <c r="I745" s="55"/>
      <c r="J745" s="55"/>
      <c r="K745" s="55"/>
      <c r="L745" s="55"/>
      <c r="M745" s="55"/>
      <c r="N745" s="55"/>
      <c r="U745" s="55"/>
      <c r="V745" s="86"/>
      <c r="X745" s="93"/>
    </row>
    <row r="746" spans="3:24">
      <c r="C746" s="85"/>
      <c r="D746" s="62"/>
      <c r="E746" s="62"/>
      <c r="F746" s="55"/>
      <c r="G746" s="55"/>
      <c r="H746" s="55"/>
      <c r="I746" s="55"/>
      <c r="J746" s="55"/>
      <c r="K746" s="55"/>
      <c r="L746" s="55"/>
      <c r="M746" s="55"/>
      <c r="N746" s="55"/>
      <c r="U746" s="55"/>
      <c r="V746" s="86"/>
      <c r="X746" s="93"/>
    </row>
    <row r="747" spans="3:24">
      <c r="C747" s="85"/>
      <c r="D747" s="62"/>
      <c r="E747" s="62"/>
      <c r="F747" s="55"/>
      <c r="G747" s="55"/>
      <c r="H747" s="55"/>
      <c r="I747" s="55"/>
      <c r="J747" s="55"/>
      <c r="K747" s="55"/>
      <c r="L747" s="55"/>
      <c r="M747" s="55"/>
      <c r="N747" s="55"/>
      <c r="U747" s="55"/>
      <c r="V747" s="86"/>
      <c r="X747" s="93"/>
    </row>
    <row r="748" spans="3:24">
      <c r="C748" s="85"/>
      <c r="D748" s="62"/>
      <c r="E748" s="62"/>
      <c r="F748" s="55"/>
      <c r="G748" s="55"/>
      <c r="H748" s="55"/>
      <c r="I748" s="55"/>
      <c r="J748" s="55"/>
      <c r="K748" s="55"/>
      <c r="L748" s="55"/>
      <c r="M748" s="55"/>
      <c r="N748" s="55"/>
      <c r="U748" s="55"/>
      <c r="V748" s="86"/>
      <c r="X748" s="93"/>
    </row>
    <row r="749" spans="3:24">
      <c r="C749" s="85"/>
      <c r="D749" s="62"/>
      <c r="E749" s="62"/>
      <c r="F749" s="55"/>
      <c r="G749" s="55"/>
      <c r="H749" s="55"/>
      <c r="I749" s="55"/>
      <c r="J749" s="55"/>
      <c r="K749" s="55"/>
      <c r="L749" s="55"/>
      <c r="M749" s="55"/>
      <c r="N749" s="55"/>
      <c r="U749" s="55"/>
      <c r="V749" s="86"/>
      <c r="X749" s="93"/>
    </row>
    <row r="750" spans="3:24">
      <c r="C750" s="85"/>
      <c r="D750" s="62"/>
      <c r="E750" s="62"/>
      <c r="F750" s="55"/>
      <c r="G750" s="55"/>
      <c r="H750" s="55"/>
      <c r="I750" s="55"/>
      <c r="J750" s="55"/>
      <c r="K750" s="55"/>
      <c r="L750" s="55"/>
      <c r="M750" s="55"/>
      <c r="N750" s="55"/>
      <c r="U750" s="55"/>
      <c r="V750" s="86"/>
      <c r="X750" s="93"/>
    </row>
    <row r="751" spans="3:24">
      <c r="C751" s="85"/>
      <c r="D751" s="62"/>
      <c r="E751" s="62"/>
      <c r="F751" s="55"/>
      <c r="G751" s="55"/>
      <c r="H751" s="55"/>
      <c r="I751" s="55"/>
      <c r="J751" s="55"/>
      <c r="K751" s="55"/>
      <c r="L751" s="55"/>
      <c r="M751" s="55"/>
      <c r="N751" s="55"/>
      <c r="U751" s="55"/>
      <c r="V751" s="86"/>
      <c r="X751" s="93"/>
    </row>
    <row r="752" spans="3:24">
      <c r="C752" s="85"/>
      <c r="D752" s="62"/>
      <c r="E752" s="62"/>
      <c r="F752" s="55"/>
      <c r="G752" s="55"/>
      <c r="H752" s="55"/>
      <c r="I752" s="55"/>
      <c r="J752" s="55"/>
      <c r="K752" s="55"/>
      <c r="L752" s="55"/>
      <c r="M752" s="55"/>
      <c r="N752" s="55"/>
      <c r="U752" s="55"/>
      <c r="V752" s="86"/>
      <c r="X752" s="93"/>
    </row>
    <row r="753" spans="3:24">
      <c r="C753" s="85"/>
      <c r="D753" s="62"/>
      <c r="E753" s="62"/>
      <c r="F753" s="55"/>
      <c r="G753" s="55"/>
      <c r="H753" s="55"/>
      <c r="I753" s="55"/>
      <c r="J753" s="55"/>
      <c r="K753" s="55"/>
      <c r="L753" s="55"/>
      <c r="M753" s="55"/>
      <c r="N753" s="55"/>
      <c r="U753" s="55"/>
      <c r="V753" s="86"/>
      <c r="X753" s="93"/>
    </row>
    <row r="754" spans="3:24">
      <c r="C754" s="85"/>
      <c r="D754" s="62"/>
      <c r="E754" s="62"/>
      <c r="F754" s="55"/>
      <c r="G754" s="55"/>
      <c r="H754" s="55"/>
      <c r="I754" s="55"/>
      <c r="J754" s="55"/>
      <c r="K754" s="55"/>
      <c r="L754" s="55"/>
      <c r="M754" s="55"/>
      <c r="N754" s="55"/>
      <c r="U754" s="55"/>
      <c r="V754" s="86"/>
      <c r="X754" s="93"/>
    </row>
    <row r="755" spans="3:24">
      <c r="C755" s="85"/>
      <c r="D755" s="62"/>
      <c r="E755" s="62"/>
      <c r="F755" s="55"/>
      <c r="G755" s="55"/>
      <c r="H755" s="55"/>
      <c r="I755" s="55"/>
      <c r="J755" s="55"/>
      <c r="K755" s="55"/>
      <c r="L755" s="55"/>
      <c r="M755" s="55"/>
      <c r="N755" s="55"/>
      <c r="U755" s="55"/>
      <c r="V755" s="86"/>
      <c r="X755" s="93"/>
    </row>
    <row r="756" spans="3:24">
      <c r="C756" s="85"/>
      <c r="D756" s="62"/>
      <c r="E756" s="62"/>
      <c r="F756" s="55"/>
      <c r="G756" s="55"/>
      <c r="H756" s="55"/>
      <c r="I756" s="55"/>
      <c r="J756" s="55"/>
      <c r="K756" s="55"/>
      <c r="L756" s="55"/>
      <c r="M756" s="55"/>
      <c r="N756" s="55"/>
      <c r="U756" s="55"/>
      <c r="V756" s="86"/>
      <c r="X756" s="93"/>
    </row>
    <row r="757" spans="3:24">
      <c r="C757" s="85"/>
      <c r="D757" s="62"/>
      <c r="E757" s="62"/>
      <c r="F757" s="55"/>
      <c r="G757" s="55"/>
      <c r="H757" s="55"/>
      <c r="I757" s="55"/>
      <c r="J757" s="55"/>
      <c r="K757" s="55"/>
      <c r="L757" s="55"/>
      <c r="M757" s="55"/>
      <c r="N757" s="55"/>
      <c r="U757" s="55"/>
      <c r="V757" s="86"/>
      <c r="X757" s="93"/>
    </row>
    <row r="758" spans="3:24">
      <c r="C758" s="85"/>
      <c r="D758" s="62"/>
      <c r="E758" s="62"/>
      <c r="F758" s="55"/>
      <c r="G758" s="55"/>
      <c r="H758" s="55"/>
      <c r="I758" s="55"/>
      <c r="J758" s="55"/>
      <c r="K758" s="55"/>
      <c r="L758" s="55"/>
      <c r="M758" s="55"/>
      <c r="N758" s="55"/>
      <c r="U758" s="55"/>
      <c r="V758" s="86"/>
      <c r="X758" s="93"/>
    </row>
    <row r="759" spans="3:24">
      <c r="C759" s="85"/>
      <c r="D759" s="62"/>
      <c r="E759" s="62"/>
      <c r="F759" s="55"/>
      <c r="G759" s="55"/>
      <c r="H759" s="55"/>
      <c r="I759" s="55"/>
      <c r="J759" s="55"/>
      <c r="K759" s="55"/>
      <c r="L759" s="55"/>
      <c r="M759" s="55"/>
      <c r="N759" s="55"/>
      <c r="U759" s="55"/>
      <c r="V759" s="86"/>
      <c r="X759" s="93"/>
    </row>
    <row r="760" spans="3:24">
      <c r="C760" s="85"/>
      <c r="D760" s="62"/>
      <c r="E760" s="62"/>
      <c r="F760" s="55"/>
      <c r="G760" s="55"/>
      <c r="H760" s="55"/>
      <c r="I760" s="55"/>
      <c r="J760" s="55"/>
      <c r="K760" s="55"/>
      <c r="L760" s="55"/>
      <c r="M760" s="55"/>
      <c r="N760" s="55"/>
      <c r="U760" s="55"/>
      <c r="V760" s="86"/>
      <c r="X760" s="93"/>
    </row>
    <row r="761" spans="3:24">
      <c r="C761" s="85"/>
      <c r="D761" s="62"/>
      <c r="E761" s="62"/>
      <c r="F761" s="55"/>
      <c r="G761" s="55"/>
      <c r="H761" s="55"/>
      <c r="I761" s="55"/>
      <c r="J761" s="55"/>
      <c r="K761" s="55"/>
      <c r="L761" s="55"/>
      <c r="M761" s="55"/>
      <c r="N761" s="55"/>
      <c r="U761" s="55"/>
      <c r="V761" s="86"/>
      <c r="X761" s="93"/>
    </row>
    <row r="762" spans="3:24">
      <c r="C762" s="85"/>
      <c r="D762" s="62"/>
      <c r="E762" s="62"/>
      <c r="F762" s="55"/>
      <c r="G762" s="55"/>
      <c r="H762" s="55"/>
      <c r="I762" s="55"/>
      <c r="J762" s="55"/>
      <c r="K762" s="55"/>
      <c r="L762" s="55"/>
      <c r="M762" s="55"/>
      <c r="N762" s="55"/>
      <c r="U762" s="55"/>
      <c r="V762" s="86"/>
      <c r="X762" s="93"/>
    </row>
    <row r="763" spans="3:24">
      <c r="C763" s="85"/>
      <c r="D763" s="62"/>
      <c r="E763" s="62"/>
      <c r="F763" s="55"/>
      <c r="G763" s="55"/>
      <c r="H763" s="55"/>
      <c r="I763" s="55"/>
      <c r="J763" s="55"/>
      <c r="K763" s="55"/>
      <c r="L763" s="55"/>
      <c r="M763" s="55"/>
      <c r="N763" s="55"/>
      <c r="U763" s="55"/>
      <c r="V763" s="86"/>
      <c r="X763" s="93"/>
    </row>
    <row r="764" spans="3:24">
      <c r="C764" s="85"/>
      <c r="D764" s="62"/>
      <c r="E764" s="62"/>
      <c r="F764" s="55"/>
      <c r="G764" s="55"/>
      <c r="H764" s="55"/>
      <c r="I764" s="55"/>
      <c r="J764" s="55"/>
      <c r="K764" s="55"/>
      <c r="L764" s="55"/>
      <c r="M764" s="55"/>
      <c r="N764" s="55"/>
      <c r="U764" s="55"/>
      <c r="V764" s="86"/>
      <c r="X764" s="93"/>
    </row>
    <row r="765" spans="3:24">
      <c r="C765" s="85"/>
      <c r="D765" s="62"/>
      <c r="E765" s="62"/>
      <c r="F765" s="55"/>
      <c r="G765" s="55"/>
      <c r="H765" s="55"/>
      <c r="I765" s="55"/>
      <c r="J765" s="55"/>
      <c r="K765" s="55"/>
      <c r="L765" s="55"/>
      <c r="M765" s="55"/>
      <c r="N765" s="55"/>
      <c r="U765" s="55"/>
      <c r="V765" s="86"/>
      <c r="X765" s="93"/>
    </row>
    <row r="766" spans="3:24">
      <c r="C766" s="85"/>
      <c r="D766" s="62"/>
      <c r="E766" s="62"/>
      <c r="F766" s="55"/>
      <c r="G766" s="55"/>
      <c r="H766" s="55"/>
      <c r="I766" s="55"/>
      <c r="J766" s="55"/>
      <c r="K766" s="55"/>
      <c r="L766" s="55"/>
      <c r="M766" s="55"/>
      <c r="N766" s="55"/>
      <c r="U766" s="55"/>
      <c r="V766" s="86"/>
      <c r="X766" s="93"/>
    </row>
    <row r="767" spans="3:24">
      <c r="C767" s="85"/>
      <c r="D767" s="62"/>
      <c r="E767" s="62"/>
      <c r="F767" s="55"/>
      <c r="G767" s="55"/>
      <c r="H767" s="55"/>
      <c r="I767" s="55"/>
      <c r="J767" s="55"/>
      <c r="K767" s="55"/>
      <c r="L767" s="55"/>
      <c r="M767" s="55"/>
      <c r="N767" s="55"/>
      <c r="U767" s="55"/>
      <c r="V767" s="86"/>
      <c r="X767" s="93"/>
    </row>
    <row r="768" spans="3:24">
      <c r="C768" s="85"/>
      <c r="D768" s="62"/>
      <c r="E768" s="62"/>
      <c r="F768" s="55"/>
      <c r="G768" s="55"/>
      <c r="H768" s="55"/>
      <c r="I768" s="55"/>
      <c r="J768" s="55"/>
      <c r="K768" s="55"/>
      <c r="L768" s="55"/>
      <c r="M768" s="55"/>
      <c r="N768" s="55"/>
      <c r="U768" s="55"/>
      <c r="V768" s="86"/>
      <c r="X768" s="93"/>
    </row>
    <row r="769" spans="3:24">
      <c r="C769" s="85"/>
      <c r="D769" s="62"/>
      <c r="E769" s="62"/>
      <c r="F769" s="55"/>
      <c r="G769" s="55"/>
      <c r="H769" s="55"/>
      <c r="I769" s="55"/>
      <c r="J769" s="55"/>
      <c r="K769" s="55"/>
      <c r="L769" s="55"/>
      <c r="M769" s="55"/>
      <c r="N769" s="55"/>
      <c r="U769" s="55"/>
      <c r="V769" s="86"/>
      <c r="X769" s="93"/>
    </row>
    <row r="770" spans="3:24">
      <c r="C770" s="85"/>
      <c r="D770" s="62"/>
      <c r="E770" s="62"/>
      <c r="F770" s="55"/>
      <c r="G770" s="55"/>
      <c r="H770" s="55"/>
      <c r="I770" s="55"/>
      <c r="J770" s="55"/>
      <c r="K770" s="55"/>
      <c r="L770" s="55"/>
      <c r="M770" s="55"/>
      <c r="N770" s="55"/>
      <c r="U770" s="55"/>
      <c r="V770" s="86"/>
      <c r="X770" s="93"/>
    </row>
    <row r="771" spans="3:24">
      <c r="C771" s="85"/>
      <c r="D771" s="62"/>
      <c r="E771" s="62"/>
      <c r="F771" s="55"/>
      <c r="G771" s="55"/>
      <c r="H771" s="55"/>
      <c r="I771" s="55"/>
      <c r="J771" s="55"/>
      <c r="K771" s="55"/>
      <c r="L771" s="55"/>
      <c r="M771" s="55"/>
      <c r="N771" s="55"/>
      <c r="U771" s="55"/>
      <c r="V771" s="86"/>
      <c r="X771" s="93"/>
    </row>
    <row r="772" spans="3:24">
      <c r="C772" s="85"/>
      <c r="D772" s="62"/>
      <c r="E772" s="62"/>
      <c r="F772" s="55"/>
      <c r="G772" s="55"/>
      <c r="H772" s="55"/>
      <c r="I772" s="55"/>
      <c r="J772" s="55"/>
      <c r="K772" s="55"/>
      <c r="L772" s="55"/>
      <c r="M772" s="55"/>
      <c r="N772" s="55"/>
      <c r="U772" s="55"/>
      <c r="V772" s="86"/>
      <c r="X772" s="93"/>
    </row>
    <row r="773" spans="3:24">
      <c r="C773" s="85"/>
      <c r="D773" s="62"/>
      <c r="E773" s="62"/>
      <c r="F773" s="55"/>
      <c r="G773" s="55"/>
      <c r="H773" s="55"/>
      <c r="I773" s="55"/>
      <c r="J773" s="55"/>
      <c r="K773" s="55"/>
      <c r="L773" s="55"/>
      <c r="M773" s="55"/>
      <c r="N773" s="55"/>
      <c r="U773" s="55"/>
      <c r="V773" s="86"/>
      <c r="X773" s="93"/>
    </row>
    <row r="774" spans="3:24">
      <c r="C774" s="85"/>
      <c r="D774" s="62"/>
      <c r="E774" s="62"/>
      <c r="F774" s="55"/>
      <c r="G774" s="55"/>
      <c r="H774" s="55"/>
      <c r="I774" s="55"/>
      <c r="J774" s="55"/>
      <c r="K774" s="55"/>
      <c r="L774" s="55"/>
      <c r="M774" s="55"/>
      <c r="N774" s="55"/>
      <c r="U774" s="55"/>
      <c r="V774" s="86"/>
      <c r="X774" s="93"/>
    </row>
    <row r="775" spans="3:24">
      <c r="C775" s="85"/>
      <c r="D775" s="62"/>
      <c r="E775" s="62"/>
      <c r="F775" s="55"/>
      <c r="G775" s="55"/>
      <c r="H775" s="55"/>
      <c r="I775" s="55"/>
      <c r="J775" s="55"/>
      <c r="K775" s="55"/>
      <c r="L775" s="55"/>
      <c r="M775" s="55"/>
      <c r="N775" s="55"/>
      <c r="U775" s="55"/>
      <c r="V775" s="86"/>
      <c r="X775" s="93"/>
    </row>
    <row r="776" spans="3:24">
      <c r="C776" s="85"/>
      <c r="D776" s="62"/>
      <c r="E776" s="62"/>
      <c r="F776" s="55"/>
      <c r="G776" s="55"/>
      <c r="H776" s="55"/>
      <c r="I776" s="55"/>
      <c r="J776" s="55"/>
      <c r="K776" s="55"/>
      <c r="L776" s="55"/>
      <c r="M776" s="55"/>
      <c r="N776" s="55"/>
      <c r="U776" s="55"/>
      <c r="V776" s="86"/>
      <c r="X776" s="93"/>
    </row>
    <row r="777" spans="3:24">
      <c r="C777" s="85"/>
      <c r="D777" s="62"/>
      <c r="E777" s="62"/>
      <c r="F777" s="55"/>
      <c r="G777" s="55"/>
      <c r="H777" s="55"/>
      <c r="I777" s="55"/>
      <c r="J777" s="55"/>
      <c r="K777" s="55"/>
      <c r="L777" s="55"/>
      <c r="M777" s="55"/>
      <c r="N777" s="55"/>
      <c r="U777" s="55"/>
      <c r="V777" s="86"/>
      <c r="X777" s="93"/>
    </row>
    <row r="778" spans="3:24">
      <c r="C778" s="85"/>
      <c r="D778" s="62"/>
      <c r="E778" s="62"/>
      <c r="F778" s="55"/>
      <c r="G778" s="55"/>
      <c r="H778" s="55"/>
      <c r="I778" s="55"/>
      <c r="J778" s="55"/>
      <c r="K778" s="55"/>
      <c r="L778" s="55"/>
      <c r="M778" s="55"/>
      <c r="N778" s="55"/>
      <c r="U778" s="55"/>
      <c r="V778" s="86"/>
      <c r="X778" s="93"/>
    </row>
    <row r="779" spans="3:24">
      <c r="C779" s="85"/>
      <c r="D779" s="62"/>
      <c r="E779" s="62"/>
      <c r="F779" s="55"/>
      <c r="G779" s="55"/>
      <c r="H779" s="55"/>
      <c r="I779" s="55"/>
      <c r="J779" s="55"/>
      <c r="K779" s="55"/>
      <c r="L779" s="55"/>
      <c r="M779" s="55"/>
      <c r="N779" s="55"/>
      <c r="U779" s="55"/>
      <c r="V779" s="86"/>
      <c r="X779" s="93"/>
    </row>
    <row r="780" spans="3:24">
      <c r="C780" s="85"/>
      <c r="D780" s="62"/>
      <c r="E780" s="62"/>
      <c r="F780" s="55"/>
      <c r="G780" s="55"/>
      <c r="H780" s="55"/>
      <c r="I780" s="55"/>
      <c r="J780" s="55"/>
      <c r="K780" s="55"/>
      <c r="L780" s="55"/>
      <c r="M780" s="55"/>
      <c r="N780" s="55"/>
      <c r="U780" s="55"/>
      <c r="V780" s="86"/>
      <c r="X780" s="93"/>
    </row>
    <row r="781" spans="3:24">
      <c r="C781" s="85"/>
      <c r="D781" s="62"/>
      <c r="E781" s="62"/>
      <c r="F781" s="55"/>
      <c r="G781" s="55"/>
      <c r="H781" s="55"/>
      <c r="I781" s="55"/>
      <c r="J781" s="55"/>
      <c r="K781" s="55"/>
      <c r="L781" s="55"/>
      <c r="M781" s="55"/>
      <c r="N781" s="55"/>
      <c r="U781" s="55"/>
      <c r="V781" s="86"/>
      <c r="X781" s="93"/>
    </row>
    <row r="782" spans="3:24">
      <c r="C782" s="85"/>
      <c r="D782" s="62"/>
      <c r="E782" s="62"/>
      <c r="F782" s="55"/>
      <c r="G782" s="55"/>
      <c r="H782" s="55"/>
      <c r="I782" s="55"/>
      <c r="J782" s="55"/>
      <c r="K782" s="55"/>
      <c r="L782" s="55"/>
      <c r="M782" s="55"/>
      <c r="N782" s="55"/>
      <c r="U782" s="55"/>
      <c r="V782" s="86"/>
      <c r="X782" s="93"/>
    </row>
    <row r="783" spans="3:24">
      <c r="C783" s="85"/>
      <c r="D783" s="62"/>
      <c r="E783" s="62"/>
      <c r="F783" s="55"/>
      <c r="G783" s="55"/>
      <c r="H783" s="55"/>
      <c r="I783" s="55"/>
      <c r="J783" s="55"/>
      <c r="K783" s="55"/>
      <c r="L783" s="55"/>
      <c r="M783" s="55"/>
      <c r="N783" s="55"/>
      <c r="U783" s="55"/>
      <c r="V783" s="86"/>
      <c r="X783" s="93"/>
    </row>
    <row r="784" spans="3:24">
      <c r="C784" s="85"/>
      <c r="D784" s="62"/>
      <c r="E784" s="62"/>
      <c r="F784" s="55"/>
      <c r="G784" s="55"/>
      <c r="H784" s="55"/>
      <c r="I784" s="55"/>
      <c r="J784" s="55"/>
      <c r="K784" s="55"/>
      <c r="L784" s="55"/>
      <c r="M784" s="55"/>
      <c r="N784" s="55"/>
      <c r="U784" s="55"/>
      <c r="V784" s="86"/>
      <c r="X784" s="93"/>
    </row>
    <row r="785" spans="3:24">
      <c r="C785" s="85"/>
      <c r="D785" s="62"/>
      <c r="E785" s="62"/>
      <c r="F785" s="55"/>
      <c r="G785" s="55"/>
      <c r="H785" s="55"/>
      <c r="I785" s="55"/>
      <c r="J785" s="55"/>
      <c r="K785" s="55"/>
      <c r="L785" s="55"/>
      <c r="M785" s="55"/>
      <c r="N785" s="55"/>
      <c r="U785" s="55"/>
      <c r="V785" s="86"/>
      <c r="X785" s="93"/>
    </row>
    <row r="786" spans="3:24">
      <c r="C786" s="85"/>
      <c r="D786" s="62"/>
      <c r="E786" s="62"/>
      <c r="F786" s="55"/>
      <c r="G786" s="55"/>
      <c r="H786" s="55"/>
      <c r="I786" s="55"/>
      <c r="J786" s="55"/>
      <c r="K786" s="55"/>
      <c r="L786" s="55"/>
      <c r="M786" s="55"/>
      <c r="N786" s="55"/>
      <c r="U786" s="55"/>
      <c r="V786" s="86"/>
      <c r="X786" s="93"/>
    </row>
    <row r="787" spans="3:24">
      <c r="C787" s="85"/>
      <c r="D787" s="62"/>
      <c r="E787" s="62"/>
      <c r="F787" s="55"/>
      <c r="G787" s="55"/>
      <c r="H787" s="55"/>
      <c r="I787" s="55"/>
      <c r="J787" s="55"/>
      <c r="K787" s="55"/>
      <c r="L787" s="55"/>
      <c r="M787" s="55"/>
      <c r="N787" s="55"/>
      <c r="U787" s="55"/>
      <c r="V787" s="86"/>
      <c r="X787" s="93"/>
    </row>
    <row r="788" spans="3:24">
      <c r="C788" s="85"/>
      <c r="D788" s="62"/>
      <c r="E788" s="62"/>
      <c r="F788" s="55"/>
      <c r="G788" s="55"/>
      <c r="H788" s="55"/>
      <c r="I788" s="55"/>
      <c r="J788" s="55"/>
      <c r="K788" s="55"/>
      <c r="L788" s="55"/>
      <c r="M788" s="55"/>
      <c r="N788" s="55"/>
      <c r="U788" s="55"/>
      <c r="V788" s="86"/>
      <c r="X788" s="93"/>
    </row>
    <row r="789" spans="3:24">
      <c r="C789" s="85"/>
      <c r="D789" s="62"/>
      <c r="E789" s="62"/>
      <c r="F789" s="55"/>
      <c r="G789" s="55"/>
      <c r="H789" s="55"/>
      <c r="I789" s="55"/>
      <c r="J789" s="55"/>
      <c r="K789" s="55"/>
      <c r="L789" s="55"/>
      <c r="M789" s="55"/>
      <c r="N789" s="55"/>
      <c r="U789" s="55"/>
      <c r="V789" s="86"/>
      <c r="X789" s="93"/>
    </row>
    <row r="790" spans="3:24">
      <c r="C790" s="85"/>
      <c r="D790" s="62"/>
      <c r="E790" s="62"/>
      <c r="F790" s="55"/>
      <c r="G790" s="55"/>
      <c r="H790" s="55"/>
      <c r="I790" s="55"/>
      <c r="J790" s="55"/>
      <c r="K790" s="55"/>
      <c r="L790" s="55"/>
      <c r="M790" s="55"/>
      <c r="N790" s="55"/>
      <c r="U790" s="55"/>
      <c r="V790" s="86"/>
      <c r="X790" s="93"/>
    </row>
    <row r="791" spans="3:24">
      <c r="C791" s="85"/>
      <c r="D791" s="62"/>
      <c r="E791" s="62"/>
      <c r="F791" s="55"/>
      <c r="G791" s="55"/>
      <c r="H791" s="55"/>
      <c r="I791" s="55"/>
      <c r="J791" s="55"/>
      <c r="K791" s="55"/>
      <c r="L791" s="55"/>
      <c r="M791" s="55"/>
      <c r="N791" s="55"/>
      <c r="U791" s="55"/>
      <c r="V791" s="86"/>
      <c r="X791" s="93"/>
    </row>
    <row r="792" spans="3:24">
      <c r="C792" s="85"/>
      <c r="D792" s="62"/>
      <c r="E792" s="62"/>
      <c r="F792" s="55"/>
      <c r="G792" s="55"/>
      <c r="H792" s="55"/>
      <c r="I792" s="55"/>
      <c r="J792" s="55"/>
      <c r="K792" s="55"/>
      <c r="L792" s="55"/>
      <c r="M792" s="55"/>
      <c r="N792" s="55"/>
      <c r="U792" s="55"/>
      <c r="V792" s="86"/>
      <c r="X792" s="93"/>
    </row>
    <row r="793" spans="3:24">
      <c r="C793" s="85"/>
      <c r="D793" s="62"/>
      <c r="E793" s="62"/>
      <c r="F793" s="55"/>
      <c r="G793" s="55"/>
      <c r="H793" s="55"/>
      <c r="I793" s="55"/>
      <c r="J793" s="55"/>
      <c r="K793" s="55"/>
      <c r="L793" s="55"/>
      <c r="M793" s="55"/>
      <c r="N793" s="55"/>
      <c r="U793" s="55"/>
      <c r="V793" s="86"/>
      <c r="X793" s="93"/>
    </row>
    <row r="794" spans="3:24">
      <c r="C794" s="85"/>
      <c r="D794" s="62"/>
      <c r="E794" s="62"/>
      <c r="F794" s="55"/>
      <c r="G794" s="55"/>
      <c r="H794" s="55"/>
      <c r="I794" s="55"/>
      <c r="J794" s="55"/>
      <c r="K794" s="55"/>
      <c r="L794" s="55"/>
      <c r="M794" s="55"/>
      <c r="N794" s="55"/>
      <c r="U794" s="55"/>
      <c r="V794" s="86"/>
      <c r="X794" s="93"/>
    </row>
    <row r="795" spans="3:24">
      <c r="C795" s="85"/>
      <c r="D795" s="62"/>
      <c r="E795" s="62"/>
      <c r="F795" s="55"/>
      <c r="G795" s="55"/>
      <c r="H795" s="55"/>
      <c r="I795" s="55"/>
      <c r="J795" s="55"/>
      <c r="K795" s="55"/>
      <c r="L795" s="55"/>
      <c r="M795" s="55"/>
      <c r="N795" s="55"/>
      <c r="U795" s="55"/>
      <c r="V795" s="86"/>
      <c r="X795" s="93"/>
    </row>
    <row r="796" spans="3:24">
      <c r="C796" s="85"/>
      <c r="D796" s="62"/>
      <c r="E796" s="62"/>
      <c r="F796" s="55"/>
      <c r="G796" s="55"/>
      <c r="H796" s="55"/>
      <c r="I796" s="55"/>
      <c r="J796" s="55"/>
      <c r="K796" s="55"/>
      <c r="L796" s="55"/>
      <c r="M796" s="55"/>
      <c r="N796" s="55"/>
      <c r="U796" s="55"/>
      <c r="V796" s="86"/>
      <c r="X796" s="93"/>
    </row>
    <row r="797" spans="3:24">
      <c r="C797" s="85"/>
      <c r="D797" s="62"/>
      <c r="E797" s="62"/>
      <c r="F797" s="55"/>
      <c r="G797" s="55"/>
      <c r="H797" s="55"/>
      <c r="I797" s="55"/>
      <c r="J797" s="55"/>
      <c r="K797" s="55"/>
      <c r="L797" s="55"/>
      <c r="M797" s="55"/>
      <c r="N797" s="55"/>
      <c r="U797" s="55"/>
      <c r="V797" s="86"/>
      <c r="X797" s="93"/>
    </row>
    <row r="798" spans="3:24">
      <c r="C798" s="85"/>
      <c r="D798" s="62"/>
      <c r="E798" s="62"/>
      <c r="F798" s="55"/>
      <c r="G798" s="55"/>
      <c r="H798" s="55"/>
      <c r="I798" s="55"/>
      <c r="J798" s="55"/>
      <c r="K798" s="55"/>
      <c r="L798" s="55"/>
      <c r="M798" s="55"/>
      <c r="N798" s="55"/>
      <c r="U798" s="55"/>
      <c r="V798" s="86"/>
      <c r="X798" s="93"/>
    </row>
    <row r="799" spans="3:24">
      <c r="C799" s="85"/>
      <c r="D799" s="62"/>
      <c r="E799" s="62"/>
      <c r="F799" s="55"/>
      <c r="G799" s="55"/>
      <c r="H799" s="55"/>
      <c r="I799" s="55"/>
      <c r="J799" s="55"/>
      <c r="K799" s="55"/>
      <c r="L799" s="55"/>
      <c r="M799" s="55"/>
      <c r="N799" s="55"/>
      <c r="U799" s="55"/>
      <c r="V799" s="86"/>
      <c r="X799" s="93"/>
    </row>
    <row r="800" spans="3:24">
      <c r="C800" s="85"/>
      <c r="D800" s="62"/>
      <c r="E800" s="62"/>
      <c r="F800" s="55"/>
      <c r="G800" s="55"/>
      <c r="H800" s="55"/>
      <c r="I800" s="55"/>
      <c r="J800" s="55"/>
      <c r="K800" s="55"/>
      <c r="L800" s="55"/>
      <c r="M800" s="55"/>
      <c r="N800" s="55"/>
      <c r="U800" s="55"/>
      <c r="V800" s="86"/>
      <c r="X800" s="93"/>
    </row>
    <row r="801" spans="3:24">
      <c r="C801" s="85"/>
      <c r="D801" s="62"/>
      <c r="E801" s="62"/>
      <c r="F801" s="55"/>
      <c r="G801" s="55"/>
      <c r="H801" s="55"/>
      <c r="I801" s="55"/>
      <c r="J801" s="55"/>
      <c r="K801" s="55"/>
      <c r="L801" s="55"/>
      <c r="M801" s="55"/>
      <c r="N801" s="55"/>
      <c r="U801" s="55"/>
      <c r="V801" s="86"/>
      <c r="X801" s="93"/>
    </row>
    <row r="802" spans="3:24">
      <c r="C802" s="85"/>
      <c r="D802" s="62"/>
      <c r="E802" s="62"/>
      <c r="F802" s="55"/>
      <c r="G802" s="55"/>
      <c r="H802" s="55"/>
      <c r="I802" s="55"/>
      <c r="J802" s="55"/>
      <c r="K802" s="55"/>
      <c r="L802" s="55"/>
      <c r="M802" s="55"/>
      <c r="N802" s="55"/>
      <c r="U802" s="55"/>
      <c r="V802" s="86"/>
      <c r="X802" s="93"/>
    </row>
    <row r="803" spans="3:24">
      <c r="C803" s="85"/>
      <c r="D803" s="62"/>
      <c r="E803" s="62"/>
      <c r="F803" s="55"/>
      <c r="G803" s="55"/>
      <c r="H803" s="55"/>
      <c r="I803" s="55"/>
      <c r="J803" s="55"/>
      <c r="K803" s="55"/>
      <c r="L803" s="55"/>
      <c r="M803" s="55"/>
      <c r="N803" s="55"/>
      <c r="U803" s="55"/>
      <c r="V803" s="86"/>
      <c r="X803" s="93"/>
    </row>
    <row r="804" spans="3:24">
      <c r="C804" s="85"/>
      <c r="D804" s="62"/>
      <c r="E804" s="62"/>
      <c r="F804" s="55"/>
      <c r="G804" s="55"/>
      <c r="H804" s="55"/>
      <c r="I804" s="55"/>
      <c r="J804" s="55"/>
      <c r="K804" s="55"/>
      <c r="L804" s="55"/>
      <c r="M804" s="55"/>
      <c r="N804" s="55"/>
      <c r="U804" s="55"/>
      <c r="V804" s="86"/>
      <c r="X804" s="93"/>
    </row>
    <row r="805" spans="3:24">
      <c r="C805" s="85"/>
      <c r="D805" s="62"/>
      <c r="E805" s="62"/>
      <c r="F805" s="55"/>
      <c r="G805" s="55"/>
      <c r="H805" s="55"/>
      <c r="I805" s="55"/>
      <c r="J805" s="55"/>
      <c r="K805" s="55"/>
      <c r="L805" s="55"/>
      <c r="M805" s="55"/>
      <c r="N805" s="55"/>
      <c r="U805" s="55"/>
      <c r="V805" s="86"/>
      <c r="X805" s="93"/>
    </row>
    <row r="806" spans="3:24">
      <c r="C806" s="85"/>
      <c r="D806" s="62"/>
      <c r="E806" s="62"/>
      <c r="F806" s="55"/>
      <c r="G806" s="55"/>
      <c r="H806" s="55"/>
      <c r="I806" s="55"/>
      <c r="J806" s="55"/>
      <c r="K806" s="55"/>
      <c r="L806" s="55"/>
      <c r="M806" s="55"/>
      <c r="N806" s="55"/>
      <c r="U806" s="55"/>
      <c r="V806" s="86"/>
      <c r="X806" s="93"/>
    </row>
    <row r="807" spans="3:24">
      <c r="C807" s="85"/>
      <c r="D807" s="62"/>
      <c r="E807" s="62"/>
      <c r="F807" s="55"/>
      <c r="G807" s="55"/>
      <c r="H807" s="55"/>
      <c r="I807" s="55"/>
      <c r="J807" s="55"/>
      <c r="K807" s="55"/>
      <c r="L807" s="55"/>
      <c r="M807" s="55"/>
      <c r="N807" s="55"/>
      <c r="U807" s="55"/>
      <c r="V807" s="86"/>
      <c r="X807" s="93"/>
    </row>
    <row r="808" spans="3:24">
      <c r="C808" s="85"/>
      <c r="D808" s="62"/>
      <c r="E808" s="62"/>
      <c r="F808" s="55"/>
      <c r="G808" s="55"/>
      <c r="H808" s="55"/>
      <c r="I808" s="55"/>
      <c r="J808" s="55"/>
      <c r="K808" s="55"/>
      <c r="L808" s="55"/>
      <c r="M808" s="55"/>
      <c r="N808" s="55"/>
      <c r="U808" s="55"/>
      <c r="V808" s="86"/>
      <c r="X808" s="93"/>
    </row>
    <row r="809" spans="3:24">
      <c r="C809" s="85"/>
      <c r="D809" s="62"/>
      <c r="E809" s="62"/>
      <c r="F809" s="55"/>
      <c r="G809" s="55"/>
      <c r="H809" s="55"/>
      <c r="I809" s="55"/>
      <c r="J809" s="55"/>
      <c r="K809" s="55"/>
      <c r="L809" s="55"/>
      <c r="M809" s="55"/>
      <c r="N809" s="55"/>
      <c r="U809" s="55"/>
      <c r="V809" s="86"/>
      <c r="X809" s="93"/>
    </row>
    <row r="810" spans="3:24">
      <c r="C810" s="85"/>
      <c r="D810" s="62"/>
      <c r="E810" s="62"/>
      <c r="F810" s="55"/>
      <c r="G810" s="55"/>
      <c r="H810" s="55"/>
      <c r="I810" s="55"/>
      <c r="J810" s="55"/>
      <c r="K810" s="55"/>
      <c r="L810" s="55"/>
      <c r="M810" s="55"/>
      <c r="N810" s="55"/>
      <c r="U810" s="55"/>
      <c r="V810" s="86"/>
      <c r="X810" s="93"/>
    </row>
    <row r="811" spans="3:24">
      <c r="C811" s="85"/>
      <c r="D811" s="62"/>
      <c r="E811" s="62"/>
      <c r="F811" s="55"/>
      <c r="G811" s="55"/>
      <c r="H811" s="55"/>
      <c r="I811" s="55"/>
      <c r="J811" s="55"/>
      <c r="K811" s="55"/>
      <c r="L811" s="55"/>
      <c r="M811" s="55"/>
      <c r="N811" s="55"/>
      <c r="U811" s="55"/>
      <c r="V811" s="86"/>
      <c r="X811" s="93"/>
    </row>
    <row r="812" spans="3:24">
      <c r="C812" s="85"/>
      <c r="D812" s="62"/>
      <c r="E812" s="62"/>
      <c r="F812" s="55"/>
      <c r="G812" s="55"/>
      <c r="H812" s="55"/>
      <c r="I812" s="55"/>
      <c r="J812" s="55"/>
      <c r="K812" s="55"/>
      <c r="L812" s="55"/>
      <c r="M812" s="55"/>
      <c r="N812" s="55"/>
      <c r="U812" s="55"/>
      <c r="V812" s="86"/>
      <c r="X812" s="93"/>
    </row>
    <row r="813" spans="3:24">
      <c r="C813" s="85"/>
      <c r="D813" s="62"/>
      <c r="E813" s="62"/>
      <c r="F813" s="55"/>
      <c r="G813" s="55"/>
      <c r="H813" s="55"/>
      <c r="I813" s="55"/>
      <c r="J813" s="55"/>
      <c r="K813" s="55"/>
      <c r="L813" s="55"/>
      <c r="M813" s="55"/>
      <c r="N813" s="55"/>
      <c r="U813" s="55"/>
      <c r="V813" s="86"/>
      <c r="X813" s="93"/>
    </row>
    <row r="814" spans="3:24">
      <c r="C814" s="85"/>
      <c r="D814" s="62"/>
      <c r="E814" s="62"/>
      <c r="F814" s="55"/>
      <c r="G814" s="55"/>
      <c r="H814" s="55"/>
      <c r="I814" s="55"/>
      <c r="J814" s="55"/>
      <c r="K814" s="55"/>
      <c r="L814" s="55"/>
      <c r="M814" s="55"/>
      <c r="N814" s="55"/>
      <c r="U814" s="55"/>
      <c r="V814" s="86"/>
      <c r="X814" s="93"/>
    </row>
    <row r="815" spans="3:24">
      <c r="C815" s="85"/>
      <c r="D815" s="62"/>
      <c r="E815" s="62"/>
      <c r="F815" s="55"/>
      <c r="G815" s="55"/>
      <c r="H815" s="55"/>
      <c r="I815" s="55"/>
      <c r="J815" s="55"/>
      <c r="K815" s="55"/>
      <c r="L815" s="55"/>
      <c r="M815" s="55"/>
      <c r="N815" s="55"/>
      <c r="U815" s="55"/>
      <c r="V815" s="86"/>
      <c r="X815" s="93"/>
    </row>
    <row r="816" spans="3:24">
      <c r="C816" s="85"/>
      <c r="D816" s="62"/>
      <c r="E816" s="62"/>
      <c r="F816" s="55"/>
      <c r="G816" s="55"/>
      <c r="H816" s="55"/>
      <c r="I816" s="55"/>
      <c r="J816" s="55"/>
      <c r="K816" s="55"/>
      <c r="L816" s="55"/>
      <c r="M816" s="55"/>
      <c r="N816" s="55"/>
      <c r="U816" s="55"/>
      <c r="V816" s="86"/>
      <c r="X816" s="93"/>
    </row>
    <row r="817" spans="3:24">
      <c r="C817" s="85"/>
      <c r="D817" s="62"/>
      <c r="E817" s="62"/>
      <c r="F817" s="55"/>
      <c r="G817" s="55"/>
      <c r="H817" s="55"/>
      <c r="I817" s="55"/>
      <c r="J817" s="55"/>
      <c r="K817" s="55"/>
      <c r="L817" s="55"/>
      <c r="M817" s="55"/>
      <c r="N817" s="55"/>
      <c r="U817" s="55"/>
      <c r="V817" s="86"/>
      <c r="X817" s="93"/>
    </row>
    <row r="818" spans="3:24">
      <c r="C818" s="85"/>
      <c r="D818" s="62"/>
      <c r="E818" s="62"/>
      <c r="F818" s="55"/>
      <c r="G818" s="55"/>
      <c r="H818" s="55"/>
      <c r="I818" s="55"/>
      <c r="J818" s="55"/>
      <c r="K818" s="55"/>
      <c r="L818" s="55"/>
      <c r="M818" s="55"/>
      <c r="N818" s="55"/>
      <c r="U818" s="55"/>
      <c r="V818" s="86"/>
      <c r="X818" s="93"/>
    </row>
    <row r="819" spans="3:24">
      <c r="C819" s="85"/>
      <c r="D819" s="62"/>
      <c r="E819" s="62"/>
      <c r="F819" s="55"/>
      <c r="G819" s="55"/>
      <c r="H819" s="55"/>
      <c r="I819" s="55"/>
      <c r="J819" s="55"/>
      <c r="K819" s="55"/>
      <c r="L819" s="55"/>
      <c r="M819" s="55"/>
      <c r="N819" s="55"/>
      <c r="U819" s="55"/>
      <c r="V819" s="86"/>
      <c r="X819" s="93"/>
    </row>
    <row r="820" spans="3:24">
      <c r="C820" s="85"/>
      <c r="D820" s="62"/>
      <c r="E820" s="62"/>
      <c r="F820" s="55"/>
      <c r="G820" s="55"/>
      <c r="H820" s="55"/>
      <c r="I820" s="55"/>
      <c r="J820" s="55"/>
      <c r="K820" s="55"/>
      <c r="L820" s="55"/>
      <c r="M820" s="55"/>
      <c r="N820" s="55"/>
      <c r="U820" s="55"/>
      <c r="V820" s="86"/>
      <c r="X820" s="93"/>
    </row>
    <row r="821" spans="3:24">
      <c r="C821" s="85"/>
      <c r="D821" s="62"/>
      <c r="E821" s="62"/>
      <c r="F821" s="55"/>
      <c r="G821" s="55"/>
      <c r="H821" s="55"/>
      <c r="I821" s="55"/>
      <c r="J821" s="55"/>
      <c r="K821" s="55"/>
      <c r="L821" s="55"/>
      <c r="M821" s="55"/>
      <c r="N821" s="55"/>
      <c r="U821" s="55"/>
      <c r="V821" s="86"/>
      <c r="X821" s="93"/>
    </row>
    <row r="822" spans="3:24">
      <c r="C822" s="85"/>
      <c r="D822" s="62"/>
      <c r="E822" s="62"/>
      <c r="F822" s="55"/>
      <c r="G822" s="55"/>
      <c r="H822" s="55"/>
      <c r="I822" s="55"/>
      <c r="J822" s="55"/>
      <c r="K822" s="55"/>
      <c r="L822" s="55"/>
      <c r="M822" s="55"/>
      <c r="N822" s="55"/>
      <c r="U822" s="55"/>
      <c r="V822" s="86"/>
      <c r="X822" s="93"/>
    </row>
    <row r="823" spans="3:24">
      <c r="C823" s="85"/>
      <c r="D823" s="62"/>
      <c r="E823" s="62"/>
      <c r="F823" s="55"/>
      <c r="G823" s="55"/>
      <c r="H823" s="55"/>
      <c r="I823" s="55"/>
      <c r="J823" s="55"/>
      <c r="K823" s="55"/>
      <c r="L823" s="55"/>
      <c r="M823" s="55"/>
      <c r="N823" s="55"/>
      <c r="U823" s="55"/>
      <c r="V823" s="86"/>
      <c r="X823" s="93"/>
    </row>
    <row r="824" spans="3:24">
      <c r="C824" s="85"/>
      <c r="D824" s="62"/>
      <c r="E824" s="62"/>
      <c r="F824" s="55"/>
      <c r="G824" s="55"/>
      <c r="H824" s="55"/>
      <c r="I824" s="55"/>
      <c r="J824" s="55"/>
      <c r="K824" s="55"/>
      <c r="L824" s="55"/>
      <c r="M824" s="55"/>
      <c r="N824" s="55"/>
      <c r="U824" s="55"/>
      <c r="V824" s="86"/>
      <c r="X824" s="93"/>
    </row>
    <row r="825" spans="3:24">
      <c r="C825" s="85"/>
      <c r="D825" s="62"/>
      <c r="E825" s="62"/>
      <c r="F825" s="55"/>
      <c r="G825" s="55"/>
      <c r="H825" s="55"/>
      <c r="I825" s="55"/>
      <c r="J825" s="55"/>
      <c r="K825" s="55"/>
      <c r="L825" s="55"/>
      <c r="M825" s="55"/>
      <c r="N825" s="55"/>
      <c r="U825" s="55"/>
      <c r="V825" s="86"/>
      <c r="X825" s="93"/>
    </row>
    <row r="826" spans="3:24">
      <c r="C826" s="85"/>
      <c r="D826" s="62"/>
      <c r="E826" s="62"/>
      <c r="F826" s="55"/>
      <c r="G826" s="55"/>
      <c r="H826" s="55"/>
      <c r="I826" s="55"/>
      <c r="J826" s="55"/>
      <c r="K826" s="55"/>
      <c r="L826" s="55"/>
      <c r="M826" s="55"/>
      <c r="N826" s="55"/>
      <c r="U826" s="55"/>
      <c r="V826" s="86"/>
      <c r="X826" s="93"/>
    </row>
    <row r="827" spans="3:24">
      <c r="C827" s="85"/>
      <c r="D827" s="62"/>
      <c r="E827" s="62"/>
      <c r="F827" s="55"/>
      <c r="G827" s="55"/>
      <c r="H827" s="55"/>
      <c r="I827" s="55"/>
      <c r="J827" s="55"/>
      <c r="K827" s="55"/>
      <c r="L827" s="55"/>
      <c r="M827" s="55"/>
      <c r="N827" s="55"/>
      <c r="U827" s="55"/>
      <c r="V827" s="86"/>
      <c r="X827" s="93"/>
    </row>
    <row r="828" spans="3:24">
      <c r="C828" s="85"/>
      <c r="D828" s="62"/>
      <c r="E828" s="62"/>
      <c r="F828" s="55"/>
      <c r="G828" s="55"/>
      <c r="H828" s="55"/>
      <c r="I828" s="55"/>
      <c r="J828" s="55"/>
      <c r="K828" s="55"/>
      <c r="L828" s="55"/>
      <c r="M828" s="55"/>
      <c r="N828" s="55"/>
      <c r="U828" s="55"/>
      <c r="V828" s="86"/>
      <c r="X828" s="93"/>
    </row>
    <row r="829" spans="3:24">
      <c r="C829" s="85"/>
      <c r="D829" s="62"/>
      <c r="E829" s="62"/>
      <c r="F829" s="55"/>
      <c r="G829" s="55"/>
      <c r="H829" s="55"/>
      <c r="I829" s="55"/>
      <c r="J829" s="55"/>
      <c r="K829" s="55"/>
      <c r="L829" s="55"/>
      <c r="M829" s="55"/>
      <c r="N829" s="55"/>
      <c r="U829" s="55"/>
      <c r="V829" s="86"/>
      <c r="X829" s="93"/>
    </row>
    <row r="830" spans="3:24">
      <c r="C830" s="85"/>
      <c r="D830" s="62"/>
      <c r="E830" s="62"/>
      <c r="F830" s="55"/>
      <c r="G830" s="55"/>
      <c r="H830" s="55"/>
      <c r="I830" s="55"/>
      <c r="J830" s="55"/>
      <c r="K830" s="55"/>
      <c r="L830" s="55"/>
      <c r="M830" s="55"/>
      <c r="N830" s="55"/>
      <c r="U830" s="55"/>
      <c r="V830" s="86"/>
      <c r="X830" s="93"/>
    </row>
    <row r="831" spans="3:24">
      <c r="C831" s="85"/>
      <c r="D831" s="62"/>
      <c r="E831" s="62"/>
      <c r="F831" s="55"/>
      <c r="G831" s="55"/>
      <c r="H831" s="55"/>
      <c r="I831" s="55"/>
      <c r="J831" s="55"/>
      <c r="K831" s="55"/>
      <c r="L831" s="55"/>
      <c r="M831" s="55"/>
      <c r="N831" s="55"/>
      <c r="U831" s="55"/>
      <c r="V831" s="86"/>
      <c r="X831" s="93"/>
    </row>
    <row r="832" spans="3:24">
      <c r="C832" s="85"/>
      <c r="D832" s="62"/>
      <c r="E832" s="62"/>
      <c r="F832" s="55"/>
      <c r="G832" s="55"/>
      <c r="H832" s="55"/>
      <c r="I832" s="55"/>
      <c r="J832" s="55"/>
      <c r="K832" s="55"/>
      <c r="L832" s="55"/>
      <c r="M832" s="55"/>
      <c r="N832" s="55"/>
      <c r="U832" s="55"/>
      <c r="V832" s="86"/>
      <c r="X832" s="93"/>
    </row>
    <row r="833" spans="3:24">
      <c r="C833" s="85"/>
      <c r="D833" s="62"/>
      <c r="E833" s="62"/>
      <c r="F833" s="55"/>
      <c r="G833" s="55"/>
      <c r="H833" s="55"/>
      <c r="I833" s="55"/>
      <c r="J833" s="55"/>
      <c r="K833" s="55"/>
      <c r="L833" s="55"/>
      <c r="M833" s="55"/>
      <c r="N833" s="55"/>
      <c r="U833" s="55"/>
      <c r="V833" s="86"/>
      <c r="X833" s="93"/>
    </row>
    <row r="834" spans="3:24">
      <c r="C834" s="85"/>
      <c r="D834" s="62"/>
      <c r="E834" s="62"/>
      <c r="F834" s="55"/>
      <c r="G834" s="55"/>
      <c r="H834" s="55"/>
      <c r="I834" s="55"/>
      <c r="J834" s="55"/>
      <c r="K834" s="55"/>
      <c r="L834" s="55"/>
      <c r="M834" s="55"/>
      <c r="N834" s="55"/>
      <c r="U834" s="55"/>
      <c r="V834" s="86"/>
      <c r="X834" s="93"/>
    </row>
    <row r="835" spans="3:24">
      <c r="C835" s="85"/>
      <c r="D835" s="62"/>
      <c r="E835" s="62"/>
      <c r="F835" s="55"/>
      <c r="G835" s="55"/>
      <c r="H835" s="55"/>
      <c r="I835" s="55"/>
      <c r="J835" s="55"/>
      <c r="K835" s="55"/>
      <c r="L835" s="55"/>
      <c r="M835" s="55"/>
      <c r="N835" s="55"/>
      <c r="U835" s="55"/>
      <c r="V835" s="86"/>
      <c r="X835" s="93"/>
    </row>
    <row r="836" spans="3:24">
      <c r="C836" s="85"/>
      <c r="D836" s="62"/>
      <c r="E836" s="62"/>
      <c r="F836" s="55"/>
      <c r="G836" s="55"/>
      <c r="H836" s="55"/>
      <c r="I836" s="55"/>
      <c r="J836" s="55"/>
      <c r="K836" s="55"/>
      <c r="L836" s="55"/>
      <c r="M836" s="55"/>
      <c r="N836" s="55"/>
      <c r="U836" s="55"/>
      <c r="V836" s="86"/>
      <c r="X836" s="93"/>
    </row>
    <row r="837" spans="3:24">
      <c r="C837" s="85"/>
      <c r="D837" s="62"/>
      <c r="E837" s="62"/>
      <c r="F837" s="55"/>
      <c r="G837" s="55"/>
      <c r="H837" s="55"/>
      <c r="I837" s="55"/>
      <c r="J837" s="55"/>
      <c r="K837" s="55"/>
      <c r="L837" s="55"/>
      <c r="M837" s="55"/>
      <c r="N837" s="55"/>
      <c r="U837" s="55"/>
      <c r="V837" s="86"/>
      <c r="X837" s="93"/>
    </row>
    <row r="838" spans="3:24">
      <c r="C838" s="85"/>
      <c r="D838" s="62"/>
      <c r="E838" s="62"/>
      <c r="F838" s="55"/>
      <c r="G838" s="55"/>
      <c r="H838" s="55"/>
      <c r="I838" s="55"/>
      <c r="J838" s="55"/>
      <c r="K838" s="55"/>
      <c r="L838" s="55"/>
      <c r="M838" s="55"/>
      <c r="N838" s="55"/>
      <c r="U838" s="55"/>
      <c r="V838" s="86"/>
      <c r="X838" s="93"/>
    </row>
    <row r="839" spans="3:24">
      <c r="C839" s="85"/>
      <c r="D839" s="62"/>
      <c r="E839" s="62"/>
      <c r="F839" s="55"/>
      <c r="G839" s="55"/>
      <c r="H839" s="55"/>
      <c r="I839" s="55"/>
      <c r="J839" s="55"/>
      <c r="K839" s="55"/>
      <c r="L839" s="55"/>
      <c r="M839" s="55"/>
      <c r="N839" s="55"/>
      <c r="U839" s="55"/>
      <c r="V839" s="86"/>
      <c r="X839" s="93"/>
    </row>
    <row r="840" spans="3:24">
      <c r="C840" s="85"/>
      <c r="D840" s="62"/>
      <c r="E840" s="62"/>
      <c r="F840" s="55"/>
      <c r="G840" s="55"/>
      <c r="H840" s="55"/>
      <c r="I840" s="55"/>
      <c r="J840" s="55"/>
      <c r="K840" s="55"/>
      <c r="L840" s="55"/>
      <c r="M840" s="55"/>
      <c r="N840" s="55"/>
      <c r="U840" s="55"/>
      <c r="V840" s="86"/>
      <c r="X840" s="93"/>
    </row>
    <row r="841" spans="3:24">
      <c r="C841" s="85"/>
      <c r="D841" s="62"/>
      <c r="E841" s="62"/>
      <c r="F841" s="55"/>
      <c r="G841" s="55"/>
      <c r="H841" s="55"/>
      <c r="I841" s="55"/>
      <c r="J841" s="55"/>
      <c r="K841" s="55"/>
      <c r="L841" s="55"/>
      <c r="M841" s="55"/>
      <c r="N841" s="55"/>
      <c r="U841" s="55"/>
      <c r="V841" s="86"/>
      <c r="X841" s="93"/>
    </row>
    <row r="842" spans="3:24">
      <c r="C842" s="85"/>
      <c r="D842" s="62"/>
      <c r="E842" s="62"/>
      <c r="F842" s="55"/>
      <c r="G842" s="55"/>
      <c r="H842" s="55"/>
      <c r="I842" s="55"/>
      <c r="J842" s="55"/>
      <c r="K842" s="55"/>
      <c r="L842" s="55"/>
      <c r="M842" s="55"/>
      <c r="N842" s="55"/>
      <c r="U842" s="55"/>
      <c r="V842" s="86"/>
      <c r="X842" s="93"/>
    </row>
    <row r="843" spans="3:24">
      <c r="C843" s="85"/>
      <c r="D843" s="62"/>
      <c r="E843" s="62"/>
      <c r="F843" s="55"/>
      <c r="G843" s="55"/>
      <c r="H843" s="55"/>
      <c r="I843" s="55"/>
      <c r="J843" s="55"/>
      <c r="K843" s="55"/>
      <c r="L843" s="55"/>
      <c r="M843" s="55"/>
      <c r="N843" s="55"/>
      <c r="U843" s="55"/>
      <c r="V843" s="86"/>
      <c r="X843" s="93"/>
    </row>
    <row r="844" spans="3:24">
      <c r="C844" s="85"/>
      <c r="D844" s="62"/>
      <c r="E844" s="62"/>
      <c r="F844" s="55"/>
      <c r="G844" s="55"/>
      <c r="H844" s="55"/>
      <c r="I844" s="55"/>
      <c r="J844" s="55"/>
      <c r="K844" s="55"/>
      <c r="L844" s="55"/>
      <c r="M844" s="55"/>
      <c r="N844" s="55"/>
      <c r="U844" s="55"/>
      <c r="V844" s="86"/>
      <c r="X844" s="93"/>
    </row>
    <row r="845" spans="3:24">
      <c r="C845" s="85"/>
      <c r="D845" s="62"/>
      <c r="E845" s="62"/>
      <c r="F845" s="55"/>
      <c r="G845" s="55"/>
      <c r="H845" s="55"/>
      <c r="I845" s="55"/>
      <c r="J845" s="55"/>
      <c r="K845" s="55"/>
      <c r="L845" s="55"/>
      <c r="M845" s="55"/>
      <c r="N845" s="55"/>
      <c r="U845" s="55"/>
      <c r="V845" s="86"/>
      <c r="X845" s="93"/>
    </row>
    <row r="846" spans="3:24">
      <c r="C846" s="85"/>
      <c r="D846" s="62"/>
      <c r="E846" s="62"/>
      <c r="F846" s="55"/>
      <c r="G846" s="55"/>
      <c r="H846" s="55"/>
      <c r="I846" s="55"/>
      <c r="J846" s="55"/>
      <c r="K846" s="55"/>
      <c r="L846" s="55"/>
      <c r="M846" s="55"/>
      <c r="N846" s="55"/>
      <c r="U846" s="55"/>
      <c r="V846" s="86"/>
      <c r="X846" s="93"/>
    </row>
    <row r="847" spans="3:24">
      <c r="C847" s="85"/>
      <c r="D847" s="62"/>
      <c r="E847" s="62"/>
      <c r="F847" s="55"/>
      <c r="G847" s="55"/>
      <c r="H847" s="55"/>
      <c r="I847" s="55"/>
      <c r="J847" s="55"/>
      <c r="K847" s="55"/>
      <c r="L847" s="55"/>
      <c r="M847" s="55"/>
      <c r="N847" s="55"/>
      <c r="U847" s="55"/>
      <c r="V847" s="86"/>
      <c r="X847" s="93"/>
    </row>
    <row r="848" spans="3:24">
      <c r="C848" s="85"/>
      <c r="D848" s="62"/>
      <c r="E848" s="62"/>
      <c r="F848" s="55"/>
      <c r="G848" s="55"/>
      <c r="H848" s="55"/>
      <c r="I848" s="55"/>
      <c r="J848" s="55"/>
      <c r="K848" s="55"/>
      <c r="L848" s="55"/>
      <c r="M848" s="55"/>
      <c r="N848" s="55"/>
      <c r="U848" s="55"/>
      <c r="V848" s="86"/>
      <c r="X848" s="93"/>
    </row>
    <row r="849" spans="3:24">
      <c r="C849" s="85"/>
      <c r="D849" s="62"/>
      <c r="E849" s="62"/>
      <c r="F849" s="55"/>
      <c r="G849" s="55"/>
      <c r="H849" s="55"/>
      <c r="I849" s="55"/>
      <c r="J849" s="55"/>
      <c r="K849" s="55"/>
      <c r="L849" s="55"/>
      <c r="M849" s="55"/>
      <c r="N849" s="55"/>
      <c r="U849" s="55"/>
      <c r="V849" s="86"/>
      <c r="X849" s="93"/>
    </row>
    <row r="850" spans="3:24">
      <c r="C850" s="85"/>
      <c r="D850" s="62"/>
      <c r="E850" s="62"/>
      <c r="F850" s="55"/>
      <c r="G850" s="55"/>
      <c r="H850" s="55"/>
      <c r="I850" s="55"/>
      <c r="J850" s="55"/>
      <c r="K850" s="55"/>
      <c r="L850" s="55"/>
      <c r="M850" s="55"/>
      <c r="N850" s="55"/>
      <c r="U850" s="55"/>
      <c r="V850" s="86"/>
      <c r="X850" s="93"/>
    </row>
    <row r="851" spans="3:24">
      <c r="C851" s="85"/>
      <c r="D851" s="62"/>
      <c r="E851" s="62"/>
      <c r="F851" s="55"/>
      <c r="G851" s="55"/>
      <c r="H851" s="55"/>
      <c r="I851" s="55"/>
      <c r="J851" s="55"/>
      <c r="K851" s="55"/>
      <c r="L851" s="55"/>
      <c r="M851" s="55"/>
      <c r="N851" s="55"/>
      <c r="U851" s="55"/>
      <c r="V851" s="86"/>
      <c r="X851" s="93"/>
    </row>
    <row r="852" spans="3:24">
      <c r="C852" s="85"/>
      <c r="D852" s="62"/>
      <c r="E852" s="62"/>
      <c r="F852" s="55"/>
      <c r="G852" s="55"/>
      <c r="H852" s="55"/>
      <c r="I852" s="55"/>
      <c r="J852" s="55"/>
      <c r="K852" s="55"/>
      <c r="L852" s="55"/>
      <c r="M852" s="55"/>
      <c r="N852" s="55"/>
      <c r="U852" s="55"/>
      <c r="V852" s="86"/>
      <c r="X852" s="93"/>
    </row>
    <row r="853" spans="3:24">
      <c r="C853" s="85"/>
      <c r="D853" s="62"/>
      <c r="E853" s="62"/>
      <c r="F853" s="55"/>
      <c r="G853" s="55"/>
      <c r="H853" s="55"/>
      <c r="I853" s="55"/>
      <c r="J853" s="55"/>
      <c r="K853" s="55"/>
      <c r="L853" s="55"/>
      <c r="M853" s="55"/>
      <c r="N853" s="55"/>
      <c r="U853" s="55"/>
      <c r="V853" s="86"/>
      <c r="X853" s="93"/>
    </row>
    <row r="854" spans="3:24">
      <c r="C854" s="85"/>
      <c r="D854" s="62"/>
      <c r="E854" s="62"/>
      <c r="F854" s="55"/>
      <c r="G854" s="55"/>
      <c r="H854" s="55"/>
      <c r="I854" s="55"/>
      <c r="J854" s="55"/>
      <c r="K854" s="55"/>
      <c r="L854" s="55"/>
      <c r="M854" s="55"/>
      <c r="N854" s="55"/>
      <c r="U854" s="55"/>
      <c r="V854" s="86"/>
      <c r="X854" s="93"/>
    </row>
    <row r="855" spans="3:24">
      <c r="C855" s="85"/>
      <c r="D855" s="62"/>
      <c r="E855" s="62"/>
      <c r="F855" s="55"/>
      <c r="G855" s="55"/>
      <c r="H855" s="55"/>
      <c r="I855" s="55"/>
      <c r="J855" s="55"/>
      <c r="K855" s="55"/>
      <c r="L855" s="55"/>
      <c r="M855" s="55"/>
      <c r="N855" s="55"/>
      <c r="U855" s="55"/>
      <c r="V855" s="86"/>
      <c r="X855" s="93"/>
    </row>
    <row r="856" spans="3:24">
      <c r="C856" s="85"/>
      <c r="D856" s="62"/>
      <c r="E856" s="62"/>
      <c r="F856" s="55"/>
      <c r="G856" s="55"/>
      <c r="H856" s="55"/>
      <c r="I856" s="55"/>
      <c r="J856" s="55"/>
      <c r="K856" s="55"/>
      <c r="L856" s="55"/>
      <c r="M856" s="55"/>
      <c r="N856" s="55"/>
      <c r="U856" s="55"/>
      <c r="V856" s="86"/>
      <c r="X856" s="93"/>
    </row>
    <row r="857" spans="3:24">
      <c r="C857" s="85"/>
      <c r="D857" s="62"/>
      <c r="E857" s="62"/>
      <c r="F857" s="55"/>
      <c r="G857" s="55"/>
      <c r="H857" s="55"/>
      <c r="I857" s="55"/>
      <c r="J857" s="55"/>
      <c r="K857" s="55"/>
      <c r="L857" s="55"/>
      <c r="M857" s="55"/>
      <c r="N857" s="55"/>
      <c r="U857" s="55"/>
      <c r="V857" s="86"/>
      <c r="X857" s="93"/>
    </row>
    <row r="858" spans="3:24">
      <c r="C858" s="85"/>
      <c r="D858" s="62"/>
      <c r="E858" s="62"/>
      <c r="F858" s="55"/>
      <c r="G858" s="55"/>
      <c r="H858" s="55"/>
      <c r="I858" s="55"/>
      <c r="J858" s="55"/>
      <c r="K858" s="55"/>
      <c r="L858" s="55"/>
      <c r="M858" s="55"/>
      <c r="N858" s="55"/>
      <c r="U858" s="55"/>
      <c r="V858" s="86"/>
      <c r="X858" s="93"/>
    </row>
    <row r="859" spans="3:24">
      <c r="C859" s="85"/>
      <c r="D859" s="62"/>
      <c r="E859" s="62"/>
      <c r="F859" s="55"/>
      <c r="G859" s="55"/>
      <c r="H859" s="55"/>
      <c r="I859" s="55"/>
      <c r="J859" s="55"/>
      <c r="K859" s="55"/>
      <c r="L859" s="55"/>
      <c r="M859" s="55"/>
      <c r="N859" s="55"/>
      <c r="U859" s="55"/>
      <c r="V859" s="86"/>
      <c r="X859" s="93"/>
    </row>
    <row r="860" spans="3:24">
      <c r="C860" s="85"/>
      <c r="D860" s="62"/>
      <c r="E860" s="62"/>
      <c r="F860" s="55"/>
      <c r="G860" s="55"/>
      <c r="H860" s="55"/>
      <c r="I860" s="55"/>
      <c r="J860" s="55"/>
      <c r="K860" s="55"/>
      <c r="L860" s="55"/>
      <c r="M860" s="55"/>
      <c r="N860" s="55"/>
      <c r="U860" s="55"/>
      <c r="V860" s="86"/>
      <c r="X860" s="93"/>
    </row>
    <row r="861" spans="3:24">
      <c r="C861" s="85"/>
      <c r="D861" s="62"/>
      <c r="E861" s="62"/>
      <c r="F861" s="55"/>
      <c r="G861" s="55"/>
      <c r="H861" s="55"/>
      <c r="I861" s="55"/>
      <c r="J861" s="55"/>
      <c r="K861" s="55"/>
      <c r="L861" s="55"/>
      <c r="M861" s="55"/>
      <c r="N861" s="55"/>
      <c r="U861" s="55"/>
      <c r="V861" s="86"/>
      <c r="X861" s="93"/>
    </row>
    <row r="862" spans="3:24">
      <c r="C862" s="85"/>
      <c r="D862" s="62"/>
      <c r="E862" s="62"/>
      <c r="F862" s="55"/>
      <c r="G862" s="55"/>
      <c r="H862" s="55"/>
      <c r="I862" s="55"/>
      <c r="J862" s="55"/>
      <c r="K862" s="55"/>
      <c r="L862" s="55"/>
      <c r="M862" s="55"/>
      <c r="N862" s="55"/>
      <c r="U862" s="55"/>
      <c r="V862" s="86"/>
      <c r="X862" s="93"/>
    </row>
    <row r="863" spans="3:24">
      <c r="C863" s="85"/>
      <c r="D863" s="62"/>
      <c r="E863" s="62"/>
      <c r="F863" s="55"/>
      <c r="G863" s="55"/>
      <c r="H863" s="55"/>
      <c r="I863" s="55"/>
      <c r="J863" s="55"/>
      <c r="K863" s="55"/>
      <c r="L863" s="55"/>
      <c r="M863" s="55"/>
      <c r="N863" s="55"/>
      <c r="U863" s="55"/>
      <c r="V863" s="86"/>
      <c r="X863" s="93"/>
    </row>
    <row r="864" spans="3:24">
      <c r="C864" s="85"/>
      <c r="D864" s="62"/>
      <c r="E864" s="62"/>
      <c r="F864" s="55"/>
      <c r="G864" s="55"/>
      <c r="H864" s="55"/>
      <c r="I864" s="55"/>
      <c r="J864" s="55"/>
      <c r="K864" s="55"/>
      <c r="L864" s="55"/>
      <c r="M864" s="55"/>
      <c r="N864" s="55"/>
      <c r="U864" s="55"/>
      <c r="V864" s="86"/>
      <c r="X864" s="93"/>
    </row>
    <row r="865" spans="3:24">
      <c r="C865" s="85"/>
      <c r="D865" s="62"/>
      <c r="E865" s="62"/>
      <c r="F865" s="55"/>
      <c r="G865" s="55"/>
      <c r="H865" s="55"/>
      <c r="I865" s="55"/>
      <c r="J865" s="55"/>
      <c r="K865" s="55"/>
      <c r="L865" s="55"/>
      <c r="M865" s="55"/>
      <c r="N865" s="55"/>
      <c r="U865" s="55"/>
      <c r="V865" s="86"/>
      <c r="X865" s="93"/>
    </row>
    <row r="866" spans="3:24">
      <c r="C866" s="85"/>
      <c r="D866" s="62"/>
      <c r="E866" s="62"/>
      <c r="F866" s="55"/>
      <c r="G866" s="55"/>
      <c r="H866" s="55"/>
      <c r="I866" s="55"/>
      <c r="J866" s="55"/>
      <c r="K866" s="55"/>
      <c r="L866" s="55"/>
      <c r="M866" s="55"/>
      <c r="N866" s="55"/>
      <c r="U866" s="55"/>
      <c r="V866" s="86"/>
      <c r="X866" s="93"/>
    </row>
    <row r="867" spans="3:24">
      <c r="C867" s="85"/>
      <c r="D867" s="62"/>
      <c r="E867" s="62"/>
      <c r="F867" s="55"/>
      <c r="G867" s="55"/>
      <c r="H867" s="55"/>
      <c r="I867" s="55"/>
      <c r="J867" s="55"/>
      <c r="K867" s="55"/>
      <c r="L867" s="55"/>
      <c r="M867" s="55"/>
      <c r="N867" s="55"/>
      <c r="U867" s="55"/>
      <c r="V867" s="86"/>
      <c r="X867" s="93"/>
    </row>
    <row r="868" spans="3:24">
      <c r="C868" s="85"/>
      <c r="D868" s="62"/>
      <c r="E868" s="62"/>
      <c r="F868" s="55"/>
      <c r="G868" s="55"/>
      <c r="H868" s="55"/>
      <c r="I868" s="55"/>
      <c r="J868" s="55"/>
      <c r="K868" s="55"/>
      <c r="L868" s="55"/>
      <c r="M868" s="55"/>
      <c r="N868" s="55"/>
      <c r="U868" s="55"/>
      <c r="V868" s="86"/>
      <c r="X868" s="93"/>
    </row>
    <row r="869" spans="3:24">
      <c r="C869" s="85"/>
      <c r="D869" s="62"/>
      <c r="E869" s="62"/>
      <c r="F869" s="55"/>
      <c r="G869" s="55"/>
      <c r="H869" s="55"/>
      <c r="I869" s="55"/>
      <c r="J869" s="55"/>
      <c r="K869" s="55"/>
      <c r="L869" s="55"/>
      <c r="M869" s="55"/>
      <c r="N869" s="55"/>
      <c r="U869" s="55"/>
      <c r="V869" s="86"/>
      <c r="X869" s="93"/>
    </row>
    <row r="870" spans="3:24">
      <c r="C870" s="85"/>
      <c r="D870" s="62"/>
      <c r="E870" s="62"/>
      <c r="F870" s="55"/>
      <c r="G870" s="55"/>
      <c r="H870" s="55"/>
      <c r="I870" s="55"/>
      <c r="J870" s="55"/>
      <c r="K870" s="55"/>
      <c r="L870" s="55"/>
      <c r="M870" s="55"/>
      <c r="N870" s="55"/>
      <c r="U870" s="55"/>
      <c r="V870" s="86"/>
      <c r="X870" s="93"/>
    </row>
    <row r="871" spans="3:24">
      <c r="C871" s="85"/>
      <c r="D871" s="62"/>
      <c r="E871" s="62"/>
      <c r="F871" s="55"/>
      <c r="G871" s="55"/>
      <c r="H871" s="55"/>
      <c r="I871" s="55"/>
      <c r="J871" s="55"/>
      <c r="K871" s="55"/>
      <c r="L871" s="55"/>
      <c r="M871" s="55"/>
      <c r="N871" s="55"/>
      <c r="U871" s="55"/>
      <c r="V871" s="86"/>
      <c r="X871" s="93"/>
    </row>
    <row r="872" spans="3:24">
      <c r="C872" s="85"/>
      <c r="D872" s="62"/>
      <c r="E872" s="62"/>
      <c r="F872" s="55"/>
      <c r="G872" s="55"/>
      <c r="H872" s="55"/>
      <c r="I872" s="55"/>
      <c r="J872" s="55"/>
      <c r="K872" s="55"/>
      <c r="L872" s="55"/>
      <c r="M872" s="55"/>
      <c r="N872" s="55"/>
      <c r="U872" s="55"/>
      <c r="V872" s="86"/>
      <c r="X872" s="93"/>
    </row>
    <row r="873" spans="3:24">
      <c r="C873" s="85"/>
      <c r="D873" s="62"/>
      <c r="E873" s="62"/>
      <c r="F873" s="55"/>
      <c r="G873" s="55"/>
      <c r="H873" s="55"/>
      <c r="I873" s="55"/>
      <c r="J873" s="55"/>
      <c r="K873" s="55"/>
      <c r="L873" s="55"/>
      <c r="M873" s="55"/>
      <c r="N873" s="55"/>
      <c r="U873" s="55"/>
      <c r="V873" s="86"/>
      <c r="X873" s="93"/>
    </row>
    <row r="874" spans="3:24">
      <c r="C874" s="85"/>
      <c r="D874" s="62"/>
      <c r="E874" s="62"/>
      <c r="F874" s="55"/>
      <c r="G874" s="55"/>
      <c r="H874" s="55"/>
      <c r="I874" s="55"/>
      <c r="J874" s="55"/>
      <c r="K874" s="55"/>
      <c r="L874" s="55"/>
      <c r="M874" s="55"/>
      <c r="N874" s="55"/>
      <c r="U874" s="55"/>
      <c r="V874" s="86"/>
      <c r="X874" s="93"/>
    </row>
    <row r="875" spans="3:24">
      <c r="C875" s="85"/>
      <c r="D875" s="62"/>
      <c r="E875" s="62"/>
      <c r="F875" s="55"/>
      <c r="G875" s="55"/>
      <c r="H875" s="55"/>
      <c r="I875" s="55"/>
      <c r="J875" s="55"/>
      <c r="K875" s="55"/>
      <c r="L875" s="55"/>
      <c r="M875" s="55"/>
      <c r="N875" s="55"/>
      <c r="U875" s="55"/>
      <c r="V875" s="86"/>
      <c r="X875" s="93"/>
    </row>
    <row r="876" spans="3:24">
      <c r="C876" s="85"/>
      <c r="D876" s="62"/>
      <c r="E876" s="62"/>
      <c r="F876" s="55"/>
      <c r="G876" s="55"/>
      <c r="H876" s="55"/>
      <c r="I876" s="55"/>
      <c r="J876" s="55"/>
      <c r="K876" s="55"/>
      <c r="L876" s="55"/>
      <c r="M876" s="55"/>
      <c r="N876" s="55"/>
      <c r="U876" s="55"/>
      <c r="V876" s="86"/>
      <c r="X876" s="93"/>
    </row>
    <row r="877" spans="3:24">
      <c r="C877" s="85"/>
      <c r="D877" s="62"/>
      <c r="E877" s="62"/>
      <c r="F877" s="55"/>
      <c r="G877" s="55"/>
      <c r="H877" s="55"/>
      <c r="I877" s="55"/>
      <c r="J877" s="55"/>
      <c r="K877" s="55"/>
      <c r="L877" s="55"/>
      <c r="M877" s="55"/>
      <c r="N877" s="55"/>
      <c r="U877" s="55"/>
      <c r="V877" s="86"/>
      <c r="X877" s="93"/>
    </row>
    <row r="878" spans="3:24">
      <c r="C878" s="85"/>
      <c r="D878" s="62"/>
      <c r="E878" s="62"/>
      <c r="F878" s="55"/>
      <c r="G878" s="55"/>
      <c r="H878" s="55"/>
      <c r="I878" s="55"/>
      <c r="J878" s="55"/>
      <c r="K878" s="55"/>
      <c r="L878" s="55"/>
      <c r="M878" s="55"/>
      <c r="N878" s="55"/>
      <c r="U878" s="55"/>
      <c r="V878" s="86"/>
      <c r="X878" s="93"/>
    </row>
    <row r="879" spans="3:24">
      <c r="C879" s="85"/>
      <c r="D879" s="62"/>
      <c r="E879" s="62"/>
      <c r="F879" s="55"/>
      <c r="G879" s="55"/>
      <c r="H879" s="55"/>
      <c r="I879" s="55"/>
      <c r="J879" s="55"/>
      <c r="K879" s="55"/>
      <c r="L879" s="55"/>
      <c r="M879" s="55"/>
      <c r="N879" s="55"/>
      <c r="U879" s="55"/>
      <c r="V879" s="86"/>
      <c r="X879" s="93"/>
    </row>
    <row r="880" spans="3:24">
      <c r="C880" s="85"/>
      <c r="D880" s="62"/>
      <c r="E880" s="62"/>
      <c r="F880" s="55"/>
      <c r="G880" s="55"/>
      <c r="H880" s="55"/>
      <c r="I880" s="55"/>
      <c r="J880" s="55"/>
      <c r="K880" s="55"/>
      <c r="L880" s="55"/>
      <c r="M880" s="55"/>
      <c r="N880" s="55"/>
      <c r="U880" s="55"/>
      <c r="V880" s="86"/>
      <c r="X880" s="93"/>
    </row>
    <row r="881" spans="3:24">
      <c r="C881" s="85"/>
      <c r="D881" s="62"/>
      <c r="E881" s="62"/>
      <c r="F881" s="55"/>
      <c r="G881" s="55"/>
      <c r="H881" s="55"/>
      <c r="I881" s="55"/>
      <c r="J881" s="55"/>
      <c r="K881" s="55"/>
      <c r="L881" s="55"/>
      <c r="M881" s="55"/>
      <c r="N881" s="55"/>
      <c r="U881" s="55"/>
      <c r="V881" s="86"/>
      <c r="X881" s="93"/>
    </row>
    <row r="882" spans="3:24">
      <c r="C882" s="85"/>
      <c r="D882" s="62"/>
      <c r="E882" s="62"/>
      <c r="F882" s="55"/>
      <c r="G882" s="55"/>
      <c r="H882" s="55"/>
      <c r="I882" s="55"/>
      <c r="J882" s="55"/>
      <c r="K882" s="55"/>
      <c r="L882" s="55"/>
      <c r="M882" s="55"/>
      <c r="N882" s="55"/>
      <c r="U882" s="55"/>
      <c r="V882" s="86"/>
      <c r="X882" s="93"/>
    </row>
    <row r="883" spans="3:24">
      <c r="C883" s="85"/>
      <c r="D883" s="62"/>
      <c r="E883" s="62"/>
      <c r="F883" s="55"/>
      <c r="G883" s="55"/>
      <c r="H883" s="55"/>
      <c r="I883" s="55"/>
      <c r="J883" s="55"/>
      <c r="K883" s="55"/>
      <c r="L883" s="55"/>
      <c r="M883" s="55"/>
      <c r="N883" s="55"/>
      <c r="U883" s="55"/>
      <c r="V883" s="86"/>
      <c r="X883" s="93"/>
    </row>
    <row r="884" spans="3:24">
      <c r="C884" s="85"/>
      <c r="D884" s="62"/>
      <c r="E884" s="62"/>
      <c r="F884" s="55"/>
      <c r="G884" s="55"/>
      <c r="H884" s="55"/>
      <c r="I884" s="55"/>
      <c r="J884" s="55"/>
      <c r="K884" s="55"/>
      <c r="L884" s="55"/>
      <c r="M884" s="55"/>
      <c r="N884" s="55"/>
      <c r="U884" s="55"/>
      <c r="V884" s="86"/>
      <c r="X884" s="93"/>
    </row>
    <row r="885" spans="3:24">
      <c r="C885" s="85"/>
      <c r="D885" s="62"/>
      <c r="E885" s="62"/>
      <c r="F885" s="55"/>
      <c r="G885" s="55"/>
      <c r="H885" s="55"/>
      <c r="I885" s="55"/>
      <c r="J885" s="55"/>
      <c r="K885" s="55"/>
      <c r="L885" s="55"/>
      <c r="M885" s="55"/>
      <c r="N885" s="55"/>
      <c r="U885" s="55"/>
      <c r="V885" s="86"/>
      <c r="X885" s="93"/>
    </row>
    <row r="886" spans="3:24">
      <c r="C886" s="85"/>
      <c r="D886" s="62"/>
      <c r="E886" s="62"/>
      <c r="F886" s="55"/>
      <c r="G886" s="55"/>
      <c r="H886" s="55"/>
      <c r="I886" s="55"/>
      <c r="J886" s="55"/>
      <c r="K886" s="55"/>
      <c r="L886" s="55"/>
      <c r="M886" s="55"/>
      <c r="N886" s="55"/>
      <c r="U886" s="55"/>
      <c r="V886" s="86"/>
      <c r="X886" s="93"/>
    </row>
    <row r="887" spans="3:24">
      <c r="C887" s="85"/>
      <c r="D887" s="62"/>
      <c r="E887" s="62"/>
      <c r="F887" s="55"/>
      <c r="G887" s="55"/>
      <c r="H887" s="55"/>
      <c r="I887" s="55"/>
      <c r="J887" s="55"/>
      <c r="K887" s="55"/>
      <c r="L887" s="55"/>
      <c r="M887" s="55"/>
      <c r="N887" s="55"/>
      <c r="U887" s="55"/>
      <c r="V887" s="86"/>
      <c r="X887" s="93"/>
    </row>
    <row r="888" spans="3:24">
      <c r="C888" s="85"/>
      <c r="D888" s="62"/>
      <c r="E888" s="62"/>
      <c r="F888" s="55"/>
      <c r="G888" s="55"/>
      <c r="H888" s="55"/>
      <c r="I888" s="55"/>
      <c r="J888" s="55"/>
      <c r="K888" s="55"/>
      <c r="L888" s="55"/>
      <c r="M888" s="55"/>
      <c r="N888" s="55"/>
      <c r="U888" s="55"/>
      <c r="V888" s="86"/>
      <c r="X888" s="93"/>
    </row>
    <row r="889" spans="3:24">
      <c r="C889" s="85"/>
      <c r="D889" s="62"/>
      <c r="E889" s="62"/>
      <c r="F889" s="55"/>
      <c r="G889" s="55"/>
      <c r="H889" s="55"/>
      <c r="I889" s="55"/>
      <c r="J889" s="55"/>
      <c r="K889" s="55"/>
      <c r="L889" s="55"/>
      <c r="M889" s="55"/>
      <c r="N889" s="55"/>
      <c r="U889" s="55"/>
      <c r="V889" s="86"/>
      <c r="X889" s="93"/>
    </row>
    <row r="890" spans="3:24">
      <c r="C890" s="85"/>
      <c r="D890" s="62"/>
      <c r="E890" s="62"/>
      <c r="F890" s="55"/>
      <c r="G890" s="55"/>
      <c r="H890" s="55"/>
      <c r="I890" s="55"/>
      <c r="J890" s="55"/>
      <c r="K890" s="55"/>
      <c r="L890" s="55"/>
      <c r="M890" s="55"/>
      <c r="N890" s="55"/>
      <c r="U890" s="55"/>
      <c r="V890" s="86"/>
      <c r="X890" s="93"/>
    </row>
    <row r="891" spans="3:24">
      <c r="C891" s="85"/>
      <c r="D891" s="62"/>
      <c r="E891" s="62"/>
      <c r="F891" s="55"/>
      <c r="G891" s="55"/>
      <c r="H891" s="55"/>
      <c r="I891" s="55"/>
      <c r="J891" s="55"/>
      <c r="K891" s="55"/>
      <c r="L891" s="55"/>
      <c r="M891" s="55"/>
      <c r="N891" s="55"/>
      <c r="U891" s="55"/>
      <c r="V891" s="86"/>
      <c r="X891" s="93"/>
    </row>
    <row r="892" spans="3:24">
      <c r="C892" s="85"/>
      <c r="D892" s="62"/>
      <c r="E892" s="62"/>
      <c r="F892" s="55"/>
      <c r="G892" s="55"/>
      <c r="H892" s="55"/>
      <c r="I892" s="55"/>
      <c r="J892" s="55"/>
      <c r="K892" s="55"/>
      <c r="L892" s="55"/>
      <c r="M892" s="55"/>
      <c r="N892" s="55"/>
      <c r="U892" s="55"/>
      <c r="V892" s="86"/>
      <c r="X892" s="93"/>
    </row>
    <row r="893" spans="3:24">
      <c r="C893" s="85"/>
      <c r="D893" s="62"/>
      <c r="E893" s="62"/>
      <c r="F893" s="55"/>
      <c r="G893" s="55"/>
      <c r="H893" s="55"/>
      <c r="I893" s="55"/>
      <c r="J893" s="55"/>
      <c r="K893" s="55"/>
      <c r="L893" s="55"/>
      <c r="M893" s="55"/>
      <c r="N893" s="55"/>
      <c r="U893" s="55"/>
      <c r="V893" s="86"/>
      <c r="X893" s="93"/>
    </row>
    <row r="894" spans="3:24">
      <c r="C894" s="85"/>
      <c r="D894" s="62"/>
      <c r="E894" s="62"/>
      <c r="F894" s="55"/>
      <c r="G894" s="55"/>
      <c r="H894" s="55"/>
      <c r="I894" s="55"/>
      <c r="J894" s="55"/>
      <c r="K894" s="55"/>
      <c r="L894" s="55"/>
      <c r="M894" s="55"/>
      <c r="N894" s="55"/>
      <c r="U894" s="55"/>
      <c r="V894" s="86"/>
      <c r="X894" s="93"/>
    </row>
    <row r="895" spans="3:24">
      <c r="C895" s="85"/>
      <c r="D895" s="62"/>
      <c r="E895" s="62"/>
      <c r="F895" s="55"/>
      <c r="G895" s="55"/>
      <c r="H895" s="55"/>
      <c r="I895" s="55"/>
      <c r="J895" s="55"/>
      <c r="K895" s="55"/>
      <c r="L895" s="55"/>
      <c r="M895" s="55"/>
      <c r="N895" s="55"/>
      <c r="U895" s="55"/>
      <c r="V895" s="86"/>
      <c r="X895" s="93"/>
    </row>
    <row r="896" spans="3:24">
      <c r="C896" s="85"/>
      <c r="D896" s="62"/>
      <c r="E896" s="62"/>
      <c r="F896" s="55"/>
      <c r="G896" s="55"/>
      <c r="H896" s="55"/>
      <c r="I896" s="55"/>
      <c r="J896" s="55"/>
      <c r="K896" s="55"/>
      <c r="L896" s="55"/>
      <c r="M896" s="55"/>
      <c r="N896" s="55"/>
      <c r="U896" s="55"/>
      <c r="V896" s="86"/>
      <c r="X896" s="93"/>
    </row>
    <row r="897" spans="3:24">
      <c r="C897" s="85"/>
      <c r="D897" s="62"/>
      <c r="E897" s="62"/>
      <c r="F897" s="55"/>
      <c r="G897" s="55"/>
      <c r="H897" s="55"/>
      <c r="I897" s="55"/>
      <c r="J897" s="55"/>
      <c r="K897" s="55"/>
      <c r="L897" s="55"/>
      <c r="M897" s="55"/>
      <c r="N897" s="55"/>
      <c r="U897" s="55"/>
      <c r="V897" s="86"/>
      <c r="X897" s="93"/>
    </row>
    <row r="898" spans="3:24">
      <c r="C898" s="85"/>
      <c r="D898" s="62"/>
      <c r="E898" s="62"/>
      <c r="F898" s="55"/>
      <c r="G898" s="55"/>
      <c r="H898" s="55"/>
      <c r="I898" s="55"/>
      <c r="J898" s="55"/>
      <c r="K898" s="55"/>
      <c r="L898" s="55"/>
      <c r="M898" s="55"/>
      <c r="N898" s="55"/>
      <c r="U898" s="55"/>
      <c r="V898" s="86"/>
      <c r="X898" s="93"/>
    </row>
    <row r="899" spans="3:24">
      <c r="C899" s="85"/>
      <c r="D899" s="62"/>
      <c r="E899" s="62"/>
      <c r="F899" s="55"/>
      <c r="G899" s="55"/>
      <c r="H899" s="55"/>
      <c r="I899" s="55"/>
      <c r="J899" s="55"/>
      <c r="K899" s="55"/>
      <c r="L899" s="55"/>
      <c r="M899" s="55"/>
      <c r="N899" s="55"/>
      <c r="U899" s="55"/>
      <c r="V899" s="86"/>
      <c r="X899" s="93"/>
    </row>
    <row r="900" spans="3:24">
      <c r="C900" s="85"/>
      <c r="D900" s="62"/>
      <c r="E900" s="62"/>
      <c r="F900" s="55"/>
      <c r="G900" s="55"/>
      <c r="H900" s="55"/>
      <c r="I900" s="55"/>
      <c r="J900" s="55"/>
      <c r="K900" s="55"/>
      <c r="L900" s="55"/>
      <c r="M900" s="55"/>
      <c r="N900" s="55"/>
      <c r="U900" s="55"/>
      <c r="V900" s="86"/>
      <c r="X900" s="93"/>
    </row>
    <row r="901" spans="3:24">
      <c r="C901" s="85"/>
      <c r="D901" s="62"/>
      <c r="E901" s="62"/>
      <c r="F901" s="55"/>
      <c r="G901" s="55"/>
      <c r="H901" s="55"/>
      <c r="I901" s="55"/>
      <c r="J901" s="55"/>
      <c r="K901" s="55"/>
      <c r="L901" s="55"/>
      <c r="M901" s="55"/>
      <c r="N901" s="55"/>
      <c r="U901" s="55"/>
      <c r="V901" s="86"/>
      <c r="X901" s="93"/>
    </row>
    <row r="902" spans="3:24">
      <c r="C902" s="85"/>
      <c r="D902" s="62"/>
      <c r="E902" s="62"/>
      <c r="F902" s="55"/>
      <c r="G902" s="55"/>
      <c r="H902" s="55"/>
      <c r="I902" s="55"/>
      <c r="J902" s="55"/>
      <c r="K902" s="55"/>
      <c r="L902" s="55"/>
      <c r="M902" s="55"/>
      <c r="N902" s="55"/>
      <c r="U902" s="55"/>
      <c r="V902" s="86"/>
      <c r="X902" s="93"/>
    </row>
    <row r="903" spans="3:24">
      <c r="C903" s="85"/>
      <c r="D903" s="62"/>
      <c r="E903" s="62"/>
      <c r="F903" s="55"/>
      <c r="G903" s="55"/>
      <c r="H903" s="55"/>
      <c r="I903" s="55"/>
      <c r="J903" s="55"/>
      <c r="K903" s="55"/>
      <c r="L903" s="55"/>
      <c r="M903" s="55"/>
      <c r="N903" s="55"/>
      <c r="U903" s="55"/>
      <c r="V903" s="86"/>
      <c r="X903" s="93"/>
    </row>
    <row r="904" spans="3:24">
      <c r="C904" s="85"/>
      <c r="D904" s="62"/>
      <c r="E904" s="62"/>
      <c r="F904" s="55"/>
      <c r="G904" s="55"/>
      <c r="H904" s="55"/>
      <c r="I904" s="55"/>
      <c r="J904" s="55"/>
      <c r="K904" s="55"/>
      <c r="L904" s="55"/>
      <c r="M904" s="55"/>
      <c r="N904" s="55"/>
      <c r="U904" s="55"/>
      <c r="V904" s="86"/>
      <c r="X904" s="93"/>
    </row>
    <row r="905" spans="3:24">
      <c r="C905" s="85"/>
      <c r="D905" s="62"/>
      <c r="E905" s="62"/>
      <c r="F905" s="55"/>
      <c r="G905" s="55"/>
      <c r="H905" s="55"/>
      <c r="I905" s="55"/>
      <c r="J905" s="55"/>
      <c r="K905" s="55"/>
      <c r="L905" s="55"/>
      <c r="M905" s="55"/>
      <c r="N905" s="55"/>
      <c r="U905" s="55"/>
      <c r="V905" s="86"/>
      <c r="X905" s="93"/>
    </row>
    <row r="906" spans="3:24">
      <c r="C906" s="85"/>
      <c r="D906" s="62"/>
      <c r="E906" s="62"/>
      <c r="F906" s="55"/>
      <c r="G906" s="55"/>
      <c r="H906" s="55"/>
      <c r="I906" s="55"/>
      <c r="J906" s="55"/>
      <c r="K906" s="55"/>
      <c r="L906" s="55"/>
      <c r="M906" s="55"/>
      <c r="N906" s="55"/>
      <c r="U906" s="55"/>
      <c r="V906" s="86"/>
      <c r="X906" s="93"/>
    </row>
    <row r="907" spans="3:24">
      <c r="C907" s="85"/>
      <c r="D907" s="62"/>
      <c r="E907" s="62"/>
      <c r="F907" s="55"/>
      <c r="G907" s="55"/>
      <c r="H907" s="55"/>
      <c r="I907" s="55"/>
      <c r="J907" s="55"/>
      <c r="K907" s="55"/>
      <c r="L907" s="55"/>
      <c r="M907" s="55"/>
      <c r="N907" s="55"/>
      <c r="U907" s="55"/>
      <c r="V907" s="86"/>
      <c r="X907" s="93"/>
    </row>
    <row r="908" spans="3:24">
      <c r="C908" s="85"/>
      <c r="D908" s="62"/>
      <c r="E908" s="62"/>
      <c r="F908" s="55"/>
      <c r="G908" s="55"/>
      <c r="H908" s="55"/>
      <c r="I908" s="55"/>
      <c r="J908" s="55"/>
      <c r="K908" s="55"/>
      <c r="L908" s="55"/>
      <c r="M908" s="55"/>
      <c r="N908" s="55"/>
      <c r="U908" s="55"/>
      <c r="V908" s="86"/>
      <c r="X908" s="93"/>
    </row>
    <row r="909" spans="3:24">
      <c r="C909" s="85"/>
      <c r="D909" s="62"/>
      <c r="E909" s="62"/>
      <c r="F909" s="55"/>
      <c r="G909" s="55"/>
      <c r="H909" s="55"/>
      <c r="I909" s="55"/>
      <c r="J909" s="55"/>
      <c r="K909" s="55"/>
      <c r="L909" s="55"/>
      <c r="M909" s="55"/>
      <c r="N909" s="55"/>
      <c r="U909" s="55"/>
      <c r="V909" s="86"/>
      <c r="X909" s="93"/>
    </row>
    <row r="910" spans="3:24">
      <c r="C910" s="85"/>
      <c r="D910" s="62"/>
      <c r="E910" s="62"/>
      <c r="F910" s="55"/>
      <c r="G910" s="55"/>
      <c r="H910" s="55"/>
      <c r="I910" s="55"/>
      <c r="J910" s="55"/>
      <c r="K910" s="55"/>
      <c r="L910" s="55"/>
      <c r="M910" s="55"/>
      <c r="N910" s="55"/>
      <c r="U910" s="55"/>
      <c r="V910" s="86"/>
      <c r="X910" s="93"/>
    </row>
    <row r="911" spans="3:24">
      <c r="C911" s="85"/>
      <c r="D911" s="62"/>
      <c r="E911" s="62"/>
      <c r="F911" s="55"/>
      <c r="G911" s="55"/>
      <c r="H911" s="55"/>
      <c r="I911" s="55"/>
      <c r="J911" s="55"/>
      <c r="K911" s="55"/>
      <c r="L911" s="55"/>
      <c r="M911" s="55"/>
      <c r="N911" s="55"/>
      <c r="U911" s="55"/>
      <c r="V911" s="86"/>
      <c r="X911" s="93"/>
    </row>
    <row r="912" spans="3:24">
      <c r="C912" s="85"/>
      <c r="D912" s="62"/>
      <c r="E912" s="62"/>
      <c r="F912" s="55"/>
      <c r="G912" s="55"/>
      <c r="H912" s="55"/>
      <c r="I912" s="55"/>
      <c r="J912" s="55"/>
      <c r="K912" s="55"/>
      <c r="L912" s="55"/>
      <c r="M912" s="55"/>
      <c r="N912" s="55"/>
      <c r="U912" s="55"/>
      <c r="V912" s="86"/>
      <c r="X912" s="93"/>
    </row>
    <row r="913" spans="3:24">
      <c r="C913" s="85"/>
      <c r="D913" s="62"/>
      <c r="E913" s="62"/>
      <c r="F913" s="55"/>
      <c r="G913" s="55"/>
      <c r="H913" s="55"/>
      <c r="I913" s="55"/>
      <c r="J913" s="55"/>
      <c r="K913" s="55"/>
      <c r="L913" s="55"/>
      <c r="M913" s="55"/>
      <c r="N913" s="55"/>
      <c r="U913" s="55"/>
      <c r="V913" s="86"/>
      <c r="X913" s="93"/>
    </row>
    <row r="914" spans="3:24">
      <c r="C914" s="85"/>
      <c r="D914" s="62"/>
      <c r="E914" s="62"/>
      <c r="F914" s="55"/>
      <c r="G914" s="55"/>
      <c r="H914" s="55"/>
      <c r="I914" s="55"/>
      <c r="J914" s="55"/>
      <c r="K914" s="55"/>
      <c r="L914" s="55"/>
      <c r="M914" s="55"/>
      <c r="N914" s="55"/>
      <c r="U914" s="55"/>
      <c r="V914" s="86"/>
      <c r="X914" s="93"/>
    </row>
    <row r="915" spans="3:24">
      <c r="C915" s="85"/>
      <c r="D915" s="62"/>
      <c r="E915" s="62"/>
      <c r="F915" s="55"/>
      <c r="G915" s="55"/>
      <c r="H915" s="55"/>
      <c r="I915" s="55"/>
      <c r="J915" s="55"/>
      <c r="K915" s="55"/>
      <c r="L915" s="55"/>
      <c r="M915" s="55"/>
      <c r="N915" s="55"/>
      <c r="U915" s="55"/>
      <c r="V915" s="86"/>
      <c r="X915" s="93"/>
    </row>
    <row r="916" spans="3:24">
      <c r="C916" s="85"/>
      <c r="D916" s="62"/>
      <c r="E916" s="62"/>
      <c r="F916" s="55"/>
      <c r="G916" s="55"/>
      <c r="H916" s="55"/>
      <c r="I916" s="55"/>
      <c r="J916" s="55"/>
      <c r="K916" s="55"/>
      <c r="L916" s="55"/>
      <c r="M916" s="55"/>
      <c r="N916" s="55"/>
      <c r="U916" s="55"/>
      <c r="V916" s="86"/>
      <c r="X916" s="93"/>
    </row>
    <row r="917" spans="3:24">
      <c r="C917" s="85"/>
      <c r="D917" s="62"/>
      <c r="E917" s="62"/>
      <c r="F917" s="55"/>
      <c r="G917" s="55"/>
      <c r="H917" s="55"/>
      <c r="I917" s="55"/>
      <c r="J917" s="55"/>
      <c r="K917" s="55"/>
      <c r="L917" s="55"/>
      <c r="M917" s="55"/>
      <c r="N917" s="55"/>
      <c r="U917" s="55"/>
      <c r="V917" s="86"/>
      <c r="X917" s="93"/>
    </row>
    <row r="918" spans="3:24">
      <c r="C918" s="85"/>
      <c r="D918" s="62"/>
      <c r="E918" s="62"/>
      <c r="F918" s="55"/>
      <c r="G918" s="55"/>
      <c r="H918" s="55"/>
      <c r="I918" s="55"/>
      <c r="J918" s="55"/>
      <c r="K918" s="55"/>
      <c r="L918" s="55"/>
      <c r="M918" s="55"/>
      <c r="N918" s="55"/>
      <c r="U918" s="55"/>
      <c r="V918" s="86"/>
      <c r="X918" s="93"/>
    </row>
    <row r="919" spans="3:24">
      <c r="C919" s="85"/>
      <c r="D919" s="62"/>
      <c r="E919" s="62"/>
      <c r="F919" s="55"/>
      <c r="G919" s="55"/>
      <c r="H919" s="55"/>
      <c r="I919" s="55"/>
      <c r="J919" s="55"/>
      <c r="K919" s="55"/>
      <c r="L919" s="55"/>
      <c r="M919" s="55"/>
      <c r="N919" s="55"/>
      <c r="U919" s="55"/>
      <c r="V919" s="86"/>
      <c r="X919" s="93"/>
    </row>
    <row r="920" spans="3:24">
      <c r="C920" s="85"/>
      <c r="D920" s="62"/>
      <c r="E920" s="62"/>
      <c r="F920" s="55"/>
      <c r="G920" s="55"/>
      <c r="H920" s="55"/>
      <c r="I920" s="55"/>
      <c r="J920" s="55"/>
      <c r="K920" s="55"/>
      <c r="L920" s="55"/>
      <c r="M920" s="55"/>
      <c r="N920" s="55"/>
      <c r="U920" s="55"/>
      <c r="V920" s="86"/>
      <c r="X920" s="93"/>
    </row>
    <row r="921" spans="3:24">
      <c r="C921" s="85"/>
      <c r="D921" s="62"/>
      <c r="E921" s="62"/>
      <c r="F921" s="55"/>
      <c r="G921" s="55"/>
      <c r="H921" s="55"/>
      <c r="I921" s="55"/>
      <c r="J921" s="55"/>
      <c r="K921" s="55"/>
      <c r="L921" s="55"/>
      <c r="M921" s="55"/>
      <c r="N921" s="55"/>
      <c r="U921" s="55"/>
      <c r="V921" s="86"/>
      <c r="X921" s="93"/>
    </row>
    <row r="922" spans="3:24">
      <c r="C922" s="85"/>
      <c r="D922" s="62"/>
      <c r="E922" s="62"/>
      <c r="F922" s="55"/>
      <c r="G922" s="55"/>
      <c r="H922" s="55"/>
      <c r="I922" s="55"/>
      <c r="J922" s="55"/>
      <c r="K922" s="55"/>
      <c r="L922" s="55"/>
      <c r="M922" s="55"/>
      <c r="N922" s="55"/>
      <c r="U922" s="55"/>
      <c r="V922" s="86"/>
      <c r="X922" s="93"/>
    </row>
    <row r="923" spans="3:24">
      <c r="C923" s="85"/>
      <c r="D923" s="62"/>
      <c r="E923" s="62"/>
      <c r="F923" s="55"/>
      <c r="G923" s="55"/>
      <c r="H923" s="55"/>
      <c r="I923" s="55"/>
      <c r="J923" s="55"/>
      <c r="K923" s="55"/>
      <c r="L923" s="55"/>
      <c r="M923" s="55"/>
      <c r="N923" s="55"/>
      <c r="U923" s="55"/>
      <c r="V923" s="86"/>
      <c r="X923" s="93"/>
    </row>
    <row r="924" spans="3:24">
      <c r="C924" s="85"/>
      <c r="D924" s="62"/>
      <c r="E924" s="62"/>
      <c r="F924" s="55"/>
      <c r="G924" s="55"/>
      <c r="H924" s="55"/>
      <c r="I924" s="55"/>
      <c r="J924" s="55"/>
      <c r="K924" s="55"/>
      <c r="L924" s="55"/>
      <c r="M924" s="55"/>
      <c r="N924" s="55"/>
      <c r="U924" s="55"/>
      <c r="V924" s="86"/>
      <c r="X924" s="93"/>
    </row>
    <row r="925" spans="3:24">
      <c r="C925" s="85"/>
      <c r="D925" s="62"/>
      <c r="E925" s="62"/>
      <c r="F925" s="55"/>
      <c r="G925" s="55"/>
      <c r="H925" s="55"/>
      <c r="I925" s="55"/>
      <c r="J925" s="55"/>
      <c r="K925" s="55"/>
      <c r="L925" s="55"/>
      <c r="M925" s="55"/>
      <c r="N925" s="55"/>
      <c r="U925" s="55"/>
      <c r="V925" s="86"/>
      <c r="X925" s="93"/>
    </row>
    <row r="926" spans="3:24">
      <c r="C926" s="85"/>
      <c r="D926" s="62"/>
      <c r="E926" s="62"/>
      <c r="F926" s="55"/>
      <c r="G926" s="55"/>
      <c r="H926" s="55"/>
      <c r="I926" s="55"/>
      <c r="J926" s="55"/>
      <c r="K926" s="55"/>
      <c r="L926" s="55"/>
      <c r="M926" s="55"/>
      <c r="N926" s="55"/>
      <c r="U926" s="55"/>
      <c r="V926" s="86"/>
      <c r="X926" s="93"/>
    </row>
    <row r="927" spans="3:24">
      <c r="C927" s="85"/>
      <c r="D927" s="62"/>
      <c r="E927" s="62"/>
      <c r="F927" s="55"/>
      <c r="G927" s="55"/>
      <c r="H927" s="55"/>
      <c r="I927" s="55"/>
      <c r="J927" s="55"/>
      <c r="K927" s="55"/>
      <c r="L927" s="55"/>
      <c r="M927" s="55"/>
      <c r="N927" s="55"/>
      <c r="U927" s="55"/>
      <c r="V927" s="86"/>
      <c r="X927" s="93"/>
    </row>
    <row r="928" spans="3:24">
      <c r="C928" s="85"/>
      <c r="D928" s="62"/>
      <c r="E928" s="62"/>
      <c r="F928" s="55"/>
      <c r="G928" s="55"/>
      <c r="H928" s="55"/>
      <c r="I928" s="55"/>
      <c r="J928" s="55"/>
      <c r="K928" s="55"/>
      <c r="L928" s="55"/>
      <c r="M928" s="55"/>
      <c r="N928" s="55"/>
      <c r="U928" s="55"/>
      <c r="V928" s="86"/>
      <c r="X928" s="93"/>
    </row>
    <row r="929" spans="3:24">
      <c r="C929" s="85"/>
      <c r="D929" s="62"/>
      <c r="E929" s="62"/>
      <c r="F929" s="55"/>
      <c r="G929" s="55"/>
      <c r="H929" s="55"/>
      <c r="I929" s="55"/>
      <c r="J929" s="55"/>
      <c r="K929" s="55"/>
      <c r="L929" s="55"/>
      <c r="M929" s="55"/>
      <c r="N929" s="55"/>
      <c r="U929" s="55"/>
      <c r="V929" s="86"/>
      <c r="X929" s="93"/>
    </row>
    <row r="930" spans="3:24">
      <c r="C930" s="85"/>
      <c r="D930" s="62"/>
      <c r="E930" s="62"/>
      <c r="F930" s="55"/>
      <c r="G930" s="55"/>
      <c r="H930" s="55"/>
      <c r="I930" s="55"/>
      <c r="J930" s="55"/>
      <c r="K930" s="55"/>
      <c r="L930" s="55"/>
      <c r="M930" s="55"/>
      <c r="N930" s="55"/>
      <c r="U930" s="55"/>
      <c r="V930" s="86"/>
      <c r="X930" s="93"/>
    </row>
    <row r="931" spans="3:24">
      <c r="C931" s="85"/>
      <c r="D931" s="62"/>
      <c r="E931" s="62"/>
      <c r="F931" s="55"/>
      <c r="G931" s="55"/>
      <c r="H931" s="55"/>
      <c r="I931" s="55"/>
      <c r="J931" s="55"/>
      <c r="K931" s="55"/>
      <c r="L931" s="55"/>
      <c r="M931" s="55"/>
      <c r="N931" s="55"/>
      <c r="U931" s="55"/>
      <c r="V931" s="86"/>
      <c r="X931" s="93"/>
    </row>
    <row r="932" spans="3:24">
      <c r="C932" s="85"/>
      <c r="D932" s="62"/>
      <c r="E932" s="62"/>
      <c r="F932" s="55"/>
      <c r="G932" s="55"/>
      <c r="H932" s="55"/>
      <c r="I932" s="55"/>
      <c r="J932" s="55"/>
      <c r="K932" s="55"/>
      <c r="L932" s="55"/>
      <c r="M932" s="55"/>
      <c r="N932" s="55"/>
      <c r="U932" s="55"/>
      <c r="V932" s="86"/>
      <c r="X932" s="93"/>
    </row>
    <row r="933" spans="3:24">
      <c r="C933" s="85"/>
      <c r="D933" s="62"/>
      <c r="E933" s="62"/>
      <c r="F933" s="55"/>
      <c r="G933" s="55"/>
      <c r="H933" s="55"/>
      <c r="I933" s="55"/>
      <c r="J933" s="55"/>
      <c r="K933" s="55"/>
      <c r="L933" s="55"/>
      <c r="M933" s="55"/>
      <c r="N933" s="55"/>
      <c r="U933" s="55"/>
      <c r="V933" s="86"/>
      <c r="X933" s="93"/>
    </row>
    <row r="934" spans="3:24">
      <c r="C934" s="85"/>
      <c r="D934" s="62"/>
      <c r="E934" s="62"/>
      <c r="F934" s="55"/>
      <c r="G934" s="55"/>
      <c r="H934" s="55"/>
      <c r="I934" s="55"/>
      <c r="J934" s="55"/>
      <c r="K934" s="55"/>
      <c r="L934" s="55"/>
      <c r="M934" s="55"/>
      <c r="N934" s="55"/>
      <c r="U934" s="55"/>
      <c r="V934" s="86"/>
      <c r="X934" s="93"/>
    </row>
    <row r="935" spans="3:24">
      <c r="C935" s="85"/>
      <c r="D935" s="62"/>
      <c r="E935" s="62"/>
      <c r="F935" s="55"/>
      <c r="G935" s="55"/>
      <c r="H935" s="55"/>
      <c r="I935" s="55"/>
      <c r="J935" s="55"/>
      <c r="K935" s="55"/>
      <c r="L935" s="55"/>
      <c r="M935" s="55"/>
      <c r="N935" s="55"/>
      <c r="U935" s="55"/>
      <c r="V935" s="86"/>
      <c r="X935" s="93"/>
    </row>
    <row r="936" spans="3:24">
      <c r="C936" s="85"/>
      <c r="D936" s="62"/>
      <c r="E936" s="62"/>
      <c r="F936" s="55"/>
      <c r="G936" s="55"/>
      <c r="H936" s="55"/>
      <c r="I936" s="55"/>
      <c r="J936" s="55"/>
      <c r="K936" s="55"/>
      <c r="L936" s="55"/>
      <c r="M936" s="55"/>
      <c r="N936" s="55"/>
      <c r="U936" s="55"/>
      <c r="V936" s="86"/>
      <c r="X936" s="93"/>
    </row>
    <row r="937" spans="3:24">
      <c r="C937" s="85"/>
      <c r="D937" s="62"/>
      <c r="E937" s="62"/>
      <c r="F937" s="55"/>
      <c r="G937" s="55"/>
      <c r="H937" s="55"/>
      <c r="I937" s="55"/>
      <c r="J937" s="55"/>
      <c r="K937" s="55"/>
      <c r="L937" s="55"/>
      <c r="M937" s="55"/>
      <c r="N937" s="55"/>
      <c r="U937" s="55"/>
      <c r="V937" s="86"/>
      <c r="X937" s="93"/>
    </row>
    <row r="938" spans="3:24">
      <c r="C938" s="85"/>
      <c r="D938" s="62"/>
      <c r="E938" s="62"/>
      <c r="F938" s="55"/>
      <c r="G938" s="55"/>
      <c r="H938" s="55"/>
      <c r="I938" s="55"/>
      <c r="J938" s="55"/>
      <c r="K938" s="55"/>
      <c r="L938" s="55"/>
      <c r="M938" s="55"/>
      <c r="N938" s="55"/>
      <c r="U938" s="55"/>
      <c r="V938" s="86"/>
      <c r="X938" s="93"/>
    </row>
    <row r="939" spans="3:24">
      <c r="C939" s="85"/>
      <c r="D939" s="62"/>
      <c r="E939" s="62"/>
      <c r="F939" s="55"/>
      <c r="G939" s="55"/>
      <c r="H939" s="55"/>
      <c r="I939" s="55"/>
      <c r="J939" s="55"/>
      <c r="K939" s="55"/>
      <c r="L939" s="55"/>
      <c r="M939" s="55"/>
      <c r="N939" s="55"/>
      <c r="U939" s="55"/>
      <c r="V939" s="86"/>
      <c r="X939" s="93"/>
    </row>
    <row r="940" spans="3:24">
      <c r="C940" s="85"/>
      <c r="D940" s="62"/>
      <c r="E940" s="62"/>
      <c r="F940" s="55"/>
      <c r="G940" s="55"/>
      <c r="H940" s="55"/>
      <c r="I940" s="55"/>
      <c r="J940" s="55"/>
      <c r="K940" s="55"/>
      <c r="L940" s="55"/>
      <c r="M940" s="55"/>
      <c r="N940" s="55"/>
      <c r="U940" s="55"/>
      <c r="V940" s="86"/>
      <c r="X940" s="93"/>
    </row>
    <row r="941" spans="3:24">
      <c r="C941" s="85"/>
      <c r="D941" s="62"/>
      <c r="E941" s="62"/>
      <c r="F941" s="55"/>
      <c r="G941" s="55"/>
      <c r="H941" s="55"/>
      <c r="I941" s="55"/>
      <c r="J941" s="55"/>
      <c r="K941" s="55"/>
      <c r="L941" s="55"/>
      <c r="M941" s="55"/>
      <c r="N941" s="55"/>
      <c r="U941" s="55"/>
      <c r="V941" s="86"/>
      <c r="X941" s="93"/>
    </row>
    <row r="942" spans="3:24">
      <c r="C942" s="85"/>
      <c r="D942" s="62"/>
      <c r="E942" s="62"/>
      <c r="F942" s="55"/>
      <c r="G942" s="55"/>
      <c r="H942" s="55"/>
      <c r="I942" s="55"/>
      <c r="J942" s="55"/>
      <c r="K942" s="55"/>
      <c r="L942" s="55"/>
      <c r="M942" s="55"/>
      <c r="N942" s="55"/>
      <c r="U942" s="55"/>
      <c r="V942" s="86"/>
      <c r="X942" s="93"/>
    </row>
    <row r="943" spans="3:24">
      <c r="C943" s="85"/>
      <c r="D943" s="62"/>
      <c r="E943" s="62"/>
      <c r="F943" s="55"/>
      <c r="G943" s="55"/>
      <c r="H943" s="55"/>
      <c r="I943" s="55"/>
      <c r="J943" s="55"/>
      <c r="K943" s="55"/>
      <c r="L943" s="55"/>
      <c r="M943" s="55"/>
      <c r="N943" s="55"/>
      <c r="U943" s="55"/>
      <c r="V943" s="86"/>
      <c r="X943" s="93"/>
    </row>
    <row r="944" spans="3:24">
      <c r="C944" s="85"/>
      <c r="D944" s="62"/>
      <c r="E944" s="62"/>
      <c r="F944" s="55"/>
      <c r="G944" s="55"/>
      <c r="H944" s="55"/>
      <c r="I944" s="55"/>
      <c r="J944" s="55"/>
      <c r="K944" s="55"/>
      <c r="L944" s="55"/>
      <c r="M944" s="55"/>
      <c r="N944" s="55"/>
      <c r="U944" s="55"/>
      <c r="V944" s="86"/>
      <c r="X944" s="93"/>
    </row>
    <row r="945" spans="3:24">
      <c r="C945" s="85"/>
      <c r="D945" s="62"/>
      <c r="E945" s="62"/>
      <c r="F945" s="55"/>
      <c r="G945" s="55"/>
      <c r="H945" s="55"/>
      <c r="I945" s="55"/>
      <c r="J945" s="55"/>
      <c r="K945" s="55"/>
      <c r="L945" s="55"/>
      <c r="M945" s="55"/>
      <c r="N945" s="55"/>
      <c r="U945" s="55"/>
      <c r="V945" s="86"/>
      <c r="X945" s="93"/>
    </row>
    <row r="946" spans="3:24">
      <c r="C946" s="85"/>
      <c r="D946" s="62"/>
      <c r="E946" s="62"/>
      <c r="F946" s="55"/>
      <c r="G946" s="55"/>
      <c r="H946" s="55"/>
      <c r="I946" s="55"/>
      <c r="J946" s="55"/>
      <c r="K946" s="55"/>
      <c r="L946" s="55"/>
      <c r="M946" s="55"/>
      <c r="N946" s="55"/>
      <c r="U946" s="55"/>
      <c r="V946" s="86"/>
      <c r="X946" s="93"/>
    </row>
    <row r="947" spans="3:24">
      <c r="C947" s="85"/>
      <c r="D947" s="62"/>
      <c r="E947" s="62"/>
      <c r="F947" s="55"/>
      <c r="G947" s="55"/>
      <c r="H947" s="55"/>
      <c r="I947" s="55"/>
      <c r="J947" s="55"/>
      <c r="K947" s="55"/>
      <c r="L947" s="55"/>
      <c r="M947" s="55"/>
      <c r="N947" s="55"/>
      <c r="U947" s="55"/>
      <c r="V947" s="86"/>
      <c r="X947" s="93"/>
    </row>
    <row r="948" spans="3:24">
      <c r="C948" s="85"/>
      <c r="D948" s="62"/>
      <c r="E948" s="62"/>
      <c r="F948" s="55"/>
      <c r="G948" s="55"/>
      <c r="H948" s="55"/>
      <c r="I948" s="55"/>
      <c r="J948" s="55"/>
      <c r="K948" s="55"/>
      <c r="L948" s="55"/>
      <c r="M948" s="55"/>
      <c r="N948" s="55"/>
      <c r="U948" s="55"/>
      <c r="V948" s="86"/>
      <c r="X948" s="93"/>
    </row>
    <row r="949" spans="3:24">
      <c r="C949" s="85"/>
      <c r="D949" s="62"/>
      <c r="E949" s="62"/>
      <c r="F949" s="55"/>
      <c r="G949" s="55"/>
      <c r="H949" s="55"/>
      <c r="I949" s="55"/>
      <c r="J949" s="55"/>
      <c r="K949" s="55"/>
      <c r="L949" s="55"/>
      <c r="M949" s="55"/>
      <c r="N949" s="55"/>
      <c r="U949" s="55"/>
      <c r="V949" s="86"/>
      <c r="X949" s="93"/>
    </row>
    <row r="950" spans="3:24">
      <c r="C950" s="85"/>
      <c r="D950" s="62"/>
      <c r="E950" s="62"/>
      <c r="F950" s="55"/>
      <c r="G950" s="55"/>
      <c r="H950" s="55"/>
      <c r="I950" s="55"/>
      <c r="J950" s="55"/>
      <c r="K950" s="55"/>
      <c r="L950" s="55"/>
      <c r="M950" s="55"/>
      <c r="N950" s="55"/>
      <c r="U950" s="55"/>
      <c r="V950" s="86"/>
      <c r="X950" s="93"/>
    </row>
    <row r="951" spans="3:24">
      <c r="C951" s="85"/>
      <c r="D951" s="62"/>
      <c r="E951" s="62"/>
      <c r="F951" s="55"/>
      <c r="G951" s="55"/>
      <c r="H951" s="55"/>
      <c r="I951" s="55"/>
      <c r="J951" s="55"/>
      <c r="K951" s="55"/>
      <c r="L951" s="55"/>
      <c r="M951" s="55"/>
      <c r="N951" s="55"/>
      <c r="U951" s="55"/>
      <c r="V951" s="86"/>
      <c r="X951" s="93"/>
    </row>
    <row r="952" spans="3:24">
      <c r="C952" s="85"/>
      <c r="D952" s="62"/>
      <c r="E952" s="62"/>
      <c r="F952" s="55"/>
      <c r="G952" s="55"/>
      <c r="H952" s="55"/>
      <c r="I952" s="55"/>
      <c r="J952" s="55"/>
      <c r="K952" s="55"/>
      <c r="L952" s="55"/>
      <c r="M952" s="55"/>
      <c r="N952" s="55"/>
      <c r="U952" s="55"/>
      <c r="V952" s="86"/>
      <c r="X952" s="93"/>
    </row>
    <row r="953" spans="3:24">
      <c r="C953" s="85"/>
      <c r="D953" s="62"/>
      <c r="E953" s="62"/>
      <c r="F953" s="55"/>
      <c r="G953" s="55"/>
      <c r="H953" s="55"/>
      <c r="I953" s="55"/>
      <c r="J953" s="55"/>
      <c r="K953" s="55"/>
      <c r="L953" s="55"/>
      <c r="M953" s="55"/>
      <c r="N953" s="55"/>
      <c r="U953" s="55"/>
      <c r="V953" s="86"/>
      <c r="X953" s="93"/>
    </row>
    <row r="954" spans="3:24">
      <c r="C954" s="85"/>
      <c r="D954" s="62"/>
      <c r="E954" s="62"/>
      <c r="F954" s="55"/>
      <c r="G954" s="55"/>
      <c r="H954" s="55"/>
      <c r="I954" s="55"/>
      <c r="J954" s="55"/>
      <c r="K954" s="55"/>
      <c r="L954" s="55"/>
      <c r="M954" s="55"/>
      <c r="N954" s="55"/>
      <c r="U954" s="55"/>
      <c r="V954" s="86"/>
      <c r="X954" s="93"/>
    </row>
    <row r="955" spans="3:24">
      <c r="C955" s="85"/>
      <c r="D955" s="62"/>
      <c r="E955" s="62"/>
      <c r="F955" s="55"/>
      <c r="G955" s="55"/>
      <c r="H955" s="55"/>
      <c r="I955" s="55"/>
      <c r="J955" s="55"/>
      <c r="K955" s="55"/>
      <c r="L955" s="55"/>
      <c r="M955" s="55"/>
      <c r="N955" s="55"/>
      <c r="U955" s="55"/>
      <c r="V955" s="86"/>
      <c r="X955" s="93"/>
    </row>
    <row r="956" spans="3:24">
      <c r="C956" s="85"/>
      <c r="D956" s="62"/>
      <c r="E956" s="62"/>
      <c r="F956" s="55"/>
      <c r="G956" s="55"/>
      <c r="H956" s="55"/>
      <c r="I956" s="55"/>
      <c r="J956" s="55"/>
      <c r="K956" s="55"/>
      <c r="L956" s="55"/>
      <c r="M956" s="55"/>
      <c r="N956" s="55"/>
      <c r="U956" s="55"/>
      <c r="V956" s="86"/>
      <c r="X956" s="93"/>
    </row>
    <row r="957" spans="3:24">
      <c r="C957" s="85"/>
      <c r="D957" s="62"/>
      <c r="E957" s="62"/>
      <c r="F957" s="55"/>
      <c r="G957" s="55"/>
      <c r="H957" s="55"/>
      <c r="I957" s="55"/>
      <c r="J957" s="55"/>
      <c r="K957" s="55"/>
      <c r="L957" s="55"/>
      <c r="M957" s="55"/>
      <c r="N957" s="55"/>
      <c r="U957" s="55"/>
      <c r="V957" s="86"/>
      <c r="X957" s="93"/>
    </row>
    <row r="958" spans="3:24">
      <c r="C958" s="85"/>
      <c r="D958" s="62"/>
      <c r="E958" s="62"/>
      <c r="F958" s="55"/>
      <c r="G958" s="55"/>
      <c r="H958" s="55"/>
      <c r="I958" s="55"/>
      <c r="J958" s="55"/>
      <c r="K958" s="55"/>
      <c r="L958" s="55"/>
      <c r="M958" s="55"/>
      <c r="N958" s="55"/>
      <c r="U958" s="55"/>
      <c r="V958" s="86"/>
      <c r="X958" s="93"/>
    </row>
    <row r="959" spans="3:24">
      <c r="C959" s="85"/>
      <c r="D959" s="62"/>
      <c r="E959" s="62"/>
      <c r="F959" s="55"/>
      <c r="G959" s="55"/>
      <c r="H959" s="55"/>
      <c r="I959" s="55"/>
      <c r="J959" s="55"/>
      <c r="K959" s="55"/>
      <c r="L959" s="55"/>
      <c r="M959" s="55"/>
      <c r="N959" s="55"/>
      <c r="U959" s="55"/>
      <c r="V959" s="86"/>
      <c r="X959" s="93"/>
    </row>
    <row r="960" spans="3:24">
      <c r="C960" s="85"/>
      <c r="D960" s="62"/>
      <c r="E960" s="62"/>
      <c r="F960" s="55"/>
      <c r="G960" s="55"/>
      <c r="H960" s="55"/>
      <c r="I960" s="55"/>
      <c r="J960" s="55"/>
      <c r="K960" s="55"/>
      <c r="L960" s="55"/>
      <c r="M960" s="55"/>
      <c r="N960" s="55"/>
      <c r="U960" s="55"/>
      <c r="V960" s="86"/>
      <c r="X960" s="93"/>
    </row>
    <row r="961" spans="3:24">
      <c r="C961" s="85"/>
      <c r="D961" s="62"/>
      <c r="E961" s="62"/>
      <c r="F961" s="55"/>
      <c r="G961" s="55"/>
      <c r="H961" s="55"/>
      <c r="I961" s="55"/>
      <c r="J961" s="55"/>
      <c r="K961" s="55"/>
      <c r="L961" s="55"/>
      <c r="M961" s="55"/>
      <c r="N961" s="55"/>
      <c r="U961" s="55"/>
      <c r="V961" s="86"/>
      <c r="X961" s="93"/>
    </row>
    <row r="962" spans="3:24">
      <c r="C962" s="85"/>
      <c r="D962" s="62"/>
      <c r="E962" s="62"/>
      <c r="F962" s="55"/>
      <c r="G962" s="55"/>
      <c r="H962" s="55"/>
      <c r="I962" s="55"/>
      <c r="J962" s="55"/>
      <c r="K962" s="55"/>
      <c r="L962" s="55"/>
      <c r="M962" s="55"/>
      <c r="N962" s="55"/>
      <c r="U962" s="55"/>
      <c r="V962" s="86"/>
      <c r="X962" s="93"/>
    </row>
    <row r="963" spans="3:24">
      <c r="C963" s="85"/>
      <c r="D963" s="62"/>
      <c r="E963" s="62"/>
      <c r="F963" s="55"/>
      <c r="G963" s="55"/>
      <c r="H963" s="55"/>
      <c r="I963" s="55"/>
      <c r="J963" s="55"/>
      <c r="K963" s="55"/>
      <c r="L963" s="55"/>
      <c r="M963" s="55"/>
      <c r="N963" s="55"/>
      <c r="U963" s="55"/>
      <c r="V963" s="86"/>
      <c r="X963" s="93"/>
    </row>
    <row r="964" spans="3:24">
      <c r="C964" s="85"/>
      <c r="D964" s="62"/>
      <c r="E964" s="62"/>
      <c r="F964" s="55"/>
      <c r="G964" s="55"/>
      <c r="H964" s="55"/>
      <c r="I964" s="55"/>
      <c r="J964" s="55"/>
      <c r="K964" s="55"/>
      <c r="L964" s="55"/>
      <c r="M964" s="55"/>
      <c r="N964" s="55"/>
      <c r="U964" s="55"/>
      <c r="V964" s="86"/>
      <c r="X964" s="93"/>
    </row>
    <row r="965" spans="3:24">
      <c r="C965" s="85"/>
      <c r="D965" s="62"/>
      <c r="E965" s="62"/>
      <c r="F965" s="55"/>
      <c r="G965" s="55"/>
      <c r="H965" s="55"/>
      <c r="I965" s="55"/>
      <c r="J965" s="55"/>
      <c r="K965" s="55"/>
      <c r="L965" s="55"/>
      <c r="M965" s="55"/>
      <c r="N965" s="55"/>
      <c r="U965" s="55"/>
      <c r="V965" s="86"/>
      <c r="X965" s="93"/>
    </row>
    <row r="966" spans="3:24">
      <c r="C966" s="85"/>
      <c r="D966" s="62"/>
      <c r="E966" s="62"/>
      <c r="F966" s="55"/>
      <c r="G966" s="55"/>
      <c r="H966" s="55"/>
      <c r="I966" s="55"/>
      <c r="J966" s="55"/>
      <c r="K966" s="55"/>
      <c r="L966" s="55"/>
      <c r="M966" s="55"/>
      <c r="N966" s="55"/>
      <c r="U966" s="55"/>
      <c r="V966" s="86"/>
      <c r="X966" s="93"/>
    </row>
    <row r="967" spans="3:24">
      <c r="C967" s="85"/>
      <c r="D967" s="62"/>
      <c r="E967" s="62"/>
      <c r="F967" s="55"/>
      <c r="G967" s="55"/>
      <c r="H967" s="55"/>
      <c r="I967" s="55"/>
      <c r="J967" s="55"/>
      <c r="K967" s="55"/>
      <c r="L967" s="55"/>
      <c r="M967" s="55"/>
      <c r="N967" s="55"/>
      <c r="U967" s="55"/>
      <c r="V967" s="86"/>
      <c r="X967" s="93"/>
    </row>
    <row r="968" spans="3:24">
      <c r="C968" s="85"/>
      <c r="D968" s="62"/>
      <c r="E968" s="62"/>
      <c r="F968" s="55"/>
      <c r="G968" s="55"/>
      <c r="H968" s="55"/>
      <c r="I968" s="55"/>
      <c r="J968" s="55"/>
      <c r="K968" s="55"/>
      <c r="L968" s="55"/>
      <c r="M968" s="55"/>
      <c r="N968" s="55"/>
      <c r="U968" s="55"/>
      <c r="V968" s="86"/>
      <c r="X968" s="93"/>
    </row>
    <row r="969" spans="3:24">
      <c r="C969" s="85"/>
      <c r="D969" s="62"/>
      <c r="E969" s="62"/>
      <c r="F969" s="55"/>
      <c r="G969" s="55"/>
      <c r="H969" s="55"/>
      <c r="I969" s="55"/>
      <c r="J969" s="55"/>
      <c r="K969" s="55"/>
      <c r="L969" s="55"/>
      <c r="M969" s="55"/>
      <c r="N969" s="55"/>
      <c r="U969" s="55"/>
      <c r="V969" s="86"/>
      <c r="X969" s="93"/>
    </row>
    <row r="970" spans="3:24">
      <c r="C970" s="85"/>
      <c r="D970" s="62"/>
      <c r="E970" s="62"/>
      <c r="F970" s="55"/>
      <c r="G970" s="55"/>
      <c r="H970" s="55"/>
      <c r="I970" s="55"/>
      <c r="J970" s="55"/>
      <c r="K970" s="55"/>
      <c r="L970" s="55"/>
      <c r="M970" s="55"/>
      <c r="N970" s="55"/>
      <c r="U970" s="55"/>
      <c r="V970" s="86"/>
      <c r="X970" s="93"/>
    </row>
    <row r="971" spans="3:24">
      <c r="C971" s="85"/>
      <c r="D971" s="62"/>
      <c r="E971" s="62"/>
      <c r="F971" s="55"/>
      <c r="G971" s="55"/>
      <c r="H971" s="55"/>
      <c r="I971" s="55"/>
      <c r="J971" s="55"/>
      <c r="K971" s="55"/>
      <c r="L971" s="55"/>
      <c r="M971" s="55"/>
      <c r="N971" s="55"/>
      <c r="U971" s="55"/>
      <c r="V971" s="86"/>
      <c r="X971" s="93"/>
    </row>
    <row r="972" spans="3:24">
      <c r="C972" s="85"/>
      <c r="D972" s="62"/>
      <c r="E972" s="62"/>
      <c r="F972" s="55"/>
      <c r="G972" s="55"/>
      <c r="H972" s="55"/>
      <c r="I972" s="55"/>
      <c r="J972" s="55"/>
      <c r="K972" s="55"/>
      <c r="L972" s="55"/>
      <c r="M972" s="55"/>
      <c r="N972" s="55"/>
      <c r="U972" s="55"/>
      <c r="V972" s="86"/>
      <c r="X972" s="93"/>
    </row>
    <row r="973" spans="3:24">
      <c r="C973" s="85"/>
      <c r="D973" s="62"/>
      <c r="E973" s="62"/>
      <c r="F973" s="55"/>
      <c r="G973" s="55"/>
      <c r="H973" s="55"/>
      <c r="I973" s="55"/>
      <c r="J973" s="55"/>
      <c r="K973" s="55"/>
      <c r="L973" s="55"/>
      <c r="M973" s="55"/>
      <c r="N973" s="55"/>
      <c r="U973" s="55"/>
      <c r="V973" s="86"/>
      <c r="X973" s="93"/>
    </row>
    <row r="974" spans="3:24">
      <c r="C974" s="85"/>
      <c r="D974" s="62"/>
      <c r="E974" s="62"/>
      <c r="F974" s="55"/>
      <c r="G974" s="55"/>
      <c r="H974" s="55"/>
      <c r="I974" s="55"/>
      <c r="J974" s="55"/>
      <c r="K974" s="55"/>
      <c r="L974" s="55"/>
      <c r="M974" s="55"/>
      <c r="N974" s="55"/>
      <c r="U974" s="55"/>
      <c r="V974" s="86"/>
      <c r="X974" s="93"/>
    </row>
    <row r="975" spans="3:24">
      <c r="C975" s="85"/>
      <c r="D975" s="62"/>
      <c r="E975" s="62"/>
      <c r="F975" s="55"/>
      <c r="G975" s="55"/>
      <c r="H975" s="55"/>
      <c r="I975" s="55"/>
      <c r="J975" s="55"/>
      <c r="K975" s="55"/>
      <c r="L975" s="55"/>
      <c r="M975" s="55"/>
      <c r="N975" s="55"/>
      <c r="U975" s="55"/>
      <c r="V975" s="86"/>
      <c r="X975" s="93"/>
    </row>
    <row r="976" spans="3:24">
      <c r="C976" s="85"/>
      <c r="D976" s="62"/>
      <c r="E976" s="62"/>
      <c r="F976" s="55"/>
      <c r="G976" s="55"/>
      <c r="H976" s="55"/>
      <c r="I976" s="55"/>
      <c r="J976" s="55"/>
      <c r="K976" s="55"/>
      <c r="L976" s="55"/>
      <c r="M976" s="55"/>
      <c r="N976" s="55"/>
      <c r="U976" s="55"/>
      <c r="V976" s="86"/>
      <c r="X976" s="93"/>
    </row>
    <row r="977" spans="3:24">
      <c r="C977" s="85"/>
      <c r="D977" s="62"/>
      <c r="E977" s="62"/>
      <c r="F977" s="55"/>
      <c r="G977" s="55"/>
      <c r="H977" s="55"/>
      <c r="I977" s="55"/>
      <c r="J977" s="55"/>
      <c r="K977" s="55"/>
      <c r="L977" s="55"/>
      <c r="M977" s="55"/>
      <c r="N977" s="55"/>
      <c r="U977" s="55"/>
      <c r="V977" s="86"/>
      <c r="X977" s="93"/>
    </row>
    <row r="978" spans="3:24">
      <c r="C978" s="85"/>
      <c r="D978" s="62"/>
      <c r="E978" s="62"/>
      <c r="F978" s="55"/>
      <c r="G978" s="55"/>
      <c r="H978" s="55"/>
      <c r="I978" s="55"/>
      <c r="J978" s="55"/>
      <c r="K978" s="55"/>
      <c r="L978" s="55"/>
      <c r="M978" s="55"/>
      <c r="N978" s="55"/>
      <c r="U978" s="55"/>
      <c r="V978" s="86"/>
      <c r="X978" s="93"/>
    </row>
    <row r="979" spans="3:24">
      <c r="C979" s="85"/>
      <c r="D979" s="62"/>
      <c r="E979" s="62"/>
      <c r="F979" s="55"/>
      <c r="G979" s="55"/>
      <c r="H979" s="55"/>
      <c r="I979" s="55"/>
      <c r="J979" s="55"/>
      <c r="K979" s="55"/>
      <c r="L979" s="55"/>
      <c r="M979" s="55"/>
      <c r="N979" s="55"/>
      <c r="U979" s="55"/>
      <c r="V979" s="86"/>
      <c r="X979" s="93"/>
    </row>
    <row r="980" spans="3:24">
      <c r="C980" s="85"/>
      <c r="D980" s="62"/>
      <c r="E980" s="62"/>
      <c r="F980" s="55"/>
      <c r="G980" s="55"/>
      <c r="H980" s="55"/>
      <c r="I980" s="55"/>
      <c r="J980" s="55"/>
      <c r="K980" s="55"/>
      <c r="L980" s="55"/>
      <c r="M980" s="55"/>
      <c r="N980" s="55"/>
      <c r="U980" s="55"/>
      <c r="V980" s="86"/>
      <c r="X980" s="93"/>
    </row>
    <row r="981" spans="3:24">
      <c r="C981" s="85"/>
      <c r="D981" s="62"/>
      <c r="E981" s="62"/>
      <c r="F981" s="55"/>
      <c r="G981" s="55"/>
      <c r="H981" s="55"/>
      <c r="I981" s="55"/>
      <c r="J981" s="55"/>
      <c r="K981" s="55"/>
      <c r="L981" s="55"/>
      <c r="M981" s="55"/>
      <c r="N981" s="55"/>
      <c r="U981" s="55"/>
      <c r="V981" s="86"/>
      <c r="X981" s="93"/>
    </row>
    <row r="982" spans="3:24">
      <c r="C982" s="85"/>
      <c r="D982" s="62"/>
      <c r="E982" s="62"/>
      <c r="F982" s="55"/>
      <c r="G982" s="55"/>
      <c r="H982" s="55"/>
      <c r="I982" s="55"/>
      <c r="J982" s="55"/>
      <c r="K982" s="55"/>
      <c r="L982" s="55"/>
      <c r="M982" s="55"/>
      <c r="N982" s="55"/>
      <c r="U982" s="55"/>
      <c r="V982" s="86"/>
      <c r="X982" s="93"/>
    </row>
    <row r="983" spans="3:24">
      <c r="C983" s="85"/>
      <c r="D983" s="62"/>
      <c r="E983" s="62"/>
      <c r="F983" s="55"/>
      <c r="G983" s="55"/>
      <c r="H983" s="55"/>
      <c r="I983" s="55"/>
      <c r="J983" s="55"/>
      <c r="K983" s="55"/>
      <c r="L983" s="55"/>
      <c r="M983" s="55"/>
      <c r="N983" s="55"/>
      <c r="U983" s="55"/>
      <c r="V983" s="86"/>
      <c r="X983" s="93"/>
    </row>
    <row r="984" spans="3:24">
      <c r="C984" s="85"/>
      <c r="D984" s="62"/>
      <c r="E984" s="62"/>
      <c r="F984" s="55"/>
      <c r="G984" s="55"/>
      <c r="H984" s="55"/>
      <c r="I984" s="55"/>
      <c r="J984" s="55"/>
      <c r="K984" s="55"/>
      <c r="L984" s="55"/>
      <c r="M984" s="55"/>
      <c r="N984" s="55"/>
      <c r="U984" s="55"/>
      <c r="V984" s="86"/>
      <c r="X984" s="93"/>
    </row>
    <row r="985" spans="3:24">
      <c r="C985" s="85"/>
      <c r="D985" s="62"/>
      <c r="E985" s="62"/>
      <c r="F985" s="55"/>
      <c r="G985" s="55"/>
      <c r="H985" s="55"/>
      <c r="I985" s="55"/>
      <c r="J985" s="55"/>
      <c r="K985" s="55"/>
      <c r="L985" s="55"/>
      <c r="M985" s="55"/>
      <c r="N985" s="55"/>
      <c r="U985" s="55"/>
      <c r="V985" s="86"/>
      <c r="X985" s="93"/>
    </row>
    <row r="986" spans="3:24">
      <c r="C986" s="85"/>
      <c r="D986" s="62"/>
      <c r="E986" s="62"/>
      <c r="F986" s="55"/>
      <c r="G986" s="55"/>
      <c r="H986" s="55"/>
      <c r="I986" s="55"/>
      <c r="J986" s="55"/>
      <c r="K986" s="55"/>
      <c r="L986" s="55"/>
      <c r="M986" s="55"/>
      <c r="N986" s="55"/>
      <c r="U986" s="55"/>
      <c r="V986" s="86"/>
      <c r="X986" s="93"/>
    </row>
    <row r="987" spans="3:24">
      <c r="C987" s="85"/>
      <c r="D987" s="62"/>
      <c r="E987" s="62"/>
      <c r="F987" s="55"/>
      <c r="G987" s="55"/>
      <c r="H987" s="55"/>
      <c r="I987" s="55"/>
      <c r="J987" s="55"/>
      <c r="K987" s="55"/>
      <c r="L987" s="55"/>
      <c r="M987" s="55"/>
      <c r="N987" s="55"/>
      <c r="U987" s="55"/>
      <c r="V987" s="86"/>
      <c r="X987" s="93"/>
    </row>
    <row r="988" spans="3:24">
      <c r="C988" s="85"/>
      <c r="D988" s="62"/>
      <c r="E988" s="62"/>
      <c r="F988" s="55"/>
      <c r="G988" s="55"/>
      <c r="H988" s="55"/>
      <c r="I988" s="55"/>
      <c r="J988" s="55"/>
      <c r="K988" s="55"/>
      <c r="L988" s="55"/>
      <c r="M988" s="55"/>
      <c r="N988" s="55"/>
      <c r="U988" s="55"/>
      <c r="V988" s="86"/>
      <c r="X988" s="93"/>
    </row>
    <row r="989" spans="3:24">
      <c r="C989" s="85"/>
      <c r="D989" s="62"/>
      <c r="E989" s="62"/>
      <c r="F989" s="55"/>
      <c r="G989" s="55"/>
      <c r="H989" s="55"/>
      <c r="I989" s="55"/>
      <c r="J989" s="55"/>
      <c r="K989" s="55"/>
      <c r="L989" s="55"/>
      <c r="M989" s="55"/>
      <c r="N989" s="55"/>
      <c r="U989" s="55"/>
      <c r="V989" s="86"/>
      <c r="X989" s="93"/>
    </row>
    <row r="990" spans="3:24">
      <c r="C990" s="85"/>
      <c r="D990" s="62"/>
      <c r="E990" s="62"/>
      <c r="F990" s="55"/>
      <c r="G990" s="55"/>
      <c r="H990" s="55"/>
      <c r="I990" s="55"/>
      <c r="J990" s="55"/>
      <c r="K990" s="55"/>
      <c r="L990" s="55"/>
      <c r="M990" s="55"/>
      <c r="N990" s="55"/>
      <c r="U990" s="55"/>
      <c r="V990" s="86"/>
      <c r="X990" s="93"/>
    </row>
    <row r="991" spans="3:24">
      <c r="C991" s="85"/>
      <c r="D991" s="62"/>
      <c r="E991" s="62"/>
      <c r="F991" s="55"/>
      <c r="G991" s="55"/>
      <c r="H991" s="55"/>
      <c r="I991" s="55"/>
      <c r="J991" s="55"/>
      <c r="K991" s="55"/>
      <c r="L991" s="55"/>
      <c r="M991" s="55"/>
      <c r="N991" s="55"/>
      <c r="U991" s="55"/>
      <c r="V991" s="86"/>
      <c r="X991" s="93"/>
    </row>
    <row r="992" spans="3:24">
      <c r="C992" s="85"/>
      <c r="D992" s="62"/>
      <c r="E992" s="62"/>
      <c r="F992" s="55"/>
      <c r="G992" s="55"/>
      <c r="H992" s="55"/>
      <c r="I992" s="55"/>
      <c r="J992" s="55"/>
      <c r="K992" s="55"/>
      <c r="L992" s="55"/>
      <c r="M992" s="55"/>
      <c r="N992" s="55"/>
      <c r="U992" s="55"/>
      <c r="V992" s="86"/>
      <c r="X992" s="93"/>
    </row>
    <row r="993" spans="3:24">
      <c r="C993" s="85"/>
      <c r="D993" s="62"/>
      <c r="E993" s="62"/>
      <c r="F993" s="55"/>
      <c r="G993" s="55"/>
      <c r="H993" s="55"/>
      <c r="I993" s="55"/>
      <c r="J993" s="55"/>
      <c r="K993" s="55"/>
      <c r="L993" s="55"/>
      <c r="M993" s="55"/>
      <c r="N993" s="55"/>
      <c r="U993" s="55"/>
      <c r="V993" s="86"/>
      <c r="X993" s="93"/>
    </row>
    <row r="994" spans="3:24">
      <c r="C994" s="85"/>
      <c r="D994" s="62"/>
      <c r="E994" s="62"/>
      <c r="F994" s="55"/>
      <c r="G994" s="55"/>
      <c r="H994" s="55"/>
      <c r="I994" s="55"/>
      <c r="J994" s="55"/>
      <c r="K994" s="55"/>
      <c r="L994" s="55"/>
      <c r="M994" s="55"/>
      <c r="N994" s="55"/>
      <c r="U994" s="55"/>
      <c r="V994" s="86"/>
      <c r="X994" s="93"/>
    </row>
    <row r="995" spans="3:24">
      <c r="C995" s="85"/>
      <c r="D995" s="62"/>
      <c r="E995" s="62"/>
      <c r="F995" s="55"/>
      <c r="G995" s="55"/>
      <c r="H995" s="55"/>
      <c r="I995" s="55"/>
      <c r="J995" s="55"/>
      <c r="K995" s="55"/>
      <c r="L995" s="55"/>
      <c r="M995" s="55"/>
      <c r="N995" s="55"/>
      <c r="U995" s="55"/>
      <c r="V995" s="86"/>
      <c r="X995" s="93"/>
    </row>
    <row r="996" spans="3:24">
      <c r="C996" s="85"/>
      <c r="D996" s="62"/>
      <c r="E996" s="62"/>
      <c r="F996" s="55"/>
      <c r="G996" s="55"/>
      <c r="H996" s="55"/>
      <c r="I996" s="55"/>
      <c r="J996" s="55"/>
      <c r="K996" s="55"/>
      <c r="L996" s="55"/>
      <c r="M996" s="55"/>
      <c r="N996" s="55"/>
      <c r="U996" s="55"/>
      <c r="V996" s="86"/>
      <c r="X996" s="93"/>
    </row>
    <row r="997" spans="3:24">
      <c r="C997" s="85"/>
      <c r="D997" s="62"/>
      <c r="E997" s="62"/>
      <c r="F997" s="55"/>
      <c r="G997" s="55"/>
      <c r="H997" s="55"/>
      <c r="I997" s="55"/>
      <c r="J997" s="55"/>
      <c r="K997" s="55"/>
      <c r="L997" s="55"/>
      <c r="M997" s="55"/>
      <c r="N997" s="55"/>
      <c r="U997" s="55"/>
      <c r="V997" s="86"/>
      <c r="X997" s="93"/>
    </row>
    <row r="998" spans="3:24">
      <c r="C998" s="85"/>
      <c r="D998" s="62"/>
      <c r="E998" s="62"/>
      <c r="F998" s="55"/>
      <c r="G998" s="55"/>
      <c r="H998" s="55"/>
      <c r="I998" s="55"/>
      <c r="J998" s="55"/>
      <c r="K998" s="55"/>
      <c r="L998" s="55"/>
      <c r="M998" s="55"/>
      <c r="N998" s="55"/>
      <c r="U998" s="55"/>
      <c r="V998" s="86"/>
      <c r="X998" s="93"/>
    </row>
    <row r="999" spans="3:24">
      <c r="C999" s="85"/>
      <c r="D999" s="62"/>
      <c r="E999" s="62"/>
      <c r="F999" s="55"/>
      <c r="G999" s="55"/>
      <c r="H999" s="55"/>
      <c r="I999" s="55"/>
      <c r="J999" s="55"/>
      <c r="K999" s="55"/>
      <c r="L999" s="55"/>
      <c r="M999" s="55"/>
      <c r="N999" s="55"/>
      <c r="U999" s="55"/>
      <c r="V999" s="86"/>
      <c r="X999" s="93"/>
    </row>
    <row r="1000" spans="3:24">
      <c r="C1000" s="85"/>
      <c r="D1000" s="62"/>
      <c r="E1000" s="62"/>
      <c r="F1000" s="55"/>
      <c r="G1000" s="55"/>
      <c r="H1000" s="55"/>
      <c r="I1000" s="55"/>
      <c r="J1000" s="55"/>
      <c r="K1000" s="55"/>
      <c r="L1000" s="55"/>
      <c r="M1000" s="55"/>
      <c r="N1000" s="55"/>
      <c r="U1000" s="55"/>
      <c r="V1000" s="86"/>
      <c r="X1000" s="93"/>
    </row>
    <row r="1001" spans="3:24">
      <c r="C1001" s="85"/>
      <c r="D1001" s="62"/>
      <c r="E1001" s="62"/>
      <c r="F1001" s="55"/>
      <c r="G1001" s="55"/>
      <c r="H1001" s="55"/>
      <c r="I1001" s="55"/>
      <c r="J1001" s="55"/>
      <c r="K1001" s="55"/>
      <c r="L1001" s="55"/>
      <c r="M1001" s="55"/>
      <c r="N1001" s="55"/>
      <c r="U1001" s="55"/>
      <c r="V1001" s="86"/>
      <c r="X1001" s="93"/>
    </row>
    <row r="1002" spans="3:24">
      <c r="C1002" s="85"/>
      <c r="D1002" s="62"/>
      <c r="E1002" s="62"/>
      <c r="F1002" s="55"/>
      <c r="G1002" s="55"/>
      <c r="H1002" s="55"/>
      <c r="I1002" s="55"/>
      <c r="J1002" s="55"/>
      <c r="K1002" s="55"/>
      <c r="L1002" s="55"/>
      <c r="M1002" s="55"/>
      <c r="N1002" s="55"/>
      <c r="U1002" s="55"/>
      <c r="V1002" s="86"/>
      <c r="X1002" s="93"/>
    </row>
    <row r="1003" spans="3:24">
      <c r="C1003" s="85"/>
      <c r="D1003" s="62"/>
      <c r="E1003" s="62"/>
      <c r="F1003" s="55"/>
      <c r="G1003" s="55"/>
      <c r="H1003" s="55"/>
      <c r="I1003" s="55"/>
      <c r="J1003" s="55"/>
      <c r="K1003" s="55"/>
      <c r="L1003" s="55"/>
      <c r="M1003" s="55"/>
      <c r="N1003" s="55"/>
      <c r="U1003" s="55"/>
      <c r="V1003" s="86"/>
      <c r="X1003" s="93"/>
    </row>
    <row r="1004" spans="3:24">
      <c r="C1004" s="85"/>
      <c r="D1004" s="62"/>
      <c r="E1004" s="62"/>
      <c r="F1004" s="55"/>
      <c r="G1004" s="55"/>
      <c r="H1004" s="55"/>
      <c r="I1004" s="55"/>
      <c r="J1004" s="55"/>
      <c r="K1004" s="55"/>
      <c r="L1004" s="55"/>
      <c r="M1004" s="55"/>
      <c r="N1004" s="55"/>
      <c r="U1004" s="55"/>
      <c r="V1004" s="86"/>
      <c r="X1004" s="93"/>
    </row>
    <row r="1005" spans="3:24">
      <c r="C1005" s="85"/>
      <c r="D1005" s="62"/>
      <c r="E1005" s="62"/>
      <c r="F1005" s="55"/>
      <c r="G1005" s="55"/>
      <c r="H1005" s="55"/>
      <c r="I1005" s="55"/>
      <c r="J1005" s="55"/>
      <c r="K1005" s="55"/>
      <c r="L1005" s="55"/>
      <c r="M1005" s="55"/>
      <c r="N1005" s="55"/>
      <c r="U1005" s="55"/>
      <c r="V1005" s="86"/>
      <c r="X1005" s="93"/>
    </row>
    <row r="1006" spans="3:24">
      <c r="C1006" s="85"/>
      <c r="D1006" s="62"/>
      <c r="E1006" s="62"/>
      <c r="F1006" s="55"/>
      <c r="G1006" s="55"/>
      <c r="H1006" s="55"/>
      <c r="I1006" s="55"/>
      <c r="J1006" s="55"/>
      <c r="K1006" s="55"/>
      <c r="L1006" s="55"/>
      <c r="M1006" s="55"/>
      <c r="N1006" s="55"/>
      <c r="U1006" s="55"/>
      <c r="V1006" s="86"/>
      <c r="X1006" s="93"/>
    </row>
    <row r="1007" spans="3:24">
      <c r="C1007" s="85"/>
      <c r="D1007" s="62"/>
      <c r="E1007" s="62"/>
      <c r="F1007" s="55"/>
      <c r="G1007" s="55"/>
      <c r="H1007" s="55"/>
      <c r="I1007" s="55"/>
      <c r="J1007" s="55"/>
      <c r="K1007" s="55"/>
      <c r="L1007" s="55"/>
      <c r="M1007" s="55"/>
      <c r="N1007" s="55"/>
      <c r="U1007" s="55"/>
      <c r="V1007" s="86"/>
      <c r="X1007" s="93"/>
    </row>
    <row r="1008" spans="3:24">
      <c r="C1008" s="85"/>
      <c r="D1008" s="62"/>
      <c r="E1008" s="62"/>
      <c r="F1008" s="55"/>
      <c r="G1008" s="55"/>
      <c r="H1008" s="55"/>
      <c r="I1008" s="55"/>
      <c r="J1008" s="55"/>
      <c r="K1008" s="55"/>
      <c r="L1008" s="55"/>
      <c r="M1008" s="55"/>
      <c r="N1008" s="55"/>
      <c r="T1008" s="105"/>
      <c r="U1008" s="106"/>
      <c r="V1008" s="107"/>
      <c r="W1008" s="105"/>
      <c r="X1008" s="108"/>
    </row>
  </sheetData>
  <autoFilter ref="C2:T1008" xr:uid="{00000000-0009-0000-0000-000003000000}"/>
  <conditionalFormatting sqref="D1:E1008">
    <cfRule type="cellIs" dxfId="0" priority="1" operator="between">
      <formula>TODAY()</formula>
      <formula>TODAY()+15</formula>
    </cfRule>
  </conditionalFormatting>
  <dataValidations count="1">
    <dataValidation type="list" allowBlank="1" showErrorMessage="1" sqref="D3:D1008" xr:uid="{00000000-0002-0000-0300-000000000000}">
      <formula1>"Terapia,Avaliação,Seção Avulsa,Avaliação/Terapia"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D10"/>
  <sheetViews>
    <sheetView showGridLines="0" workbookViewId="0"/>
  </sheetViews>
  <sheetFormatPr defaultColWidth="12.6640625" defaultRowHeight="15.75" customHeight="1"/>
  <cols>
    <col min="1" max="1" width="3.33203125" customWidth="1"/>
    <col min="2" max="2" width="15.33203125" customWidth="1"/>
    <col min="3" max="3" width="23.109375" customWidth="1"/>
    <col min="5" max="5" width="3.109375" customWidth="1"/>
  </cols>
  <sheetData>
    <row r="2" spans="2:4">
      <c r="B2" s="63" t="s">
        <v>677</v>
      </c>
      <c r="C2" s="63" t="s">
        <v>675</v>
      </c>
      <c r="D2" s="103"/>
    </row>
    <row r="3" spans="2:4">
      <c r="B3" s="109">
        <v>20119</v>
      </c>
      <c r="C3" s="63" t="s">
        <v>1203</v>
      </c>
      <c r="D3" s="63"/>
    </row>
    <row r="4" spans="2:4">
      <c r="B4" s="109">
        <v>30689</v>
      </c>
      <c r="C4" s="63" t="s">
        <v>1265</v>
      </c>
      <c r="D4" s="63"/>
    </row>
    <row r="5" spans="2:4">
      <c r="B5" s="109">
        <v>30690</v>
      </c>
      <c r="C5" s="63" t="s">
        <v>1327</v>
      </c>
      <c r="D5" s="63"/>
    </row>
    <row r="6" spans="2:4">
      <c r="B6" s="109">
        <v>30691</v>
      </c>
      <c r="C6" s="63" t="s">
        <v>1150</v>
      </c>
      <c r="D6" s="63"/>
    </row>
    <row r="7" spans="2:4">
      <c r="B7" s="109">
        <v>31787</v>
      </c>
      <c r="C7" s="63" t="s">
        <v>1424</v>
      </c>
      <c r="D7" s="63"/>
    </row>
    <row r="8" spans="2:4">
      <c r="B8" s="109">
        <v>32877</v>
      </c>
      <c r="C8" s="63" t="s">
        <v>1176</v>
      </c>
      <c r="D8" s="63"/>
    </row>
    <row r="9" spans="2:4">
      <c r="B9" s="109">
        <v>35444</v>
      </c>
      <c r="C9" s="63" t="s">
        <v>1138</v>
      </c>
      <c r="D9" s="63"/>
    </row>
    <row r="10" spans="2:4">
      <c r="B10" s="109">
        <v>39450</v>
      </c>
      <c r="C10" s="63" t="s">
        <v>1190</v>
      </c>
      <c r="D10" s="6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Fluxo de Caixa</vt:lpstr>
      <vt:lpstr>Entradas</vt:lpstr>
      <vt:lpstr>Despesas</vt:lpstr>
      <vt:lpstr>Informações</vt:lpstr>
      <vt:lpstr>Gráficos 22</vt:lpstr>
      <vt:lpstr>Gráficos 23</vt:lpstr>
      <vt:lpstr>Aniversariantes do Mês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Mendes</cp:lastModifiedBy>
  <dcterms:modified xsi:type="dcterms:W3CDTF">2026-01-17T17:25:33Z</dcterms:modified>
</cp:coreProperties>
</file>